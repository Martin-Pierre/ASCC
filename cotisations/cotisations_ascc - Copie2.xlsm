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drawings/drawing2.xml" ContentType="application/vnd.openxmlformats-officedocument.drawing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drawings/drawing3.xml" ContentType="application/vnd.openxmlformats-officedocument.drawing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drawings/drawing4.xml" ContentType="application/vnd.openxmlformats-officedocument.drawing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showHorizontalScroll="0" showVerticalScroll="0" showSheetTabs="0" xWindow="2175" yWindow="2535" windowWidth="13185" windowHeight="6585"/>
  </bookViews>
  <sheets>
    <sheet name="affichage" sheetId="12" r:id="rId1"/>
    <sheet name="section" sheetId="10" r:id="rId2"/>
    <sheet name="COTISATION" sheetId="15" r:id="rId3"/>
    <sheet name="rembt" sheetId="18" r:id="rId4"/>
    <sheet name="prlvt" sheetId="42" r:id="rId5"/>
    <sheet name="RIB" sheetId="24" r:id="rId6"/>
    <sheet name="virements" sheetId="35" r:id="rId7"/>
    <sheet name="resultat" sheetId="16" r:id="rId8"/>
    <sheet name="validation" sheetId="37" r:id="rId9"/>
    <sheet name="courrier" sheetId="36" r:id="rId10"/>
    <sheet name="suivi" sheetId="40" r:id="rId11"/>
    <sheet name="controle" sheetId="41" r:id="rId12"/>
    <sheet name="courrier prel" sheetId="43" r:id="rId13"/>
  </sheets>
  <functionGroups builtInGroupCount="17"/>
  <definedNames>
    <definedName name="_xlnm._FilterDatabase" localSheetId="2" hidden="1">COTISATION!$P$1:$P$1050</definedName>
    <definedName name="COMPTEUR" localSheetId="12">#REF!</definedName>
    <definedName name="COMPTEUR" localSheetId="4">#REF!</definedName>
    <definedName name="COMPTEUR">#REF!</definedName>
    <definedName name="_xlnm.Print_Titles" localSheetId="2">COTISATION!$1:$2</definedName>
    <definedName name="_xlnm.Print_Titles" localSheetId="6">virements!$1:$7</definedName>
    <definedName name="NOMBRE" localSheetId="12">#REF!</definedName>
    <definedName name="NOMBRE" localSheetId="4">#REF!</definedName>
    <definedName name="NOMBRE">#REF!</definedName>
    <definedName name="_xlnm.Print_Area" localSheetId="0">affichage!$A$4:$AS$36</definedName>
    <definedName name="_xlnm.Print_Area" localSheetId="2">COTISATION!$A:$Q</definedName>
    <definedName name="_xlnm.Print_Area" localSheetId="4">prlvt!$A$1:$I$32</definedName>
    <definedName name="_xlnm.Print_Area" localSheetId="3">rembt!$A$1:$I$32</definedName>
    <definedName name="_xlnm.Print_Area" localSheetId="8">validation!$A$1:$J$44</definedName>
    <definedName name="zone_de_tri">COTISATION!$A$3:$DY$1987</definedName>
  </definedNames>
  <calcPr calcId="145621"/>
  <customWorkbookViews>
    <customWorkbookView name="02309 - Affichage personnalisé" guid="{A10B10D8-32DE-11D7-A375-0008C7F7DBB3}" mergeInterval="0" personalView="1" maximized="1" windowWidth="796" windowHeight="461" activeSheetId="1"/>
    <customWorkbookView name="dbc - Affichage personnalisé" guid="{5A216122-E078-11D2-AC9B-00050278858F}" mergeInterval="0" personalView="1" maximized="1" yWindow="18" windowWidth="1024" windowHeight="615" activeSheetId="4"/>
    <customWorkbookView name="DACTYL BURO - Affichage personnalisé" guid="{AB09B7A2-E072-11D2-A985-004845004A98}" mergeInterval="0" personalView="1" maximized="1" windowWidth="796" windowHeight="466" activeSheetId="4" showComments="commIndAndComment"/>
  </customWorkbookViews>
</workbook>
</file>

<file path=xl/calcChain.xml><?xml version="1.0" encoding="utf-8"?>
<calcChain xmlns="http://schemas.openxmlformats.org/spreadsheetml/2006/main">
  <c r="Q1" i="15" l="1"/>
  <c r="I1" i="15" l="1"/>
  <c r="H21" i="43"/>
  <c r="G30" i="18"/>
  <c r="H21" i="36"/>
</calcChain>
</file>

<file path=xl/sharedStrings.xml><?xml version="1.0" encoding="utf-8"?>
<sst xmlns="http://schemas.openxmlformats.org/spreadsheetml/2006/main" count="15067" uniqueCount="5042">
  <si>
    <t>3A114</t>
  </si>
  <si>
    <t>228169</t>
  </si>
  <si>
    <t>04132</t>
  </si>
  <si>
    <t>MB7 295</t>
  </si>
  <si>
    <t>09778</t>
  </si>
  <si>
    <t>CFE</t>
  </si>
  <si>
    <t>FR7642559000954101105874129</t>
  </si>
  <si>
    <t>ALIOUANE</t>
  </si>
  <si>
    <t>12772</t>
  </si>
  <si>
    <t>FR7630003004940005063398262</t>
  </si>
  <si>
    <t>BIC</t>
  </si>
  <si>
    <t>DEFRENE</t>
  </si>
  <si>
    <t>ADRIEN</t>
  </si>
  <si>
    <t>EISENFISZ</t>
  </si>
  <si>
    <t>ARIEL</t>
  </si>
  <si>
    <t>PIC 3C121</t>
  </si>
  <si>
    <t>FR7642559000554101401191908</t>
  </si>
  <si>
    <t>FR7642559000314101100820031</t>
  </si>
  <si>
    <t>FR7612548029983115610150023</t>
  </si>
  <si>
    <t>FR7642559000132101851680523</t>
  </si>
  <si>
    <t>05986</t>
  </si>
  <si>
    <t>FR7630004009110000047474485</t>
  </si>
  <si>
    <t>BNPAFRPPEVY</t>
  </si>
  <si>
    <t>FR7642559000384101600574305</t>
  </si>
  <si>
    <t>00952</t>
  </si>
  <si>
    <t>LEONCINI</t>
  </si>
  <si>
    <t>MARINA</t>
  </si>
  <si>
    <t>BLASCO</t>
  </si>
  <si>
    <t>FR7642559000212101833290464</t>
  </si>
  <si>
    <t>LA POSTE</t>
  </si>
  <si>
    <t>FR7642559000214101100717070</t>
  </si>
  <si>
    <t>07354</t>
  </si>
  <si>
    <t>11983</t>
  </si>
  <si>
    <t>FR7642559000864101900071949</t>
  </si>
  <si>
    <t>JOSE</t>
  </si>
  <si>
    <t>FR7642559000112101830160424</t>
  </si>
  <si>
    <t>PST</t>
  </si>
  <si>
    <t>228901</t>
  </si>
  <si>
    <t>F4224</t>
  </si>
  <si>
    <t>MARIE-CHRISTINE</t>
  </si>
  <si>
    <t>BLEJEAN</t>
  </si>
  <si>
    <t>MARGUERET</t>
  </si>
  <si>
    <t>JEAN-MICHEL</t>
  </si>
  <si>
    <t>FR7642559000052101832610346</t>
  </si>
  <si>
    <t>03922</t>
  </si>
  <si>
    <t>AHIER</t>
  </si>
  <si>
    <t>FR7642559000524101500343704</t>
  </si>
  <si>
    <t>PERROT</t>
  </si>
  <si>
    <t>00463</t>
  </si>
  <si>
    <t>GARE DE L'EST</t>
  </si>
  <si>
    <t>FR7642559000032101839740264</t>
  </si>
  <si>
    <t>CEPAFRPP751</t>
  </si>
  <si>
    <t>LE LAUSQUE</t>
  </si>
  <si>
    <t>JESSICA</t>
  </si>
  <si>
    <t>GELIS</t>
  </si>
  <si>
    <t>ANNE-MARIE</t>
  </si>
  <si>
    <t>GRENOBLE MISTRAL</t>
  </si>
  <si>
    <t>DROCOURT</t>
  </si>
  <si>
    <t>11248</t>
  </si>
  <si>
    <t>CM</t>
  </si>
  <si>
    <t>FR7642559000814101901470473</t>
  </si>
  <si>
    <t>FR7642559000612101840820362</t>
  </si>
  <si>
    <t>FR7642559000094101600083338</t>
  </si>
  <si>
    <t>FR7642559000214101101042214</t>
  </si>
  <si>
    <t>13120</t>
  </si>
  <si>
    <t>JAN</t>
  </si>
  <si>
    <t>ALAIN-CAMILLE</t>
  </si>
  <si>
    <t>0147248394</t>
  </si>
  <si>
    <t>FR7642559000162101833780486</t>
  </si>
  <si>
    <t>FR7642559000314101601269706</t>
  </si>
  <si>
    <t>RICHAUD</t>
  </si>
  <si>
    <t>JOEL</t>
  </si>
  <si>
    <t>07605</t>
  </si>
  <si>
    <t>FR7642559000164101600481224</t>
  </si>
  <si>
    <t>CAZASNOVES</t>
  </si>
  <si>
    <t>04504</t>
  </si>
  <si>
    <t>FR7642559000312101836900460</t>
  </si>
  <si>
    <t>FR7642559000212101840930281</t>
  </si>
  <si>
    <t>FR7642559000564101505747708</t>
  </si>
  <si>
    <t>MANETTE</t>
  </si>
  <si>
    <t>10766</t>
  </si>
  <si>
    <t>13214</t>
  </si>
  <si>
    <t>FREY</t>
  </si>
  <si>
    <t>IRENE</t>
  </si>
  <si>
    <t>13163</t>
  </si>
  <si>
    <t>AMOA</t>
  </si>
  <si>
    <t>03931</t>
  </si>
  <si>
    <t>TCG</t>
  </si>
  <si>
    <t>BOUTONNET</t>
  </si>
  <si>
    <t>10234</t>
  </si>
  <si>
    <t>FR7642559000364101105840870</t>
  </si>
  <si>
    <t>FR7642559000344101105774552</t>
  </si>
  <si>
    <t>10688</t>
  </si>
  <si>
    <t>5.013</t>
  </si>
  <si>
    <t>MOREAUX</t>
  </si>
  <si>
    <t>04628</t>
  </si>
  <si>
    <t>FR7617906000320000202395334</t>
  </si>
  <si>
    <t>MIESMACKER</t>
  </si>
  <si>
    <t>05083</t>
  </si>
  <si>
    <t>FR7642559000094101801107011</t>
  </si>
  <si>
    <t>FR7642559000332101854420764</t>
  </si>
  <si>
    <t>FR7642559000214101700353416</t>
  </si>
  <si>
    <t>STIENNE</t>
  </si>
  <si>
    <t>11708</t>
  </si>
  <si>
    <t>N'DA</t>
  </si>
  <si>
    <t>JULIA</t>
  </si>
  <si>
    <t>22 91 06</t>
  </si>
  <si>
    <t>6.128</t>
  </si>
  <si>
    <t>Lauren Philippe</t>
  </si>
  <si>
    <t>FR7642559000614101206643574</t>
  </si>
  <si>
    <t>FR7642559000415101001783801</t>
  </si>
  <si>
    <t>FR6530002005610000169937G57</t>
  </si>
  <si>
    <t>FR7642559000032101858400251</t>
  </si>
  <si>
    <t>CC NANTERRE LA DEFENSE</t>
  </si>
  <si>
    <t>FR7642559000092101832080375</t>
  </si>
  <si>
    <t>FR7642559000724101100523857</t>
  </si>
  <si>
    <t xml:space="preserve"> Attente coordonnées</t>
  </si>
  <si>
    <t xml:space="preserve"> Attente validation</t>
  </si>
  <si>
    <t>FR7642559000334101501015326</t>
  </si>
  <si>
    <t>09962</t>
  </si>
  <si>
    <t>fiorentino</t>
  </si>
  <si>
    <t>FR7642559000654101300871933</t>
  </si>
  <si>
    <t>PSSTFRPPLIL</t>
  </si>
  <si>
    <t>IBAN</t>
  </si>
  <si>
    <t>04760</t>
  </si>
  <si>
    <t>FR7613825002000401741090740</t>
  </si>
  <si>
    <t>CCOPFRPPXXX</t>
  </si>
  <si>
    <t>RIB</t>
  </si>
  <si>
    <t>CODE BIC</t>
  </si>
  <si>
    <t>07742</t>
  </si>
  <si>
    <t>01055</t>
  </si>
  <si>
    <t>DAUDET</t>
  </si>
  <si>
    <t>04743</t>
  </si>
  <si>
    <t>ACTIVITE A-1</t>
  </si>
  <si>
    <t>DIJON</t>
  </si>
  <si>
    <t>DELOURMEL</t>
  </si>
  <si>
    <t>GRAEME</t>
  </si>
  <si>
    <t>MACDONALD</t>
  </si>
  <si>
    <t>PAU</t>
  </si>
  <si>
    <t>VALERIE</t>
  </si>
  <si>
    <t>HUMBERT</t>
  </si>
  <si>
    <t>FLORENCE</t>
  </si>
  <si>
    <t>zz</t>
  </si>
  <si>
    <t>CODE BANQUE</t>
  </si>
  <si>
    <t>CODE GUICHET</t>
  </si>
  <si>
    <t>N° COMPTE</t>
  </si>
  <si>
    <t>CLE RIB</t>
  </si>
  <si>
    <t xml:space="preserve">LIB ETABLISSEMENT </t>
  </si>
  <si>
    <t>AUDEBOURG</t>
  </si>
  <si>
    <t>NATACHA</t>
  </si>
  <si>
    <t>11321</t>
  </si>
  <si>
    <t>FR7630066104310001089620364</t>
  </si>
  <si>
    <t>CHANEAC</t>
  </si>
  <si>
    <t>THIBAULT</t>
  </si>
  <si>
    <t>10658</t>
  </si>
  <si>
    <t>FR7613825002000472791367597</t>
  </si>
  <si>
    <t>AXABFRPP</t>
  </si>
  <si>
    <t>09910</t>
  </si>
  <si>
    <t>GAZULL</t>
  </si>
  <si>
    <t>12603</t>
  </si>
  <si>
    <t>FR7612548029981783538150307</t>
  </si>
  <si>
    <t>DUFAUD</t>
  </si>
  <si>
    <t>KATHELINE</t>
  </si>
  <si>
    <t>11550</t>
  </si>
  <si>
    <t>FR7613907000008119491319466</t>
  </si>
  <si>
    <t>CCBPFRPPLYO</t>
  </si>
  <si>
    <t>MELANIE</t>
  </si>
  <si>
    <t>BEN MAMAR</t>
  </si>
  <si>
    <t>VIVIANE</t>
  </si>
  <si>
    <t>AMAR</t>
  </si>
  <si>
    <t>DEL-GALLO</t>
  </si>
  <si>
    <t>NATARIO</t>
  </si>
  <si>
    <t>MANON</t>
  </si>
  <si>
    <t>SORIA</t>
  </si>
  <si>
    <t>10464</t>
  </si>
  <si>
    <t>FR7642559000244101702428880</t>
  </si>
  <si>
    <t>LORHO BARBE</t>
  </si>
  <si>
    <t>00001</t>
  </si>
  <si>
    <t>CARRON</t>
  </si>
  <si>
    <t>EUGENIE</t>
  </si>
  <si>
    <t>10620</t>
  </si>
  <si>
    <t>FR7630004012710000011646306</t>
  </si>
  <si>
    <t>BNPAFRPPAVI</t>
  </si>
  <si>
    <t>VANESSA</t>
  </si>
  <si>
    <t>MARIE AURORE</t>
  </si>
  <si>
    <t>FR7630004013960000098011485</t>
  </si>
  <si>
    <t>BNPAFRPPAGS</t>
  </si>
  <si>
    <t>SCALERANDI</t>
  </si>
  <si>
    <t>01034</t>
  </si>
  <si>
    <t>FR7642559000312101843190522</t>
  </si>
  <si>
    <t>CREDIT COOPERATIF</t>
  </si>
  <si>
    <t>lib etablissement</t>
  </si>
  <si>
    <t>mt total de remboursement</t>
  </si>
  <si>
    <t>GAUDIOT</t>
  </si>
  <si>
    <t>POITIERS</t>
  </si>
  <si>
    <t>CA</t>
  </si>
  <si>
    <t>FRANCOISE</t>
  </si>
  <si>
    <t>JENNIFER</t>
  </si>
  <si>
    <t>VADOT</t>
  </si>
  <si>
    <t>JEAN LOUIS</t>
  </si>
  <si>
    <t>03360</t>
  </si>
  <si>
    <t>11113</t>
  </si>
  <si>
    <t>FR7642559000814101107329727</t>
  </si>
  <si>
    <t>FR7630003018650005020613889</t>
  </si>
  <si>
    <t>LE GALL</t>
  </si>
  <si>
    <t>ELISA</t>
  </si>
  <si>
    <t>BERNIER</t>
  </si>
  <si>
    <t>BERTHON</t>
  </si>
  <si>
    <t>BOISSEAU</t>
  </si>
  <si>
    <t>TONY</t>
  </si>
  <si>
    <t>BOISSET</t>
  </si>
  <si>
    <t>COILLE</t>
  </si>
  <si>
    <t>Nombre réél d'adhérents pour la saison</t>
  </si>
  <si>
    <t>MURIEL</t>
  </si>
  <si>
    <t>CHAMPANHET</t>
  </si>
  <si>
    <t>CHENENAILLE</t>
  </si>
  <si>
    <t>CLEMENT</t>
  </si>
  <si>
    <t>COURANT</t>
  </si>
  <si>
    <t>FR7642559000094101900245958</t>
  </si>
  <si>
    <t>ROQUENCOURT</t>
  </si>
  <si>
    <t>FR7642559000414101801812109</t>
  </si>
  <si>
    <t>SOGEFRPP</t>
  </si>
  <si>
    <t>validation des virements</t>
  </si>
  <si>
    <t>Matricule</t>
  </si>
  <si>
    <t>TAZI</t>
  </si>
  <si>
    <t>AHMED REDA</t>
  </si>
  <si>
    <t>FR7630004007360000200153752</t>
  </si>
  <si>
    <t>COUSSEAU</t>
  </si>
  <si>
    <t>NOLWENN</t>
  </si>
  <si>
    <t>13242</t>
  </si>
  <si>
    <t>MERIME</t>
  </si>
  <si>
    <t>11697</t>
  </si>
  <si>
    <t>FR8520041000015637258K02055</t>
  </si>
  <si>
    <t>DESCARPENTRIES</t>
  </si>
  <si>
    <t>07736</t>
  </si>
  <si>
    <t>08187</t>
  </si>
  <si>
    <t>FR7330002009440000424926M85</t>
  </si>
  <si>
    <t>libellé</t>
  </si>
  <si>
    <t>REGURON</t>
  </si>
  <si>
    <t xml:space="preserve">DETAIL DE VOS PARTICIPATIONS POUR LA SAISON    : </t>
  </si>
  <si>
    <t>FR7642559000344101106748044</t>
  </si>
  <si>
    <t>FR7642559000092101841730420</t>
  </si>
  <si>
    <t>10788</t>
  </si>
  <si>
    <t>ELLUL</t>
  </si>
  <si>
    <t>YANN</t>
  </si>
  <si>
    <t>BESANCON</t>
  </si>
  <si>
    <t>C C</t>
  </si>
  <si>
    <t>MARTINEZ</t>
  </si>
  <si>
    <t>ALBERTO</t>
  </si>
  <si>
    <t>02421</t>
  </si>
  <si>
    <t>FR7642559000822101855790736</t>
  </si>
  <si>
    <t>LOSSOWSKI</t>
  </si>
  <si>
    <t>09775</t>
  </si>
  <si>
    <t>CHRYSTELE</t>
  </si>
  <si>
    <t>FR7642559000654101901819816</t>
  </si>
  <si>
    <t>AGRIFRPP825</t>
  </si>
  <si>
    <t>S G</t>
  </si>
  <si>
    <t>KOEHLER</t>
  </si>
  <si>
    <t>LCL</t>
  </si>
  <si>
    <t>01121</t>
  </si>
  <si>
    <t>10395</t>
  </si>
  <si>
    <t>BP</t>
  </si>
  <si>
    <t>02237</t>
  </si>
  <si>
    <t>FR9120041010126031544S03311</t>
  </si>
  <si>
    <t>06764</t>
  </si>
  <si>
    <t>8986</t>
  </si>
  <si>
    <t>03547</t>
  </si>
  <si>
    <t>PINTO</t>
  </si>
  <si>
    <t>229276</t>
  </si>
  <si>
    <t>BTP CAPITAL CONSEIL</t>
  </si>
  <si>
    <t>4.123</t>
  </si>
  <si>
    <t>ESTELLE</t>
  </si>
  <si>
    <t>00608</t>
  </si>
  <si>
    <t>GREGOIRE</t>
  </si>
  <si>
    <t>CAPBLANCQ</t>
  </si>
  <si>
    <t>LAURE</t>
  </si>
  <si>
    <t>ANNECY</t>
  </si>
  <si>
    <t>LA BQUE POSTALE</t>
  </si>
  <si>
    <t>00709</t>
  </si>
  <si>
    <t>JEAN-BAPTISTE</t>
  </si>
  <si>
    <t>02819</t>
  </si>
  <si>
    <t>ELODIE</t>
  </si>
  <si>
    <t>BNP</t>
  </si>
  <si>
    <t>00783</t>
  </si>
  <si>
    <t>RIMBAUD</t>
  </si>
  <si>
    <t>988</t>
  </si>
  <si>
    <t>01056</t>
  </si>
  <si>
    <t>FREYNET</t>
  </si>
  <si>
    <t>06904</t>
  </si>
  <si>
    <t>GANCEL</t>
  </si>
  <si>
    <t>BTP</t>
  </si>
  <si>
    <t>03000</t>
  </si>
  <si>
    <t>CONRAD</t>
  </si>
  <si>
    <t>JACQUES</t>
  </si>
  <si>
    <t>SERA</t>
  </si>
  <si>
    <t>06900</t>
  </si>
  <si>
    <t>01846</t>
  </si>
  <si>
    <t>04541</t>
  </si>
  <si>
    <t>BOULANGER</t>
  </si>
  <si>
    <t>TROUVAIN</t>
  </si>
  <si>
    <t>SERRERO</t>
  </si>
  <si>
    <t>NORBERT</t>
  </si>
  <si>
    <t>CMCIFRPP</t>
  </si>
  <si>
    <t>FR7642559000704101200536707</t>
  </si>
  <si>
    <t>BESNARD</t>
  </si>
  <si>
    <t>KECHIT</t>
  </si>
  <si>
    <t>POUPIN</t>
  </si>
  <si>
    <t>DROUINEAULT</t>
  </si>
  <si>
    <t>SILBERSTEIN</t>
  </si>
  <si>
    <t>05299</t>
  </si>
  <si>
    <t>DE FONVIELLE</t>
  </si>
  <si>
    <t>SAINT GERMAIN</t>
  </si>
  <si>
    <t>00703</t>
  </si>
  <si>
    <t>00817</t>
  </si>
  <si>
    <t>DULOISY</t>
  </si>
  <si>
    <t>09770</t>
  </si>
  <si>
    <t>NOGUEIRA-VIVAT</t>
  </si>
  <si>
    <t>ANGESICHT</t>
  </si>
  <si>
    <t>00466</t>
  </si>
  <si>
    <t>CIC</t>
  </si>
  <si>
    <t>LOPVET</t>
  </si>
  <si>
    <t>03862</t>
  </si>
  <si>
    <t>CLAIRE</t>
  </si>
  <si>
    <t>RIVET</t>
  </si>
  <si>
    <t>MATHILDE</t>
  </si>
  <si>
    <t>MKG</t>
  </si>
  <si>
    <t>5C110</t>
  </si>
  <si>
    <t>228671</t>
  </si>
  <si>
    <t>502673</t>
  </si>
  <si>
    <t>LUCIE</t>
  </si>
  <si>
    <t>280</t>
  </si>
  <si>
    <t>SUET</t>
  </si>
  <si>
    <t>LAETITIA</t>
  </si>
  <si>
    <t>03934</t>
  </si>
  <si>
    <t>DAX</t>
  </si>
  <si>
    <t>CREDIT MUTUEL</t>
  </si>
  <si>
    <t>FR7642559000092101850050207</t>
  </si>
  <si>
    <t>FR7642559000094101400993845</t>
  </si>
  <si>
    <t>FR7642559000092101852780369</t>
  </si>
  <si>
    <t>AMEIL</t>
  </si>
  <si>
    <t>12044</t>
  </si>
  <si>
    <t>FR7610278374530001092210103</t>
  </si>
  <si>
    <t>STERNE</t>
  </si>
  <si>
    <t>03116</t>
  </si>
  <si>
    <t>ELOFIR</t>
  </si>
  <si>
    <t>LAMYA</t>
  </si>
  <si>
    <t>12136</t>
  </si>
  <si>
    <t>FR7642559000442101880130255</t>
  </si>
  <si>
    <t>CMCIFR2A</t>
  </si>
  <si>
    <t>BOURDAIRE</t>
  </si>
  <si>
    <t>ANGERS</t>
  </si>
  <si>
    <t>03443</t>
  </si>
  <si>
    <t>10609</t>
  </si>
  <si>
    <t>06472</t>
  </si>
  <si>
    <t>DRC</t>
  </si>
  <si>
    <t>FR4330258000895100154D00149</t>
  </si>
  <si>
    <t>SYLVAIN</t>
  </si>
  <si>
    <t>JEROME</t>
  </si>
  <si>
    <t>CHARRIER</t>
  </si>
  <si>
    <t>00912</t>
  </si>
  <si>
    <t xml:space="preserve">BORDEREAU DE REMISE DE VIREMENTS </t>
  </si>
  <si>
    <t>DEMORTIER</t>
  </si>
  <si>
    <t>11502</t>
  </si>
  <si>
    <t>01379</t>
  </si>
  <si>
    <t>KUBIAC</t>
  </si>
  <si>
    <t>03895</t>
  </si>
  <si>
    <t>8162</t>
  </si>
  <si>
    <t>LIMOGES</t>
  </si>
  <si>
    <t>KAMEL</t>
  </si>
  <si>
    <t>CANONNE</t>
  </si>
  <si>
    <t>REDA TAZI</t>
  </si>
  <si>
    <t>AHMED</t>
  </si>
  <si>
    <t>SOCIETE GENERALE</t>
  </si>
  <si>
    <t>JEAN-BART</t>
  </si>
  <si>
    <t>EAU</t>
  </si>
  <si>
    <t>12638</t>
  </si>
  <si>
    <t>01925</t>
  </si>
  <si>
    <t>DELMOTTE</t>
  </si>
  <si>
    <t>DELFERIER</t>
  </si>
  <si>
    <t>01147</t>
  </si>
  <si>
    <t>SABINE</t>
  </si>
  <si>
    <t>NIRDE</t>
  </si>
  <si>
    <t>PARISOT</t>
  </si>
  <si>
    <t>FR7615519390500002342450115</t>
  </si>
  <si>
    <t>HERNANDEZ</t>
  </si>
  <si>
    <t>GOLF</t>
  </si>
  <si>
    <t>DECENCIERE</t>
  </si>
  <si>
    <t>PCG</t>
  </si>
  <si>
    <t>BLAISONNEAU</t>
  </si>
  <si>
    <t>DELAPLACE</t>
  </si>
  <si>
    <t>BILLIET</t>
  </si>
  <si>
    <t>RAPINAT</t>
  </si>
  <si>
    <t>JULIANNE</t>
  </si>
  <si>
    <t>10490</t>
  </si>
  <si>
    <t>828</t>
  </si>
  <si>
    <t>8411</t>
  </si>
  <si>
    <t>SCC</t>
  </si>
  <si>
    <t>FABRE</t>
  </si>
  <si>
    <t>CARCASSONNE</t>
  </si>
  <si>
    <t>10289</t>
  </si>
  <si>
    <t>REVOLAT</t>
  </si>
  <si>
    <t>BERTRAND</t>
  </si>
  <si>
    <t>07383</t>
  </si>
  <si>
    <t>BTP BQUE</t>
  </si>
  <si>
    <t>ANTOINE</t>
  </si>
  <si>
    <t>SAINT DENIS</t>
  </si>
  <si>
    <t>04929</t>
  </si>
  <si>
    <t>LYON SAXE</t>
  </si>
  <si>
    <t>01096</t>
  </si>
  <si>
    <t>SIMONNET</t>
  </si>
  <si>
    <t>03268</t>
  </si>
  <si>
    <t>FR7642559000464101200066326</t>
  </si>
  <si>
    <t>TARRICONE</t>
  </si>
  <si>
    <t>11545</t>
  </si>
  <si>
    <t>UDIN</t>
  </si>
  <si>
    <t>09728</t>
  </si>
  <si>
    <t>FR7642559000134101801558680</t>
  </si>
  <si>
    <t>LUSSAT</t>
  </si>
  <si>
    <t>12047</t>
  </si>
  <si>
    <t>09639</t>
  </si>
  <si>
    <t>FR7642559000074101802053955</t>
  </si>
  <si>
    <t>FR7642559000424101206770929</t>
  </si>
  <si>
    <t>COSTE</t>
  </si>
  <si>
    <t>11060</t>
  </si>
  <si>
    <t>228504</t>
  </si>
  <si>
    <t>5C123</t>
  </si>
  <si>
    <t>MADDI</t>
  </si>
  <si>
    <t>MARJOLAINE</t>
  </si>
  <si>
    <t>10256</t>
  </si>
  <si>
    <t>FR7642559000224101305934717</t>
  </si>
  <si>
    <t>LACOMBE</t>
  </si>
  <si>
    <t>13115</t>
  </si>
  <si>
    <t>FR7630002006330000055589D88</t>
  </si>
  <si>
    <t>CARLO</t>
  </si>
  <si>
    <t>LYDIE</t>
  </si>
  <si>
    <t>03531</t>
  </si>
  <si>
    <t>FR7642559000574101700190110</t>
  </si>
  <si>
    <t>LESIECKI</t>
  </si>
  <si>
    <t>12080</t>
  </si>
  <si>
    <t>FR1130002062340000039714D55</t>
  </si>
  <si>
    <t>LEFELLE</t>
  </si>
  <si>
    <t>12246</t>
  </si>
  <si>
    <t>JEAN JACQUES</t>
  </si>
  <si>
    <t>GRAU</t>
  </si>
  <si>
    <t>LISA</t>
  </si>
  <si>
    <t>certificat</t>
  </si>
  <si>
    <t>09003</t>
  </si>
  <si>
    <t>AXA BQUE</t>
  </si>
  <si>
    <t>C A</t>
  </si>
  <si>
    <t>GASPARD</t>
  </si>
  <si>
    <t>YVELINE</t>
  </si>
  <si>
    <t>DOS SANTOS</t>
  </si>
  <si>
    <t>11678</t>
  </si>
  <si>
    <t>DEGOUVE</t>
  </si>
  <si>
    <t>ANTHONY</t>
  </si>
  <si>
    <t>HANCE</t>
  </si>
  <si>
    <t>RICARD</t>
  </si>
  <si>
    <t>BENEDICTE</t>
  </si>
  <si>
    <t>FR8030002028710000036420T40</t>
  </si>
  <si>
    <t>APPOURCHAUX</t>
  </si>
  <si>
    <t>HABERER</t>
  </si>
  <si>
    <t>12125</t>
  </si>
  <si>
    <t>228014</t>
  </si>
  <si>
    <t>CYRIL</t>
  </si>
  <si>
    <t>11229</t>
  </si>
  <si>
    <t>FR0430002026440000116707R29</t>
  </si>
  <si>
    <t>MENUET</t>
  </si>
  <si>
    <t>07668</t>
  </si>
  <si>
    <t>CM BRETAGNE</t>
  </si>
  <si>
    <t>MONCOEUR</t>
  </si>
  <si>
    <t>11019</t>
  </si>
  <si>
    <t>00013</t>
  </si>
  <si>
    <t>00014</t>
  </si>
  <si>
    <t>00197</t>
  </si>
  <si>
    <t>00027</t>
  </si>
  <si>
    <t>00015</t>
  </si>
  <si>
    <t>00028</t>
  </si>
  <si>
    <t>00037</t>
  </si>
  <si>
    <t>DEBARNOT</t>
  </si>
  <si>
    <t>09755</t>
  </si>
  <si>
    <t>FR7642559000134101304745729</t>
  </si>
  <si>
    <t>SABRINA</t>
  </si>
  <si>
    <t>RATIEVILLE</t>
  </si>
  <si>
    <t>11043</t>
  </si>
  <si>
    <t>FR7618306000211023787900052</t>
  </si>
  <si>
    <t>DEBES</t>
  </si>
  <si>
    <t>12792</t>
  </si>
  <si>
    <t>FR7630004012560000017616978</t>
  </si>
  <si>
    <t>PARAT</t>
  </si>
  <si>
    <t>05489</t>
  </si>
  <si>
    <t>FR7642559000814101201037062</t>
  </si>
  <si>
    <t>GRANDPERRIN</t>
  </si>
  <si>
    <t>SANDIE</t>
  </si>
  <si>
    <t>11627</t>
  </si>
  <si>
    <t>CHARLENE</t>
  </si>
  <si>
    <t>FR7610096181540004494820177</t>
  </si>
  <si>
    <t>CEAS</t>
  </si>
  <si>
    <t>11729</t>
  </si>
  <si>
    <t>CL</t>
  </si>
  <si>
    <t>FR5930002011380000030997P48</t>
  </si>
  <si>
    <t>SG</t>
  </si>
  <si>
    <t>FR7642559000334101206371909</t>
  </si>
  <si>
    <t>LE MANS</t>
  </si>
  <si>
    <t>A Valider</t>
  </si>
  <si>
    <t>00111</t>
  </si>
  <si>
    <t>BARBIER</t>
  </si>
  <si>
    <t>ALIX</t>
  </si>
  <si>
    <t>12799</t>
  </si>
  <si>
    <t>MAUTREF</t>
  </si>
  <si>
    <t>12621</t>
  </si>
  <si>
    <t>FR7611706000205435477300169</t>
  </si>
  <si>
    <t>AGRIFRPP817</t>
  </si>
  <si>
    <t>MOULIN</t>
  </si>
  <si>
    <t>10789</t>
  </si>
  <si>
    <t>OBLETTE</t>
  </si>
  <si>
    <t>00403</t>
  </si>
  <si>
    <t>FR7642559000092101854430727</t>
  </si>
  <si>
    <t>CHIROLLET</t>
  </si>
  <si>
    <t>13112</t>
  </si>
  <si>
    <t>FR7642559000124101803380646</t>
  </si>
  <si>
    <t>JAMBUT</t>
  </si>
  <si>
    <t>LOLITA</t>
  </si>
  <si>
    <t>12040</t>
  </si>
  <si>
    <t>FR7642559000074101307139973</t>
  </si>
  <si>
    <t>SLIMANI</t>
  </si>
  <si>
    <t>CYNTHIA</t>
  </si>
  <si>
    <t>PORQUET</t>
  </si>
  <si>
    <t>BIGRE</t>
  </si>
  <si>
    <t>12990</t>
  </si>
  <si>
    <t>CALVES</t>
  </si>
  <si>
    <t>10958</t>
  </si>
  <si>
    <t>FR7642559000094101902197307</t>
  </si>
  <si>
    <t>05494</t>
  </si>
  <si>
    <t xml:space="preserve"> NANTES</t>
  </si>
  <si>
    <t>FR7642559000514101101126833</t>
  </si>
  <si>
    <t>MAUMY</t>
  </si>
  <si>
    <t>10238</t>
  </si>
  <si>
    <t>FR7642559000544101107055622</t>
  </si>
  <si>
    <t>DIALLO</t>
  </si>
  <si>
    <t>SAMBA</t>
  </si>
  <si>
    <t>12197</t>
  </si>
  <si>
    <t>VANEL</t>
  </si>
  <si>
    <t>12756</t>
  </si>
  <si>
    <t>FR7642559000174101703354268</t>
  </si>
  <si>
    <t>MAELLE</t>
  </si>
  <si>
    <t>FR7640618802630004066676222</t>
  </si>
  <si>
    <t>00865</t>
  </si>
  <si>
    <t>ZAMBAUX</t>
  </si>
  <si>
    <t>CORMIER</t>
  </si>
  <si>
    <t>OIG</t>
  </si>
  <si>
    <t>GASNOT</t>
  </si>
  <si>
    <t>00920</t>
  </si>
  <si>
    <t>GENEVIEVE</t>
  </si>
  <si>
    <t>02224</t>
  </si>
  <si>
    <t>03303</t>
  </si>
  <si>
    <t>BENDEBKA</t>
  </si>
  <si>
    <t>Gaetan Bourdon</t>
  </si>
  <si>
    <t>VELOCC</t>
  </si>
  <si>
    <t>Agence NANTERRE</t>
  </si>
  <si>
    <t>Service TELETRANS</t>
  </si>
  <si>
    <t>fax n° :  01.47.24.87.64</t>
  </si>
  <si>
    <t xml:space="preserve">Remettant : </t>
  </si>
  <si>
    <t>ASCC</t>
  </si>
  <si>
    <t xml:space="preserve">Banque : </t>
  </si>
  <si>
    <t>GAGNEUX</t>
  </si>
  <si>
    <t>CREDIT CCOPERRATIF</t>
  </si>
  <si>
    <t>ASCC COTIS 14-10-2013 GB</t>
  </si>
  <si>
    <t>FR7642559000094101106728922</t>
  </si>
  <si>
    <r>
      <t>Credit Coopérati</t>
    </r>
    <r>
      <rPr>
        <sz val="10"/>
        <rFont val="Arial"/>
        <family val="2"/>
      </rPr>
      <t>f</t>
    </r>
  </si>
  <si>
    <t>Date de création</t>
  </si>
  <si>
    <t>FR7642559000314101500996150</t>
  </si>
  <si>
    <t>11068</t>
  </si>
  <si>
    <t>FR7930002030740000000005V32</t>
  </si>
  <si>
    <t>CANTONI</t>
  </si>
  <si>
    <t>VICTOR</t>
  </si>
  <si>
    <t>Date d'execution</t>
  </si>
  <si>
    <t>N° émetteur</t>
  </si>
  <si>
    <t>Nombre d'opérations</t>
  </si>
  <si>
    <t>Montants</t>
  </si>
  <si>
    <t>LUCHET</t>
  </si>
  <si>
    <t>08268</t>
  </si>
  <si>
    <t>FR7630004002740000009507958</t>
  </si>
  <si>
    <t>00003</t>
  </si>
  <si>
    <t>00004</t>
  </si>
  <si>
    <t>00006</t>
  </si>
  <si>
    <t>00008</t>
  </si>
  <si>
    <t>BNPAFRPPP0P</t>
  </si>
  <si>
    <t>MORIN</t>
  </si>
  <si>
    <t>05200</t>
  </si>
  <si>
    <t>FR7615589335540674105604063</t>
  </si>
  <si>
    <t>CMBRFR2BARK</t>
  </si>
  <si>
    <t>SAULGRAIN</t>
  </si>
  <si>
    <t>07847</t>
  </si>
  <si>
    <t>ANKI</t>
  </si>
  <si>
    <t>BRAHEN</t>
  </si>
  <si>
    <t>FR7617906000320003314434694</t>
  </si>
  <si>
    <t>en cas d'anomalie de traitement veuillez contacter :</t>
  </si>
  <si>
    <t xml:space="preserve">Mr Jacky DELMOTTE  </t>
  </si>
  <si>
    <t>01 47 24 84 83</t>
  </si>
  <si>
    <t xml:space="preserve">ou </t>
  </si>
  <si>
    <t xml:space="preserve">Mr jean-Michel MARGUERET </t>
  </si>
  <si>
    <t>01 47 24 88 95</t>
  </si>
  <si>
    <t>Mr Alain MARTIN</t>
  </si>
  <si>
    <t>01 47 24 80 48</t>
  </si>
  <si>
    <t>ou par mail  interne credit-cooperatif</t>
  </si>
  <si>
    <t xml:space="preserve">Le </t>
  </si>
  <si>
    <t>Cachet</t>
  </si>
  <si>
    <t>1ere signature</t>
  </si>
  <si>
    <t>2eme signature</t>
  </si>
  <si>
    <t>BRES</t>
  </si>
  <si>
    <t>0147249550</t>
  </si>
  <si>
    <t>0147249110</t>
  </si>
  <si>
    <t xml:space="preserve">FONDATION </t>
  </si>
  <si>
    <t>RENON</t>
  </si>
  <si>
    <t>0147249563</t>
  </si>
  <si>
    <t>PICARD</t>
  </si>
  <si>
    <t>GARE DE L EST</t>
  </si>
  <si>
    <t>0988200301</t>
  </si>
  <si>
    <t>YOUINOU</t>
  </si>
  <si>
    <t>ENT</t>
  </si>
  <si>
    <t>0147248336</t>
  </si>
  <si>
    <t>0147248343</t>
  </si>
  <si>
    <t>BEGUIN</t>
  </si>
  <si>
    <t>DCC</t>
  </si>
  <si>
    <t>0147249530</t>
  </si>
  <si>
    <t>QCC</t>
  </si>
  <si>
    <t>0147249343</t>
  </si>
  <si>
    <t xml:space="preserve">Mandat n° </t>
  </si>
  <si>
    <t>VIGUIE</t>
  </si>
  <si>
    <t>BPE</t>
  </si>
  <si>
    <t>PREUFRP1XXX</t>
  </si>
  <si>
    <t>08192</t>
  </si>
  <si>
    <t>FR7618206003875744674100173</t>
  </si>
  <si>
    <t>GIRBE</t>
  </si>
  <si>
    <t>IOUDIANE</t>
  </si>
  <si>
    <t>DUBO</t>
  </si>
  <si>
    <t>JIMMY</t>
  </si>
  <si>
    <t>CRETEIL</t>
  </si>
  <si>
    <t xml:space="preserve"> C C</t>
  </si>
  <si>
    <t>MER</t>
  </si>
  <si>
    <t>GOUZERH</t>
  </si>
  <si>
    <t>07402</t>
  </si>
  <si>
    <t>C E</t>
  </si>
  <si>
    <t>00894</t>
  </si>
  <si>
    <t>CHAMFORT</t>
  </si>
  <si>
    <t>02515</t>
  </si>
  <si>
    <t>GRISON</t>
  </si>
  <si>
    <t>04101</t>
  </si>
  <si>
    <t>00427</t>
  </si>
  <si>
    <t>CE</t>
  </si>
  <si>
    <t>09707</t>
  </si>
  <si>
    <t>05392</t>
  </si>
  <si>
    <t>09943</t>
  </si>
  <si>
    <t>00908</t>
  </si>
  <si>
    <t>09769</t>
  </si>
  <si>
    <t>FIORENTINO</t>
  </si>
  <si>
    <t>DANO</t>
  </si>
  <si>
    <t>ROLAND</t>
  </si>
  <si>
    <t>LACLAU</t>
  </si>
  <si>
    <t>ALBANE</t>
  </si>
  <si>
    <t>07409</t>
  </si>
  <si>
    <t>CHEVALLIER</t>
  </si>
  <si>
    <t>CABRERA</t>
  </si>
  <si>
    <t>EMMANUELLE</t>
  </si>
  <si>
    <t>12017</t>
  </si>
  <si>
    <t>PIERREL</t>
  </si>
  <si>
    <t>12150</t>
  </si>
  <si>
    <t>ADAM</t>
  </si>
  <si>
    <t>03720</t>
  </si>
  <si>
    <t>ZAKARIA</t>
  </si>
  <si>
    <t>CCOPFRPP</t>
  </si>
  <si>
    <t>GONCALVES</t>
  </si>
  <si>
    <t>CHRYSTELLE</t>
  </si>
  <si>
    <t>FR7617515900000444873545080</t>
  </si>
  <si>
    <t>CEPAFRPP</t>
  </si>
  <si>
    <t>00508</t>
  </si>
  <si>
    <t>FR7642559000092101839430453</t>
  </si>
  <si>
    <t>FR7644319754840586179784164</t>
  </si>
  <si>
    <t>FR7642559000564101307004602</t>
  </si>
  <si>
    <t>STUDER</t>
  </si>
  <si>
    <t>07720</t>
  </si>
  <si>
    <t>CCBPFRPPSTR</t>
  </si>
  <si>
    <t>FR7617607000017019007067585</t>
  </si>
  <si>
    <t>DIVIEN</t>
  </si>
  <si>
    <t>POBEAU</t>
  </si>
  <si>
    <t>12605</t>
  </si>
  <si>
    <t>FR5120041010030430545R02424</t>
  </si>
  <si>
    <t>PSSTFRPPCLE</t>
  </si>
  <si>
    <t>MIGNOLET</t>
  </si>
  <si>
    <t>AUDE</t>
  </si>
  <si>
    <t>12248</t>
  </si>
  <si>
    <t>FR7642559000614101006937064</t>
  </si>
  <si>
    <t>DOUARD</t>
  </si>
  <si>
    <t>03493</t>
  </si>
  <si>
    <t>FR7613825002000457166708574</t>
  </si>
  <si>
    <t>REAU</t>
  </si>
  <si>
    <t>JOHANNA</t>
  </si>
  <si>
    <t>12054</t>
  </si>
  <si>
    <t>CHARREL</t>
  </si>
  <si>
    <t>12458</t>
  </si>
  <si>
    <t>11307</t>
  </si>
  <si>
    <t>FR7642559000154101506738402</t>
  </si>
  <si>
    <t>FR7642559000164101507214463</t>
  </si>
  <si>
    <t>FR7630003003400005043340875</t>
  </si>
  <si>
    <t>NIVET</t>
  </si>
  <si>
    <t>VOITA</t>
  </si>
  <si>
    <t>REYNAUDI</t>
  </si>
  <si>
    <t>RAPHAEL</t>
  </si>
  <si>
    <t>TALLENDIER</t>
  </si>
  <si>
    <t>FR7642559000704101604949980</t>
  </si>
  <si>
    <t>DGO</t>
  </si>
  <si>
    <t>FR7642559000554101900123727</t>
  </si>
  <si>
    <t>PSSTFRPPDIJ</t>
  </si>
  <si>
    <t>BONNAMAIN</t>
  </si>
  <si>
    <t>07602</t>
  </si>
  <si>
    <t>AGRIFRPP810</t>
  </si>
  <si>
    <t>FR7611006210125210010492029</t>
  </si>
  <si>
    <t>11278</t>
  </si>
  <si>
    <t>FR7642559000444101605531982</t>
  </si>
  <si>
    <t>HOUEX</t>
  </si>
  <si>
    <t>11574</t>
  </si>
  <si>
    <t>FR7614559001004000135775189</t>
  </si>
  <si>
    <t>NANTERRE</t>
  </si>
  <si>
    <t>SONIA</t>
  </si>
  <si>
    <t>03289</t>
  </si>
  <si>
    <t>TOERIMAN</t>
  </si>
  <si>
    <t>PETANQUE</t>
  </si>
  <si>
    <t>COSMIDIS</t>
  </si>
  <si>
    <t>XAVIER</t>
  </si>
  <si>
    <t>FR7642559000752101852990548</t>
  </si>
  <si>
    <t>09008</t>
  </si>
  <si>
    <t>BOSMAN</t>
  </si>
  <si>
    <t>HUGUETTE</t>
  </si>
  <si>
    <t>BRIVE</t>
  </si>
  <si>
    <t>UAC</t>
  </si>
  <si>
    <t>JULIE</t>
  </si>
  <si>
    <t>01459</t>
  </si>
  <si>
    <t>HUCHET</t>
  </si>
  <si>
    <t>05161</t>
  </si>
  <si>
    <t>DESBIOLES</t>
  </si>
  <si>
    <t>RENE</t>
  </si>
  <si>
    <t>05481</t>
  </si>
  <si>
    <t>MAUGARS</t>
  </si>
  <si>
    <t xml:space="preserve">CC </t>
  </si>
  <si>
    <t>ST ETIENNE</t>
  </si>
  <si>
    <t>03489</t>
  </si>
  <si>
    <t>CERGY</t>
  </si>
  <si>
    <t>CCP</t>
  </si>
  <si>
    <t>05413</t>
  </si>
  <si>
    <t>JEAN FRANCOIS</t>
  </si>
  <si>
    <t>07743</t>
  </si>
  <si>
    <t>FR7642559000094101006311903</t>
  </si>
  <si>
    <t>TENNIS</t>
  </si>
  <si>
    <t>VELAIN</t>
  </si>
  <si>
    <t>COURCELLES</t>
  </si>
  <si>
    <t>FLORIAN</t>
  </si>
  <si>
    <t>DESCAZAL</t>
  </si>
  <si>
    <t>RANDONNEE</t>
  </si>
  <si>
    <t>07074</t>
  </si>
  <si>
    <t>JOURDAN</t>
  </si>
  <si>
    <t>03291</t>
  </si>
  <si>
    <t>MIGNOT</t>
  </si>
  <si>
    <t>LBP</t>
  </si>
  <si>
    <t>BILLAUD</t>
  </si>
  <si>
    <t>07928</t>
  </si>
  <si>
    <t>10697</t>
  </si>
  <si>
    <t>FR7642559000384101306404927</t>
  </si>
  <si>
    <t>AUDOIN</t>
  </si>
  <si>
    <t>11739</t>
  </si>
  <si>
    <t>FR7642559000014101106758918</t>
  </si>
  <si>
    <t>02387</t>
  </si>
  <si>
    <t>FR7642559000112101857660797</t>
  </si>
  <si>
    <t>CCBPFRPPNAN</t>
  </si>
  <si>
    <t>03856</t>
  </si>
  <si>
    <t>02469</t>
  </si>
  <si>
    <t>JEAN LOU</t>
  </si>
  <si>
    <t>MATHIEU</t>
  </si>
  <si>
    <t>BUTEZ</t>
  </si>
  <si>
    <t>LAUMOND</t>
  </si>
  <si>
    <t>CHRISTELLE</t>
  </si>
  <si>
    <t>WATTINCOURT</t>
  </si>
  <si>
    <t>LE MOENNER</t>
  </si>
  <si>
    <t>BOSC</t>
  </si>
  <si>
    <t>02709</t>
  </si>
  <si>
    <t>HONDEMARCK</t>
  </si>
  <si>
    <t>09926</t>
  </si>
  <si>
    <t>CHAMALIERE</t>
  </si>
  <si>
    <t>SCHMIT BENEAT</t>
  </si>
  <si>
    <t>QUIMPER</t>
  </si>
  <si>
    <t>BOUVIER</t>
  </si>
  <si>
    <t>11481</t>
  </si>
  <si>
    <t>CC</t>
  </si>
  <si>
    <t>SARAH</t>
  </si>
  <si>
    <t>Cher(e) Adhérent(e)</t>
  </si>
  <si>
    <t>Activité</t>
  </si>
  <si>
    <t>Destinataire</t>
  </si>
  <si>
    <t>Agence</t>
  </si>
  <si>
    <t>82-89</t>
  </si>
  <si>
    <t>BNP PARIS BAS</t>
  </si>
  <si>
    <t>SPORN</t>
  </si>
  <si>
    <t>MICELLI</t>
  </si>
  <si>
    <t>12776</t>
  </si>
  <si>
    <t>GAMMERI</t>
  </si>
  <si>
    <t>07803</t>
  </si>
  <si>
    <t>FR7630003030400005041630520</t>
  </si>
  <si>
    <t>MICKAEL</t>
  </si>
  <si>
    <t>LAROCHELLE</t>
  </si>
  <si>
    <t>LAPOUILLE</t>
  </si>
  <si>
    <t>LAGARRIGUE</t>
  </si>
  <si>
    <t>Il est  entendu que cette participation de l'ASCC ne se cumule pas avec une dotation du CE de Nanterre</t>
  </si>
  <si>
    <t>AUBER</t>
  </si>
  <si>
    <t>DIDIER</t>
  </si>
  <si>
    <t>ALEXANDRA</t>
  </si>
  <si>
    <t>0147248048</t>
  </si>
  <si>
    <t xml:space="preserve">ECOFI </t>
  </si>
  <si>
    <t>X</t>
  </si>
  <si>
    <t>SKI</t>
  </si>
  <si>
    <t>PLONGEE</t>
  </si>
  <si>
    <t>NOM</t>
  </si>
  <si>
    <t>PRENOM</t>
  </si>
  <si>
    <t>MATRI CULE</t>
  </si>
  <si>
    <t>CEPAFRPP131</t>
  </si>
  <si>
    <t>BEART</t>
  </si>
  <si>
    <t>07474</t>
  </si>
  <si>
    <t>FR7615629026990004677090188</t>
  </si>
  <si>
    <t>12056</t>
  </si>
  <si>
    <t>FR7630003018810005044243625</t>
  </si>
  <si>
    <t>BACHIR</t>
  </si>
  <si>
    <t>LAID</t>
  </si>
  <si>
    <t>06933</t>
  </si>
  <si>
    <t>FR9630258000898841185A00137</t>
  </si>
  <si>
    <t>GILBERT</t>
  </si>
  <si>
    <t>11361</t>
  </si>
  <si>
    <t>BOUTAREAUD</t>
  </si>
  <si>
    <t>AMAYA</t>
  </si>
  <si>
    <t>12598</t>
  </si>
  <si>
    <t>CARLA</t>
  </si>
  <si>
    <t>10283</t>
  </si>
  <si>
    <t>FR7642559000424101406397996</t>
  </si>
  <si>
    <t>VERRON</t>
  </si>
  <si>
    <t>06372</t>
  </si>
  <si>
    <t>PEIREIRE</t>
  </si>
  <si>
    <t>FR5530258000898840459M00166</t>
  </si>
  <si>
    <t>12052</t>
  </si>
  <si>
    <t>228105</t>
  </si>
  <si>
    <t>DATE NAIS.</t>
  </si>
  <si>
    <t>SERVICE / AGENCE</t>
  </si>
  <si>
    <t>BUREAU</t>
  </si>
  <si>
    <t>TELEPH.</t>
  </si>
  <si>
    <t>ACTIVITE</t>
  </si>
  <si>
    <t>FOOT</t>
  </si>
  <si>
    <t>NATATION</t>
  </si>
  <si>
    <t>SIEGE</t>
  </si>
  <si>
    <t>PROVINCE</t>
  </si>
  <si>
    <t>YOGA</t>
  </si>
  <si>
    <t>JOGGING</t>
  </si>
  <si>
    <t>JUDO</t>
  </si>
  <si>
    <t>GYM MB5</t>
  </si>
  <si>
    <t>BF SAVATE</t>
  </si>
  <si>
    <t>FOREST HILL</t>
  </si>
  <si>
    <t>SQUASH</t>
  </si>
  <si>
    <t>BRIGITTE</t>
  </si>
  <si>
    <t>VOLLEY</t>
  </si>
  <si>
    <t>ST DENIS</t>
  </si>
  <si>
    <t>MICHELLE</t>
  </si>
  <si>
    <t>VOILE</t>
  </si>
  <si>
    <t xml:space="preserve"> </t>
  </si>
  <si>
    <t>BORDEAUX</t>
  </si>
  <si>
    <t>MAGALI</t>
  </si>
  <si>
    <t>BOBIGNY</t>
  </si>
  <si>
    <t>MOHAMED</t>
  </si>
  <si>
    <t>CECILE</t>
  </si>
  <si>
    <t>ODILE</t>
  </si>
  <si>
    <t>NATHALIE</t>
  </si>
  <si>
    <t>TOULOUSE</t>
  </si>
  <si>
    <t>CATHERINE</t>
  </si>
  <si>
    <t>ISABELLE</t>
  </si>
  <si>
    <t>EXTERNE</t>
  </si>
  <si>
    <t>VIRGINIE</t>
  </si>
  <si>
    <t xml:space="preserve">PAU </t>
  </si>
  <si>
    <t>SYLVIE</t>
  </si>
  <si>
    <t>EVELYNE</t>
  </si>
  <si>
    <t>ANNIE</t>
  </si>
  <si>
    <t>BARRE</t>
  </si>
  <si>
    <t>NANCY</t>
  </si>
  <si>
    <t>COM</t>
  </si>
  <si>
    <t>CROZE</t>
  </si>
  <si>
    <t>BATICLE</t>
  </si>
  <si>
    <t xml:space="preserve">LYON </t>
  </si>
  <si>
    <t>CLUB MED</t>
  </si>
  <si>
    <t>PATRICE</t>
  </si>
  <si>
    <t>LILLE</t>
  </si>
  <si>
    <t>LUCINDA</t>
  </si>
  <si>
    <t xml:space="preserve">VALENCE </t>
  </si>
  <si>
    <t>STEPHANIE</t>
  </si>
  <si>
    <t>KARINE</t>
  </si>
  <si>
    <t>ECOFI</t>
  </si>
  <si>
    <t>PASCALE</t>
  </si>
  <si>
    <t>ESI</t>
  </si>
  <si>
    <t>LILIANE</t>
  </si>
  <si>
    <t>05010</t>
  </si>
  <si>
    <t>FR7642559000314101601017894</t>
  </si>
  <si>
    <t>QUINET</t>
  </si>
  <si>
    <t>MORGAN</t>
  </si>
  <si>
    <t>WAFO-KARIM</t>
  </si>
  <si>
    <t>MARIE-NOELLE</t>
  </si>
  <si>
    <t>CHARLES</t>
  </si>
  <si>
    <t>03253</t>
  </si>
  <si>
    <t>10223</t>
  </si>
  <si>
    <t xml:space="preserve">DIJON </t>
  </si>
  <si>
    <t>BALLOUT</t>
  </si>
  <si>
    <t>SOUAD</t>
  </si>
  <si>
    <t>BESSON</t>
  </si>
  <si>
    <t>LYON</t>
  </si>
  <si>
    <t xml:space="preserve">RENNES </t>
  </si>
  <si>
    <t>PHILIPPE</t>
  </si>
  <si>
    <t>GDE</t>
  </si>
  <si>
    <t>WAETERAERE</t>
  </si>
  <si>
    <t>JEAN-PAUL</t>
  </si>
  <si>
    <t>02561</t>
  </si>
  <si>
    <t>FONTAINE</t>
  </si>
  <si>
    <t>SEBASTIEN</t>
  </si>
  <si>
    <t>BAYONNE</t>
  </si>
  <si>
    <t>BIQUET VIRMON</t>
  </si>
  <si>
    <t>AIX EN PROVEN</t>
  </si>
  <si>
    <t>BITSCHINE</t>
  </si>
  <si>
    <t>ALAIN</t>
  </si>
  <si>
    <t>CTI</t>
  </si>
  <si>
    <t>172</t>
  </si>
  <si>
    <t>8496</t>
  </si>
  <si>
    <t xml:space="preserve">MONTPELLIER </t>
  </si>
  <si>
    <t>BEATRICE</t>
  </si>
  <si>
    <t>ESFIN</t>
  </si>
  <si>
    <t>OLIVIER</t>
  </si>
  <si>
    <t>CHRISTOPHE</t>
  </si>
  <si>
    <t>MARIE-HELENE</t>
  </si>
  <si>
    <t>VERONIQUE</t>
  </si>
  <si>
    <t>DANIEL</t>
  </si>
  <si>
    <t>MONTLOUIS</t>
  </si>
  <si>
    <t>CALIXTE</t>
  </si>
  <si>
    <t>BERNARD</t>
  </si>
  <si>
    <t>BOUCHIC</t>
  </si>
  <si>
    <t>MIREILLE</t>
  </si>
  <si>
    <t>ALESIA</t>
  </si>
  <si>
    <t>DOMINIQUE</t>
  </si>
  <si>
    <t>ORLEANS</t>
  </si>
  <si>
    <t>GRENOBLE</t>
  </si>
  <si>
    <t>MARSEILLE</t>
  </si>
  <si>
    <t>ROUEN</t>
  </si>
  <si>
    <t xml:space="preserve">SIEGE </t>
  </si>
  <si>
    <t>FREDERIC</t>
  </si>
  <si>
    <t>LAURENT</t>
  </si>
  <si>
    <t>ELISABETH</t>
  </si>
  <si>
    <t>MARC</t>
  </si>
  <si>
    <t>BRUNO</t>
  </si>
  <si>
    <r>
      <t>Cotisation annuelle en Prélevement automatique</t>
    </r>
    <r>
      <rPr>
        <sz val="12"/>
        <rFont val="Arial"/>
        <family val="2"/>
      </rPr>
      <t xml:space="preserve"> : </t>
    </r>
  </si>
  <si>
    <t>ANDRE</t>
  </si>
  <si>
    <t>CAPON</t>
  </si>
  <si>
    <t>CARRE</t>
  </si>
  <si>
    <t xml:space="preserve">BAYONNE </t>
  </si>
  <si>
    <t xml:space="preserve">GRENOBLE </t>
  </si>
  <si>
    <t>GILLES</t>
  </si>
  <si>
    <t>LAURENCE</t>
  </si>
  <si>
    <t>LA ROCHELLE</t>
  </si>
  <si>
    <t>CHERKI</t>
  </si>
  <si>
    <t xml:space="preserve">NIMES </t>
  </si>
  <si>
    <t>SOPHIE</t>
  </si>
  <si>
    <t>COPPIN</t>
  </si>
  <si>
    <t>NANTES</t>
  </si>
  <si>
    <t>ALEXANDRE</t>
  </si>
  <si>
    <t>AMIAR</t>
  </si>
  <si>
    <t>ZOHIR</t>
  </si>
  <si>
    <t>COTTARD</t>
  </si>
  <si>
    <t>MARTINE</t>
  </si>
  <si>
    <t>NADIA</t>
  </si>
  <si>
    <t xml:space="preserve">ORLEANS </t>
  </si>
  <si>
    <t>DANIELLE</t>
  </si>
  <si>
    <t>REIMS</t>
  </si>
  <si>
    <t>LUDOVIC</t>
  </si>
  <si>
    <t>DEBIAIS</t>
  </si>
  <si>
    <t>DEFTERIGHOS</t>
  </si>
  <si>
    <t>EVA</t>
  </si>
  <si>
    <t>PETER</t>
  </si>
  <si>
    <t>ENP</t>
  </si>
  <si>
    <t>08154</t>
  </si>
  <si>
    <t>04872</t>
  </si>
  <si>
    <t>WEINBERG</t>
  </si>
  <si>
    <t>AGRIFRPP839</t>
  </si>
  <si>
    <t>AGRIFRPP883</t>
  </si>
  <si>
    <t>LATAPIE</t>
  </si>
  <si>
    <t>SIMONE</t>
  </si>
  <si>
    <t>GUILCHER</t>
  </si>
  <si>
    <t>FR7614265006000401382221046</t>
  </si>
  <si>
    <t>02865</t>
  </si>
  <si>
    <t>FR7642559000512101834220147</t>
  </si>
  <si>
    <t>FR7642559000954101500178353</t>
  </si>
  <si>
    <t>FR7642559000512101839030377</t>
  </si>
  <si>
    <t>04972</t>
  </si>
  <si>
    <t>FR7642559000274101101082088</t>
  </si>
  <si>
    <t>FR7642559000224101605347527</t>
  </si>
  <si>
    <t>BRED</t>
  </si>
  <si>
    <t>BREDFRPPXXX</t>
  </si>
  <si>
    <t>FR7610278375500001202970135</t>
  </si>
  <si>
    <t>TAGLANG</t>
  </si>
  <si>
    <t>LOPEZ</t>
  </si>
  <si>
    <t>CHAPEAU</t>
  </si>
  <si>
    <t>DELOURME</t>
  </si>
  <si>
    <t>ESCALDA</t>
  </si>
  <si>
    <t>CADON</t>
  </si>
  <si>
    <t>ZABIOLLE</t>
  </si>
  <si>
    <t>PASQUIER</t>
  </si>
  <si>
    <t>MARRONCLE</t>
  </si>
  <si>
    <t>TEBOUL</t>
  </si>
  <si>
    <t>JOUETRE</t>
  </si>
  <si>
    <t>EDITH</t>
  </si>
  <si>
    <t>ANTON</t>
  </si>
  <si>
    <t>PREVOST</t>
  </si>
  <si>
    <t>09765</t>
  </si>
  <si>
    <t>FR7642559000814101405714725</t>
  </si>
  <si>
    <t>MESNIER</t>
  </si>
  <si>
    <t>12767</t>
  </si>
  <si>
    <t xml:space="preserve"> Liste des subventions ASCC à effectuer :</t>
  </si>
  <si>
    <t xml:space="preserve"> Nom adhérent</t>
  </si>
  <si>
    <t xml:space="preserve"> Nb virements</t>
  </si>
  <si>
    <t xml:space="preserve"> Montant</t>
  </si>
  <si>
    <t xml:space="preserve"> prénom</t>
  </si>
  <si>
    <t xml:space="preserve"> Agence</t>
  </si>
  <si>
    <t xml:space="preserve"> code banque</t>
  </si>
  <si>
    <t>11652</t>
  </si>
  <si>
    <t>FR7610278079890002019660305</t>
  </si>
  <si>
    <t xml:space="preserve"> Etablissement ou Code BIC </t>
  </si>
  <si>
    <t>GAELLE</t>
  </si>
  <si>
    <t>13308</t>
  </si>
  <si>
    <t>JARRY</t>
  </si>
  <si>
    <t>JOCELIN</t>
  </si>
  <si>
    <t>CADIOU</t>
  </si>
  <si>
    <t>12380</t>
  </si>
  <si>
    <t>FR7615589351940132577664008</t>
  </si>
  <si>
    <t>KALDJOB</t>
  </si>
  <si>
    <t>07799</t>
  </si>
  <si>
    <t xml:space="preserve"> BBAN / IBAN </t>
  </si>
  <si>
    <t xml:space="preserve"> Nb virements Sepa</t>
  </si>
  <si>
    <t xml:space="preserve"> -------</t>
  </si>
  <si>
    <t xml:space="preserve"> ------------</t>
  </si>
  <si>
    <t xml:space="preserve"> total paiements</t>
  </si>
  <si>
    <t>FR7642559000854101205678355</t>
  </si>
  <si>
    <t>JOYEUX</t>
  </si>
  <si>
    <t>01258</t>
  </si>
  <si>
    <t>ZENNOU-JONOT</t>
  </si>
  <si>
    <t>00610</t>
  </si>
  <si>
    <t>02791</t>
  </si>
  <si>
    <t>SERAFIN</t>
  </si>
  <si>
    <t>C. C</t>
  </si>
  <si>
    <t>FR7642559000092101857330445</t>
  </si>
  <si>
    <t>05321</t>
  </si>
  <si>
    <t>DI CARO</t>
  </si>
  <si>
    <t>07911</t>
  </si>
  <si>
    <t>FR7642559000834101802074834</t>
  </si>
  <si>
    <t>FR7642559000352101851440506</t>
  </si>
  <si>
    <t>KIEFFER</t>
  </si>
  <si>
    <t>LAETETIA</t>
  </si>
  <si>
    <t>FR7642559000455101001695568</t>
  </si>
  <si>
    <t>ERWAN</t>
  </si>
  <si>
    <t>FR7616806042003930666600010</t>
  </si>
  <si>
    <t>FR7642559000252101842190251</t>
  </si>
  <si>
    <t>FR7642559000162101843520547</t>
  </si>
  <si>
    <t>FR7642559000332101854780537</t>
  </si>
  <si>
    <t>FR7630003007500005096344934</t>
  </si>
  <si>
    <t>GAUTIER</t>
  </si>
  <si>
    <t>FR7642559000312101852190667</t>
  </si>
  <si>
    <t>FR0930258000898840854L00164</t>
  </si>
  <si>
    <t>FR7613906000432740293200040</t>
  </si>
  <si>
    <t>FR7630258000890884056200140</t>
  </si>
  <si>
    <t>FR7642559000512101858010464</t>
  </si>
  <si>
    <t>GUILLEMOT</t>
  </si>
  <si>
    <t>02628</t>
  </si>
  <si>
    <t>FR7642559000752101856530660</t>
  </si>
  <si>
    <t>LACOUX</t>
  </si>
  <si>
    <t>FR7642559000862101856820331</t>
  </si>
  <si>
    <t>GAUCHON</t>
  </si>
  <si>
    <t>FR7642559000554101701215721</t>
  </si>
  <si>
    <t>FR7642559000544101600556896</t>
  </si>
  <si>
    <t>FR7642559000052101856030220</t>
  </si>
  <si>
    <t>FR7642559000094101900355956</t>
  </si>
  <si>
    <t>FOFANA</t>
  </si>
  <si>
    <t>YOUSSOUF</t>
  </si>
  <si>
    <t>BENHAMZA</t>
  </si>
  <si>
    <t>FR7642559000444101700351034</t>
  </si>
  <si>
    <t>10780</t>
  </si>
  <si>
    <t>MAENE</t>
  </si>
  <si>
    <t>FR7630066108580001057110132</t>
  </si>
  <si>
    <t>FR7642559000414101100805622</t>
  </si>
  <si>
    <t>FR7642559000284101400354136</t>
  </si>
  <si>
    <t>FR7642559000254101600048663</t>
  </si>
  <si>
    <t>JONATHAN</t>
  </si>
  <si>
    <t>FR7642559000164101200884292</t>
  </si>
  <si>
    <t>04836</t>
  </si>
  <si>
    <t>FR7642559000414101300721652</t>
  </si>
  <si>
    <t>FR7642559000114101100269468</t>
  </si>
  <si>
    <t>Le responsable de section</t>
  </si>
  <si>
    <t>BRETAUDEAU</t>
  </si>
  <si>
    <t>11066</t>
  </si>
  <si>
    <t>FR7642559000514101006795788</t>
  </si>
  <si>
    <t>VINATIER</t>
  </si>
  <si>
    <t>04716</t>
  </si>
  <si>
    <t>BDX QUINCONCES</t>
  </si>
  <si>
    <t>FR7642559000094101701134058</t>
  </si>
  <si>
    <t>SANTONI</t>
  </si>
  <si>
    <t>05922</t>
  </si>
  <si>
    <t>FR7630003040850005077417448</t>
  </si>
  <si>
    <t>FR7614506000107281528516792</t>
  </si>
  <si>
    <t>FR7642559000822101858770867</t>
  </si>
  <si>
    <t>FR7617515900000417737623390</t>
  </si>
  <si>
    <t>CREDITCOOP NANTERRE</t>
  </si>
  <si>
    <t>FR7642559000092101858210138</t>
  </si>
  <si>
    <t xml:space="preserve"> Nb en attente</t>
  </si>
  <si>
    <t>FR0730258000000027980V00157</t>
  </si>
  <si>
    <t>BENJAMIN</t>
  </si>
  <si>
    <t>SEVERINE</t>
  </si>
  <si>
    <t xml:space="preserve">AGENCE </t>
  </si>
  <si>
    <t>FR7642559000712101857450862</t>
  </si>
  <si>
    <t>BNPAFRPPXXX</t>
  </si>
  <si>
    <t>FR7630004018800000006519451</t>
  </si>
  <si>
    <t>FR3830258000003005913J00111</t>
  </si>
  <si>
    <t>NANTEUIL</t>
  </si>
  <si>
    <t>FR7642559000152101856460168</t>
  </si>
  <si>
    <t>SUBV AGENCE</t>
  </si>
  <si>
    <t>FALGAREIRO</t>
  </si>
  <si>
    <t>PELOSO</t>
  </si>
  <si>
    <t>MORET</t>
  </si>
  <si>
    <t>OUNISSA</t>
  </si>
  <si>
    <t>ATRANE</t>
  </si>
  <si>
    <t>FR7642559000434101406100870</t>
  </si>
  <si>
    <t>FR7642559000092101855520522</t>
  </si>
  <si>
    <t>FR7642559000412101856730893</t>
  </si>
  <si>
    <t>FR7612906000286762823000176</t>
  </si>
  <si>
    <t>MARIE PIERRE</t>
  </si>
  <si>
    <t>FR7642559000754101400966956</t>
  </si>
  <si>
    <t>JUSTINE</t>
  </si>
  <si>
    <t>LARRIEU</t>
  </si>
  <si>
    <t>04199</t>
  </si>
  <si>
    <t>FR7642559000364101500584892</t>
  </si>
  <si>
    <t>FR7642559000334101903273744</t>
  </si>
  <si>
    <t>FR7642559000274101500780773</t>
  </si>
  <si>
    <t>AGRIFRPP894</t>
  </si>
  <si>
    <t>POUYFAUCON</t>
  </si>
  <si>
    <t>07653</t>
  </si>
  <si>
    <t>LAMBERT MILLI</t>
  </si>
  <si>
    <t>03220</t>
  </si>
  <si>
    <t>FR7642559000092101880370758</t>
  </si>
  <si>
    <t>FR7642559000114101600902085</t>
  </si>
  <si>
    <t>CEPAFRPP333</t>
  </si>
  <si>
    <t>CEPAFRPP382</t>
  </si>
  <si>
    <t>10013</t>
  </si>
  <si>
    <t>FR7630004017280000018643724</t>
  </si>
  <si>
    <t>07823</t>
  </si>
  <si>
    <t>ST GERM.LAYE</t>
  </si>
  <si>
    <t>FR7630004010940000008026302</t>
  </si>
  <si>
    <t>BP ATLANTIQUE</t>
  </si>
  <si>
    <t>DUBEILLON</t>
  </si>
  <si>
    <t>SCHMITD</t>
  </si>
  <si>
    <t>AURELIEN</t>
  </si>
  <si>
    <t>JOCELYN</t>
  </si>
  <si>
    <t>PROD HOMME</t>
  </si>
  <si>
    <t>FR7613807000353071808454151</t>
  </si>
  <si>
    <t>FR1430258000898841271Y00192</t>
  </si>
  <si>
    <t>FR7613335004010493147029688</t>
  </si>
  <si>
    <t>DABET</t>
  </si>
  <si>
    <t>12633</t>
  </si>
  <si>
    <t>FR7642559000704101207308083</t>
  </si>
  <si>
    <t>HILD</t>
  </si>
  <si>
    <t>11575</t>
  </si>
  <si>
    <t>STRASBOUG</t>
  </si>
  <si>
    <t>FR7630258000008000110649974</t>
  </si>
  <si>
    <t>DRORI</t>
  </si>
  <si>
    <t>09902</t>
  </si>
  <si>
    <t>FR7610278010020003911774069</t>
  </si>
  <si>
    <t>BARBIEUX</t>
  </si>
  <si>
    <t>12912</t>
  </si>
  <si>
    <t>FR7642559000614101606659934</t>
  </si>
  <si>
    <t>PAIN</t>
  </si>
  <si>
    <t>03109</t>
  </si>
  <si>
    <t>ROUSSEL</t>
  </si>
  <si>
    <t>CHRISTOPHER</t>
  </si>
  <si>
    <t>11201</t>
  </si>
  <si>
    <t>DEBORAH</t>
  </si>
  <si>
    <t>FLORA</t>
  </si>
  <si>
    <t>FR7642559000114101802410467</t>
  </si>
  <si>
    <t>PEROYS</t>
  </si>
  <si>
    <t>12114</t>
  </si>
  <si>
    <t>DAGHIS</t>
  </si>
  <si>
    <t>04428</t>
  </si>
  <si>
    <t>FR7618025002000472036970505</t>
  </si>
  <si>
    <t>CEPAFRPP802</t>
  </si>
  <si>
    <t>12457</t>
  </si>
  <si>
    <t>FR7642559000604101903232405</t>
  </si>
  <si>
    <t>AGUETTAZ</t>
  </si>
  <si>
    <t>03252</t>
  </si>
  <si>
    <t>FR7642559000244101701928554</t>
  </si>
  <si>
    <t>JOLLIN</t>
  </si>
  <si>
    <t>11564</t>
  </si>
  <si>
    <t>AMIENS</t>
  </si>
  <si>
    <t>GIROD</t>
  </si>
  <si>
    <t>08224</t>
  </si>
  <si>
    <t>FR7642559000694101605436353</t>
  </si>
  <si>
    <t>LA BANQUE POSTALE</t>
  </si>
  <si>
    <t>11069</t>
  </si>
  <si>
    <t>CADROT</t>
  </si>
  <si>
    <t>11115</t>
  </si>
  <si>
    <t>QUA</t>
  </si>
  <si>
    <t>5C111</t>
  </si>
  <si>
    <t>228667</t>
  </si>
  <si>
    <t>DÉLI</t>
  </si>
  <si>
    <t>228099</t>
  </si>
  <si>
    <t>BLONDEAU</t>
  </si>
  <si>
    <t>02641</t>
  </si>
  <si>
    <t>FR7642559000202101857430869</t>
  </si>
  <si>
    <t>PARMENTIER</t>
  </si>
  <si>
    <t>EPA</t>
  </si>
  <si>
    <t>22.82.68</t>
  </si>
  <si>
    <t>GUILLOU</t>
  </si>
  <si>
    <t>SCHORESTENE</t>
  </si>
  <si>
    <t>VAN HEERS</t>
  </si>
  <si>
    <t>QUETIER</t>
  </si>
  <si>
    <t>LETIZIA</t>
  </si>
  <si>
    <t>07750</t>
  </si>
  <si>
    <t>FR7630003037360005007216023</t>
  </si>
  <si>
    <t>CASTEL</t>
  </si>
  <si>
    <t>HARNOIS</t>
  </si>
  <si>
    <t>LE BICH</t>
  </si>
  <si>
    <t>HANG</t>
  </si>
  <si>
    <t>12743</t>
  </si>
  <si>
    <t>FR7640618802630004037700673</t>
  </si>
  <si>
    <t>GAVORY</t>
  </si>
  <si>
    <t>09044</t>
  </si>
  <si>
    <t>FR7642559000724101700564305</t>
  </si>
  <si>
    <t>05577</t>
  </si>
  <si>
    <t>MARTINAT</t>
  </si>
  <si>
    <t>228848</t>
  </si>
  <si>
    <t>COC</t>
  </si>
  <si>
    <t>228064</t>
  </si>
  <si>
    <t>228737</t>
  </si>
  <si>
    <t>FR7642559000092101850090656</t>
  </si>
  <si>
    <t>DEHOUX</t>
  </si>
  <si>
    <t>LUC</t>
  </si>
  <si>
    <t>PIN</t>
  </si>
  <si>
    <t>LAURIANNE</t>
  </si>
  <si>
    <t>11213</t>
  </si>
  <si>
    <t>FR7613825002000425879207060</t>
  </si>
  <si>
    <t>BOURACHOT</t>
  </si>
  <si>
    <t>04246</t>
  </si>
  <si>
    <t>AGRIFRPP802</t>
  </si>
  <si>
    <t>07501</t>
  </si>
  <si>
    <t>FR7642559000614101504719530</t>
  </si>
  <si>
    <t>ERMISER</t>
  </si>
  <si>
    <t>OZCAN</t>
  </si>
  <si>
    <t>12408</t>
  </si>
  <si>
    <t>FR7616806099392938805800174</t>
  </si>
  <si>
    <t>SIMON</t>
  </si>
  <si>
    <t>TOUSCH</t>
  </si>
  <si>
    <t>ANNE LAURE</t>
  </si>
  <si>
    <t>11990</t>
  </si>
  <si>
    <t>PSSTFRPPNCY</t>
  </si>
  <si>
    <t>FR6620041010100778591X03102</t>
  </si>
  <si>
    <t>PLUNIAN</t>
  </si>
  <si>
    <t>12020</t>
  </si>
  <si>
    <t>FR7610096180880004713410182</t>
  </si>
  <si>
    <t>CATTEAU</t>
  </si>
  <si>
    <t>10305</t>
  </si>
  <si>
    <t>AGRIFRPP833</t>
  </si>
  <si>
    <t>FR7613306000456600906465392</t>
  </si>
  <si>
    <t>04714</t>
  </si>
  <si>
    <t>AGRIFRPP845</t>
  </si>
  <si>
    <t>QUEREJETA</t>
  </si>
  <si>
    <t>MIGDAL</t>
  </si>
  <si>
    <t>FR7642559000162101855210211</t>
  </si>
  <si>
    <t>01496</t>
  </si>
  <si>
    <t>09005</t>
  </si>
  <si>
    <t>03460</t>
  </si>
  <si>
    <t>00967</t>
  </si>
  <si>
    <t>04755</t>
  </si>
  <si>
    <t>04873</t>
  </si>
  <si>
    <t>03075</t>
  </si>
  <si>
    <t>07826</t>
  </si>
  <si>
    <t>03064</t>
  </si>
  <si>
    <t>FLECHE</t>
  </si>
  <si>
    <t>07626</t>
  </si>
  <si>
    <t>FR4730002025400000191569J42</t>
  </si>
  <si>
    <t>07692</t>
  </si>
  <si>
    <t>02978</t>
  </si>
  <si>
    <t>05969</t>
  </si>
  <si>
    <t>02596</t>
  </si>
  <si>
    <t>FR7630003034980005007511272</t>
  </si>
  <si>
    <t>RIBEIRO</t>
  </si>
  <si>
    <t>ADELAIDE</t>
  </si>
  <si>
    <t>FR7642559000342101858630646</t>
  </si>
  <si>
    <t>MENARD</t>
  </si>
  <si>
    <t>ELEONORE</t>
  </si>
  <si>
    <t>FR7642559000442101855000368</t>
  </si>
  <si>
    <t>MARIAM</t>
  </si>
  <si>
    <t>BENALOUANE</t>
  </si>
  <si>
    <t>FR7642559000854101800697792</t>
  </si>
  <si>
    <t>FR7642559000824101800169963</t>
  </si>
  <si>
    <t>LUCILE</t>
  </si>
  <si>
    <t>ALET</t>
  </si>
  <si>
    <t>CHAFIKI</t>
  </si>
  <si>
    <t>12650</t>
  </si>
  <si>
    <t>FR7617515900000443791681964</t>
  </si>
  <si>
    <t>AMELIE</t>
  </si>
  <si>
    <t>FR7642559000384101106168603</t>
  </si>
  <si>
    <t>JOSNIN</t>
  </si>
  <si>
    <t>12219</t>
  </si>
  <si>
    <t>TIQUET</t>
  </si>
  <si>
    <t>04854</t>
  </si>
  <si>
    <t>RIOU</t>
  </si>
  <si>
    <t>12005</t>
  </si>
  <si>
    <t>FR7642559000564101902524753</t>
  </si>
  <si>
    <t>LORIENT</t>
  </si>
  <si>
    <t>PAUL</t>
  </si>
  <si>
    <t>LAISNE</t>
  </si>
  <si>
    <t>12395</t>
  </si>
  <si>
    <t>FR7616606100270013402123631</t>
  </si>
  <si>
    <t>AUDIN</t>
  </si>
  <si>
    <t>01512</t>
  </si>
  <si>
    <t>CUDEL</t>
  </si>
  <si>
    <t>12632</t>
  </si>
  <si>
    <t>BDX</t>
  </si>
  <si>
    <t xml:space="preserve"> CC</t>
  </si>
  <si>
    <t>FR7642559000414101307205423</t>
  </si>
  <si>
    <t>CHOMAT</t>
  </si>
  <si>
    <t>RENAUD</t>
  </si>
  <si>
    <t>12067</t>
  </si>
  <si>
    <t>FR7630004023380000016224706</t>
  </si>
  <si>
    <t>FR7642559000422101851810553</t>
  </si>
  <si>
    <t>DUPUIS</t>
  </si>
  <si>
    <t>JEAN CLAUDE</t>
  </si>
  <si>
    <t>GUISON</t>
  </si>
  <si>
    <t>200913</t>
  </si>
  <si>
    <t>LEPELTIER</t>
  </si>
  <si>
    <t>04678</t>
  </si>
  <si>
    <t>FR7642559000754101700740218</t>
  </si>
  <si>
    <t>BOULONGNE</t>
  </si>
  <si>
    <t>KATHLEEN</t>
  </si>
  <si>
    <t>PSB</t>
  </si>
  <si>
    <t>3.111</t>
  </si>
  <si>
    <t>229662</t>
  </si>
  <si>
    <t>THEOBALD</t>
  </si>
  <si>
    <t>03522</t>
  </si>
  <si>
    <t>FR7642559000414101700229247</t>
  </si>
  <si>
    <t>ROUVE</t>
  </si>
  <si>
    <t>01074</t>
  </si>
  <si>
    <t>FR7642559000452101854190888</t>
  </si>
  <si>
    <t>0147248539</t>
  </si>
  <si>
    <t>ANM</t>
  </si>
  <si>
    <t>0147248818</t>
  </si>
  <si>
    <t>00568</t>
  </si>
  <si>
    <t>FRUTOS</t>
  </si>
  <si>
    <t>00847</t>
  </si>
  <si>
    <t>FR7642559000342101843770343</t>
  </si>
  <si>
    <t>PASQUARELLI</t>
  </si>
  <si>
    <t>03232</t>
  </si>
  <si>
    <t>FR7642559000124101206782825</t>
  </si>
  <si>
    <t>CHAMBARD</t>
  </si>
  <si>
    <t>MARIANNE</t>
  </si>
  <si>
    <t>12173</t>
  </si>
  <si>
    <t>04153</t>
  </si>
  <si>
    <t>FR7642559000354101000823738</t>
  </si>
  <si>
    <t>LUCIE-FABIENNE</t>
  </si>
  <si>
    <t>AIX</t>
  </si>
  <si>
    <t>FR7642559000414101206169932</t>
  </si>
  <si>
    <t>06682</t>
  </si>
  <si>
    <t>LEURIDANT</t>
  </si>
  <si>
    <t>00718</t>
  </si>
  <si>
    <t>DGM</t>
  </si>
  <si>
    <t>00878</t>
  </si>
  <si>
    <t>BERNOLLIN</t>
  </si>
  <si>
    <t>LE HAVRE</t>
  </si>
  <si>
    <t>GIEN</t>
  </si>
  <si>
    <t>JEAN PIERRE</t>
  </si>
  <si>
    <t>MARSEILLE PRADO</t>
  </si>
  <si>
    <t>CLAUDEL</t>
  </si>
  <si>
    <t>03298</t>
  </si>
  <si>
    <t>FR7642559000864101501256837</t>
  </si>
  <si>
    <t>BATANTOU</t>
  </si>
  <si>
    <t>MORGANE</t>
  </si>
  <si>
    <t>12100</t>
  </si>
  <si>
    <t>FR7614806000377001966589619</t>
  </si>
  <si>
    <t>AGRIFRPP848</t>
  </si>
  <si>
    <t>ARAGON</t>
  </si>
  <si>
    <t>07410</t>
  </si>
  <si>
    <t xml:space="preserve">  C C</t>
  </si>
  <si>
    <t>THIERRY</t>
  </si>
  <si>
    <t>DRH</t>
  </si>
  <si>
    <t>NADEGE</t>
  </si>
  <si>
    <t>METZ</t>
  </si>
  <si>
    <t>DESCHAMPS</t>
  </si>
  <si>
    <t>CAEN</t>
  </si>
  <si>
    <t>DUFERMONT</t>
  </si>
  <si>
    <t>ECHECS</t>
  </si>
  <si>
    <t>04095</t>
  </si>
  <si>
    <t>Jahadi vincent</t>
  </si>
  <si>
    <t>8167</t>
  </si>
  <si>
    <t>COUARAN QUENET</t>
  </si>
  <si>
    <t>KLERVI</t>
  </si>
  <si>
    <t>12484</t>
  </si>
  <si>
    <t>FR7642559000404101802911619</t>
  </si>
  <si>
    <t xml:space="preserve">TOULOUSE </t>
  </si>
  <si>
    <t>AVIGNON</t>
  </si>
  <si>
    <t>AIX EN PROVENCE</t>
  </si>
  <si>
    <t>08129</t>
  </si>
  <si>
    <t>05186</t>
  </si>
  <si>
    <t>DIEPPE</t>
  </si>
  <si>
    <t>04326</t>
  </si>
  <si>
    <t>RODRIGUEZ</t>
  </si>
  <si>
    <t>DOUKHAN</t>
  </si>
  <si>
    <t>ANAIS</t>
  </si>
  <si>
    <t>RANDO SPORT</t>
  </si>
  <si>
    <t>HELENE</t>
  </si>
  <si>
    <t>FICHOUX</t>
  </si>
  <si>
    <t>02497</t>
  </si>
  <si>
    <t>MICHEL</t>
  </si>
  <si>
    <t>mail ou liste</t>
  </si>
  <si>
    <t>FOUCHE HAYS</t>
  </si>
  <si>
    <t>VIOLAINE</t>
  </si>
  <si>
    <t>972</t>
  </si>
  <si>
    <t>9168</t>
  </si>
  <si>
    <t>CHAMBOST</t>
  </si>
  <si>
    <t>ARNAUD</t>
  </si>
  <si>
    <t>PATRICIA</t>
  </si>
  <si>
    <t>01783</t>
  </si>
  <si>
    <t>FUZZATI</t>
  </si>
  <si>
    <t>prelevement</t>
  </si>
  <si>
    <t>GALVAN</t>
  </si>
  <si>
    <t>CORINNE</t>
  </si>
  <si>
    <t>GHISLAINE</t>
  </si>
  <si>
    <t>12764</t>
  </si>
  <si>
    <t>FR7642559000954101007577918</t>
  </si>
  <si>
    <t>GARNOTEL</t>
  </si>
  <si>
    <t>JOSIANE</t>
  </si>
  <si>
    <t>Nadège de la Rivière</t>
  </si>
  <si>
    <t>228736</t>
  </si>
  <si>
    <t>SB</t>
  </si>
  <si>
    <t>FR7615489048170002564984051</t>
  </si>
  <si>
    <t>ASCC COTIS 2011-03-04 SB</t>
  </si>
  <si>
    <t>FR</t>
  </si>
  <si>
    <t>DORRYHEE</t>
  </si>
  <si>
    <t>GATTAUT</t>
  </si>
  <si>
    <t>LAUREN</t>
  </si>
  <si>
    <t>MONTPELLIER</t>
  </si>
  <si>
    <t>GAUTHIER</t>
  </si>
  <si>
    <t>08150</t>
  </si>
  <si>
    <t>PETIZON</t>
  </si>
  <si>
    <t>11305</t>
  </si>
  <si>
    <t>FR7642559000764101106311108</t>
  </si>
  <si>
    <t>FR0320041010040500776K02570</t>
  </si>
  <si>
    <t>GIRARD</t>
  </si>
  <si>
    <t>CELIA</t>
  </si>
  <si>
    <t>09932</t>
  </si>
  <si>
    <t>CCBPFRPPVER</t>
  </si>
  <si>
    <t>FR7618707006420171934605634</t>
  </si>
  <si>
    <t>FR7642559000214101400893173</t>
  </si>
  <si>
    <t>TARDIEU</t>
  </si>
  <si>
    <t>AGRIFRPP868</t>
  </si>
  <si>
    <t>11158</t>
  </si>
  <si>
    <t>FR7630004014380000031924658</t>
  </si>
  <si>
    <t>BNPAFRPP</t>
  </si>
  <si>
    <t>ANNE</t>
  </si>
  <si>
    <t>TOULON</t>
  </si>
  <si>
    <t>GOIRAN</t>
  </si>
  <si>
    <t>BTP PEREIRE</t>
  </si>
  <si>
    <t>JACQUELINE</t>
  </si>
  <si>
    <t>CELINE</t>
  </si>
  <si>
    <t>SYLVIANE</t>
  </si>
  <si>
    <t>BOURSORAMA</t>
  </si>
  <si>
    <t>BOUSFRPPXXX</t>
  </si>
  <si>
    <t>10988</t>
  </si>
  <si>
    <t>11256</t>
  </si>
  <si>
    <t>MORAILLON</t>
  </si>
  <si>
    <t>GARBI</t>
  </si>
  <si>
    <t>LINDA</t>
  </si>
  <si>
    <t>12211</t>
  </si>
  <si>
    <t>FR7642559000704101307020882</t>
  </si>
  <si>
    <t>BEZSONOFF</t>
  </si>
  <si>
    <t>11719</t>
  </si>
  <si>
    <t>CARDOSO</t>
  </si>
  <si>
    <t>05568</t>
  </si>
  <si>
    <t>FR7617515900000459156572853</t>
  </si>
  <si>
    <t>GROS</t>
  </si>
  <si>
    <t>GWENAEL</t>
  </si>
  <si>
    <t>10186</t>
  </si>
  <si>
    <t>3079</t>
  </si>
  <si>
    <t>229111</t>
  </si>
  <si>
    <t>FR7610278018500002046610138</t>
  </si>
  <si>
    <t>SUC</t>
  </si>
  <si>
    <t>IIDFFR21XXX</t>
  </si>
  <si>
    <t>MANGE DE CLERCK</t>
  </si>
  <si>
    <t>02588</t>
  </si>
  <si>
    <t>FR7642559000332101856390931</t>
  </si>
  <si>
    <t>CARRARA</t>
  </si>
  <si>
    <t>07670</t>
  </si>
  <si>
    <t>FR7630003012480005000335012</t>
  </si>
  <si>
    <t>MATTEI</t>
  </si>
  <si>
    <t>07878</t>
  </si>
  <si>
    <t>NICE</t>
  </si>
  <si>
    <t>PIERRE</t>
  </si>
  <si>
    <t>CAROLINE</t>
  </si>
  <si>
    <t>DPC</t>
  </si>
  <si>
    <t>MERCIER</t>
  </si>
  <si>
    <t>PASCAL</t>
  </si>
  <si>
    <t>MARIE HELENE</t>
  </si>
  <si>
    <t>JARDIN</t>
  </si>
  <si>
    <t>JAUPART</t>
  </si>
  <si>
    <t>GUIZANI</t>
  </si>
  <si>
    <t>MOUNIR</t>
  </si>
  <si>
    <t>11501</t>
  </si>
  <si>
    <t>BLANC</t>
  </si>
  <si>
    <t>10696</t>
  </si>
  <si>
    <t>MAURIGE</t>
  </si>
  <si>
    <t>01181</t>
  </si>
  <si>
    <t>FR7642559000092101844730727</t>
  </si>
  <si>
    <t>01311</t>
  </si>
  <si>
    <t>02586</t>
  </si>
  <si>
    <t>FR7642559000092101856560168</t>
  </si>
  <si>
    <t>07634</t>
  </si>
  <si>
    <t>07687</t>
  </si>
  <si>
    <t>FR7618206002705637065300101</t>
  </si>
  <si>
    <t>FR7610096180670006198010144</t>
  </si>
  <si>
    <t>FAVRIOU</t>
  </si>
  <si>
    <t>02838</t>
  </si>
  <si>
    <t>FR7642559000442101857600841</t>
  </si>
  <si>
    <t>BNP PARIBAS</t>
  </si>
  <si>
    <t>BNPAFRPPGRE</t>
  </si>
  <si>
    <t>FR7642559000264101406170674</t>
  </si>
  <si>
    <t>HEROUARD</t>
  </si>
  <si>
    <t>03907</t>
  </si>
  <si>
    <t>FR7642559000064101000354693</t>
  </si>
  <si>
    <t>CIESLEWICZ</t>
  </si>
  <si>
    <t>PAULINE</t>
  </si>
  <si>
    <t>12004</t>
  </si>
  <si>
    <t>MUSELET</t>
  </si>
  <si>
    <t>MARIE AGNES</t>
  </si>
  <si>
    <t>10966</t>
  </si>
  <si>
    <t>FR7610206513409928158183685</t>
  </si>
  <si>
    <t>FR7618206001150977149300197</t>
  </si>
  <si>
    <t>JIMENEZ</t>
  </si>
  <si>
    <t>8516</t>
  </si>
  <si>
    <t>RSI</t>
  </si>
  <si>
    <t>VALENCE</t>
  </si>
  <si>
    <t>SOLER</t>
  </si>
  <si>
    <t>FREDERIQUE</t>
  </si>
  <si>
    <t>8459</t>
  </si>
  <si>
    <t>Total Subvention Reseau</t>
  </si>
  <si>
    <t>FR7642559000374101106675152</t>
  </si>
  <si>
    <t>YANNICK</t>
  </si>
  <si>
    <t>MASSY</t>
  </si>
  <si>
    <t>CLOUARD</t>
  </si>
  <si>
    <t>ELINDA</t>
  </si>
  <si>
    <t>12112</t>
  </si>
  <si>
    <t>MERIGNAC</t>
  </si>
  <si>
    <t>LOIRE FABRE</t>
  </si>
  <si>
    <t>05385</t>
  </si>
  <si>
    <t>FR7630056002220222721956033</t>
  </si>
  <si>
    <t>CCFRERPP</t>
  </si>
  <si>
    <t>BELARBI</t>
  </si>
  <si>
    <t>07753</t>
  </si>
  <si>
    <t>FR7614707009090091990524083</t>
  </si>
  <si>
    <t>CCBPFRPPMTZ</t>
  </si>
  <si>
    <t>LHOUMEAU</t>
  </si>
  <si>
    <t>07794</t>
  </si>
  <si>
    <t>FR7642559000434101206655872</t>
  </si>
  <si>
    <t>CHAPUIS</t>
  </si>
  <si>
    <t>12928</t>
  </si>
  <si>
    <t>FR7614265006000453067367366</t>
  </si>
  <si>
    <t>FR7642559000344101005680931</t>
  </si>
  <si>
    <t>FR7616606100010927190200131</t>
  </si>
  <si>
    <t>AGRIFRPP866</t>
  </si>
  <si>
    <t>07681</t>
  </si>
  <si>
    <t>8453</t>
  </si>
  <si>
    <t>LANTER</t>
  </si>
  <si>
    <t>CEDRIC</t>
  </si>
  <si>
    <t>LASSAYS</t>
  </si>
  <si>
    <t>CHANTAL</t>
  </si>
  <si>
    <t>LECLERC</t>
  </si>
  <si>
    <t>03683</t>
  </si>
  <si>
    <t>00529</t>
  </si>
  <si>
    <t>FR7642559000092101854940559</t>
  </si>
  <si>
    <t>DAJ</t>
  </si>
  <si>
    <t>COMPTA</t>
  </si>
  <si>
    <t>CHRISTIAN</t>
  </si>
  <si>
    <t>HERVE</t>
  </si>
  <si>
    <t>non réinscrit</t>
  </si>
  <si>
    <t>SOCOREC</t>
  </si>
  <si>
    <t>ACTIVITES  DE  L' EXERCICE  PRECEDENT</t>
  </si>
  <si>
    <t>LOUSTAU</t>
  </si>
  <si>
    <t>MARIE CHRITI</t>
  </si>
  <si>
    <t>LUIS</t>
  </si>
  <si>
    <t>CHAMALIERES</t>
  </si>
  <si>
    <t>LUX</t>
  </si>
  <si>
    <t>MAJOULET</t>
  </si>
  <si>
    <t>MARIE PAULE</t>
  </si>
  <si>
    <t>MARTIN</t>
  </si>
  <si>
    <t>PATRICK</t>
  </si>
  <si>
    <t>02309</t>
  </si>
  <si>
    <t>AUDREY</t>
  </si>
  <si>
    <t>269</t>
  </si>
  <si>
    <t>03104</t>
  </si>
  <si>
    <t xml:space="preserve">CREDITCOOP NANTERRE </t>
  </si>
  <si>
    <t>FR7642559000092101858960433</t>
  </si>
  <si>
    <t>0147248439</t>
  </si>
  <si>
    <t>RENNES</t>
  </si>
  <si>
    <t>NGUYEN</t>
  </si>
  <si>
    <t>HUGO</t>
  </si>
  <si>
    <t>NOTARANGELO</t>
  </si>
  <si>
    <t>11921</t>
  </si>
  <si>
    <t>MICHAEL</t>
  </si>
  <si>
    <t>PAGNIER</t>
  </si>
  <si>
    <t>OPERA</t>
  </si>
  <si>
    <t>PARAY</t>
  </si>
  <si>
    <t>BARTOLO</t>
  </si>
  <si>
    <t>LACAZE</t>
  </si>
  <si>
    <t>ANNICK</t>
  </si>
  <si>
    <t>HERVIOU</t>
  </si>
  <si>
    <t>05109</t>
  </si>
  <si>
    <t>PAULYOU</t>
  </si>
  <si>
    <t>PERRIN</t>
  </si>
  <si>
    <t>MARIE</t>
  </si>
  <si>
    <t>ERIC</t>
  </si>
  <si>
    <t>00583</t>
  </si>
  <si>
    <t>FR7642559000092101843110148</t>
  </si>
  <si>
    <t>PLANE</t>
  </si>
  <si>
    <t>YOANN</t>
  </si>
  <si>
    <t>MARIE-PIERRE</t>
  </si>
  <si>
    <t>DENIS</t>
  </si>
  <si>
    <t>01847</t>
  </si>
  <si>
    <t>REGNIER</t>
  </si>
  <si>
    <t>ALINE</t>
  </si>
  <si>
    <t>ROTTENFUS</t>
  </si>
  <si>
    <t>ROUANNET</t>
  </si>
  <si>
    <t>MB7-271</t>
  </si>
  <si>
    <t>8907</t>
  </si>
  <si>
    <t>ROUERE</t>
  </si>
  <si>
    <t>SAUTHAT</t>
  </si>
  <si>
    <t>SAMUELINE</t>
  </si>
  <si>
    <t>8814</t>
  </si>
  <si>
    <t>MB5</t>
  </si>
  <si>
    <t>SERGE</t>
  </si>
  <si>
    <t>00560</t>
  </si>
  <si>
    <t>267</t>
  </si>
  <si>
    <t>8865</t>
  </si>
  <si>
    <t>03251</t>
  </si>
  <si>
    <t>BATIFRP1XXX</t>
  </si>
  <si>
    <t>MERCADAL WENDLING</t>
  </si>
  <si>
    <t>TOUGARD</t>
  </si>
  <si>
    <t>ECOFIINVEST</t>
  </si>
  <si>
    <t>TOUSSAINT</t>
  </si>
  <si>
    <t>NICOLAS</t>
  </si>
  <si>
    <t>VIALA</t>
  </si>
  <si>
    <t>641</t>
  </si>
  <si>
    <t>8721</t>
  </si>
  <si>
    <t>VIGNOLLY</t>
  </si>
  <si>
    <t>VINCENT</t>
  </si>
  <si>
    <t>BOSSON</t>
  </si>
  <si>
    <t>10555</t>
  </si>
  <si>
    <t>PEREZ GRAS</t>
  </si>
  <si>
    <t>07525</t>
  </si>
  <si>
    <t>FR7612135003000407052224584</t>
  </si>
  <si>
    <t>EVEN</t>
  </si>
  <si>
    <t>CORINE</t>
  </si>
  <si>
    <t>DE-FONVIELLE</t>
  </si>
  <si>
    <t>12995</t>
  </si>
  <si>
    <t>MARCELLA</t>
  </si>
  <si>
    <t>01128</t>
  </si>
  <si>
    <t>ETOILE</t>
  </si>
  <si>
    <t>FR7630258000008000103257895</t>
  </si>
  <si>
    <t>NORMAND</t>
  </si>
  <si>
    <t>10745</t>
  </si>
  <si>
    <t>FR7612135003000407458270755</t>
  </si>
  <si>
    <t>ANCIEN</t>
  </si>
  <si>
    <t>11558</t>
  </si>
  <si>
    <t>FR7616606000383878240911178</t>
  </si>
  <si>
    <t>VADECARD</t>
  </si>
  <si>
    <t>03918</t>
  </si>
  <si>
    <t>FR7642559000714101700784025</t>
  </si>
  <si>
    <t>CHAROLLOIS</t>
  </si>
  <si>
    <t>01695</t>
  </si>
  <si>
    <t>MERIEM</t>
  </si>
  <si>
    <t>DJAMEL</t>
  </si>
  <si>
    <t>10681</t>
  </si>
  <si>
    <t>PEILLEX</t>
  </si>
  <si>
    <t>07869</t>
  </si>
  <si>
    <t>FR7618106000449670101578690</t>
  </si>
  <si>
    <t>AGRIFRPP881</t>
  </si>
  <si>
    <t>FR7613825002000449630616972</t>
  </si>
  <si>
    <t>8788</t>
  </si>
  <si>
    <t>WENZEL</t>
  </si>
  <si>
    <t>LUDIVINE</t>
  </si>
  <si>
    <t>ESCUDERO</t>
  </si>
  <si>
    <t>FABRICE</t>
  </si>
  <si>
    <r>
      <t xml:space="preserve">MOIS INSCRIP TION </t>
    </r>
    <r>
      <rPr>
        <sz val="8"/>
        <color indexed="10"/>
        <rFont val="Arial Narrow"/>
        <family val="2"/>
      </rPr>
      <t>AAAA/MM</t>
    </r>
  </si>
  <si>
    <t>PALERME</t>
  </si>
  <si>
    <t/>
  </si>
  <si>
    <t>02083</t>
  </si>
  <si>
    <t>UTILISATEUR</t>
  </si>
  <si>
    <t>DATE</t>
  </si>
  <si>
    <t>FR9130002066610000000044V56</t>
  </si>
  <si>
    <t>FR7642559000094101100954803</t>
  </si>
  <si>
    <t>PAUTRAS</t>
  </si>
  <si>
    <t>JEAN-MARC</t>
  </si>
  <si>
    <t>03776</t>
  </si>
  <si>
    <t>Jardin</t>
  </si>
  <si>
    <t>DEC</t>
  </si>
  <si>
    <t>228862</t>
  </si>
  <si>
    <t>7.145</t>
  </si>
  <si>
    <t>EMANUELE</t>
  </si>
  <si>
    <t>228681</t>
  </si>
  <si>
    <t>DAI</t>
  </si>
  <si>
    <t>228673</t>
  </si>
  <si>
    <t>KONG</t>
  </si>
  <si>
    <t>VANNA</t>
  </si>
  <si>
    <t>VIDAL</t>
  </si>
  <si>
    <t>GERARD</t>
  </si>
  <si>
    <t>04071</t>
  </si>
  <si>
    <t>LERY</t>
  </si>
  <si>
    <t>PEDRAZZINI</t>
  </si>
  <si>
    <t>00812</t>
  </si>
  <si>
    <t>FR7642559000182101838220631</t>
  </si>
  <si>
    <t>HEFFNER</t>
  </si>
  <si>
    <t>WILLIAM</t>
  </si>
  <si>
    <t>12827</t>
  </si>
  <si>
    <t>ING</t>
  </si>
  <si>
    <t>228929</t>
  </si>
  <si>
    <t>COLIN</t>
  </si>
  <si>
    <t>228511</t>
  </si>
  <si>
    <t>GOUENARD</t>
  </si>
  <si>
    <t>229325</t>
  </si>
  <si>
    <t>DUMONT</t>
  </si>
  <si>
    <t>228247</t>
  </si>
  <si>
    <t>UCR</t>
  </si>
  <si>
    <t>229147</t>
  </si>
  <si>
    <t>MATTHIEU</t>
  </si>
  <si>
    <t>ELIZALDE FIALOUX</t>
  </si>
  <si>
    <t>04717</t>
  </si>
  <si>
    <t>FR7642559000214101100759168</t>
  </si>
  <si>
    <t>CHALIES</t>
  </si>
  <si>
    <t>05552</t>
  </si>
  <si>
    <t>FR7642559000544101901466804</t>
  </si>
  <si>
    <t>CAMILLE</t>
  </si>
  <si>
    <t>FR7020041000015385807U02022</t>
  </si>
  <si>
    <t>PSSTFRPPPAR</t>
  </si>
  <si>
    <t>CRLYFRPP</t>
  </si>
  <si>
    <t>VIARD</t>
  </si>
  <si>
    <t>section 1</t>
  </si>
  <si>
    <t>section 2</t>
  </si>
  <si>
    <t>section 3</t>
  </si>
  <si>
    <t>section 4</t>
  </si>
  <si>
    <t>section 5</t>
  </si>
  <si>
    <t>liste date</t>
  </si>
  <si>
    <t>liste section</t>
  </si>
  <si>
    <t>date cotis</t>
  </si>
  <si>
    <t>03778</t>
  </si>
  <si>
    <t>DECOUVERTE</t>
  </si>
  <si>
    <t>NB</t>
  </si>
  <si>
    <t>CREDIT COOP</t>
  </si>
  <si>
    <t>CARDIO PICASSO</t>
  </si>
  <si>
    <t>BTP BANQUE</t>
  </si>
  <si>
    <t>SOCIETE</t>
  </si>
  <si>
    <t>societe</t>
  </si>
  <si>
    <t>filtre</t>
  </si>
  <si>
    <t>PRESTATAIRE</t>
  </si>
  <si>
    <t>13180</t>
  </si>
  <si>
    <t>PENDINO</t>
  </si>
  <si>
    <t>00986</t>
  </si>
  <si>
    <t>FR7642559000162101842400973</t>
  </si>
  <si>
    <t>PAYET</t>
  </si>
  <si>
    <t>12871</t>
  </si>
  <si>
    <t>FR1930002004340000074855T15</t>
  </si>
  <si>
    <t>BTP NATION</t>
  </si>
  <si>
    <t>01206</t>
  </si>
  <si>
    <t>martin vero</t>
  </si>
  <si>
    <t>MB7 1</t>
  </si>
  <si>
    <t>CARAMELLE</t>
  </si>
  <si>
    <t>NADINE</t>
  </si>
  <si>
    <t>BIDEGARAY</t>
  </si>
  <si>
    <t>09992</t>
  </si>
  <si>
    <t>PSSTFRPPBOR</t>
  </si>
  <si>
    <t>FR5620041010011734503Y02216</t>
  </si>
  <si>
    <t>03102</t>
  </si>
  <si>
    <t>FR7642559000724101500194897</t>
  </si>
  <si>
    <t>12101</t>
  </si>
  <si>
    <t>SCHAEFFER</t>
  </si>
  <si>
    <t>07459</t>
  </si>
  <si>
    <t>STRABOURG</t>
  </si>
  <si>
    <t>FR9630002085460000000055S75</t>
  </si>
  <si>
    <t>FR7617906000322180180000059</t>
  </si>
  <si>
    <t>AGRIFRPP879</t>
  </si>
  <si>
    <t>MAIKA</t>
  </si>
  <si>
    <t>07818</t>
  </si>
  <si>
    <t>DRP</t>
  </si>
  <si>
    <t>FR7630003004410005205319757</t>
  </si>
  <si>
    <t>FAILLON</t>
  </si>
  <si>
    <t>07622</t>
  </si>
  <si>
    <t>BTP CAPITAL</t>
  </si>
  <si>
    <t>FR7618206003593545983200190</t>
  </si>
  <si>
    <t>LABP</t>
  </si>
  <si>
    <t>FR3120041010051414761D02647</t>
  </si>
  <si>
    <t>RAHMANI</t>
  </si>
  <si>
    <t>AIKEL</t>
  </si>
  <si>
    <t>12379</t>
  </si>
  <si>
    <t>FR7613825002000451877298574</t>
  </si>
  <si>
    <t>BESSON LEBLANC</t>
  </si>
  <si>
    <t>REMY</t>
  </si>
  <si>
    <t>12892</t>
  </si>
  <si>
    <t>FR7616807001151601970666020</t>
  </si>
  <si>
    <t>CCBPFRPPGRE</t>
  </si>
  <si>
    <t>11825</t>
  </si>
  <si>
    <t>160</t>
  </si>
  <si>
    <t>12139</t>
  </si>
  <si>
    <t>ROBERT</t>
  </si>
  <si>
    <t>228031</t>
  </si>
  <si>
    <t>Objet : Participation(*) au financement des activités sportives du personnel du Groupe Crédit Coopératif des agences de la région parisienne ou de province et adhérent de l'ASCC</t>
  </si>
  <si>
    <t>02981</t>
  </si>
  <si>
    <t>REYNIER</t>
  </si>
  <si>
    <t>JULIEN</t>
  </si>
  <si>
    <t>rabussier</t>
  </si>
  <si>
    <t>marc leclerc</t>
  </si>
  <si>
    <t>CEPAFRPP213</t>
  </si>
  <si>
    <t>SAN JOSE PEREZ</t>
  </si>
  <si>
    <t>BASTIEN</t>
  </si>
  <si>
    <t>10148</t>
  </si>
  <si>
    <t>LA DEFENSE</t>
  </si>
  <si>
    <t>FAURE MATHIEU</t>
  </si>
  <si>
    <t>GONZALEZ</t>
  </si>
  <si>
    <t>04005</t>
  </si>
  <si>
    <t>duffermont</t>
  </si>
  <si>
    <t>CAMUS</t>
  </si>
  <si>
    <t>margueret</t>
  </si>
  <si>
    <t>fichoux</t>
  </si>
  <si>
    <t>soler vero</t>
  </si>
  <si>
    <t>EMMANUEL</t>
  </si>
  <si>
    <t>MB5-216</t>
  </si>
  <si>
    <t>VAZQUEZ-ALVAREZ</t>
  </si>
  <si>
    <t>BEGUE</t>
  </si>
  <si>
    <t>PAR</t>
  </si>
  <si>
    <t>MOD</t>
  </si>
  <si>
    <t>10606</t>
  </si>
  <si>
    <t>FR7642559000054101702438283</t>
  </si>
  <si>
    <t>RETRAITE CC/ BTP</t>
  </si>
  <si>
    <t>rech nom</t>
  </si>
  <si>
    <t>TOURS</t>
  </si>
  <si>
    <t>STRASBOURG</t>
  </si>
  <si>
    <t>HEBERT</t>
  </si>
  <si>
    <t>FABIEN</t>
  </si>
  <si>
    <t>00404</t>
  </si>
  <si>
    <t>JEAN-LUC</t>
  </si>
  <si>
    <t>DELORME</t>
  </si>
  <si>
    <t>FANNY</t>
  </si>
  <si>
    <t>THERESE</t>
  </si>
  <si>
    <t>MALIVOIR</t>
  </si>
  <si>
    <t>MPM</t>
  </si>
  <si>
    <t>STEPHANE</t>
  </si>
  <si>
    <t>04201</t>
  </si>
  <si>
    <t>8467</t>
  </si>
  <si>
    <t>FR7642559000694101006670873</t>
  </si>
  <si>
    <t>FR7642559000124101702395789</t>
  </si>
  <si>
    <t>272 MB7</t>
  </si>
  <si>
    <t>8555</t>
  </si>
  <si>
    <t>184 MB7</t>
  </si>
  <si>
    <t>FREYSSENET</t>
  </si>
  <si>
    <t>11746</t>
  </si>
  <si>
    <t>FR7642559000014101206668142</t>
  </si>
  <si>
    <t>PION</t>
  </si>
  <si>
    <t>00917</t>
  </si>
  <si>
    <t>FR7642559000832101855400684</t>
  </si>
  <si>
    <t>MOYAT</t>
  </si>
  <si>
    <t>12184</t>
  </si>
  <si>
    <t>FR7617515900000406606388196</t>
  </si>
  <si>
    <t>YVES</t>
  </si>
  <si>
    <t>PEBOSCQ</t>
  </si>
  <si>
    <t>RICHARD</t>
  </si>
  <si>
    <t>MELUN</t>
  </si>
  <si>
    <t>MAHOP</t>
  </si>
  <si>
    <t>FR7618206000545599479700176</t>
  </si>
  <si>
    <t>MARION</t>
  </si>
  <si>
    <t>BOISET</t>
  </si>
  <si>
    <t>10528</t>
  </si>
  <si>
    <t>BNPAFRPPLAY</t>
  </si>
  <si>
    <t>FR7630004013300000305534372</t>
  </si>
  <si>
    <t>00749</t>
  </si>
  <si>
    <t>ROHART</t>
  </si>
  <si>
    <t>07599</t>
  </si>
  <si>
    <t>CAUCHOIS</t>
  </si>
  <si>
    <t>12537</t>
  </si>
  <si>
    <t>CONVENTION</t>
  </si>
  <si>
    <t>BUNELLE</t>
  </si>
  <si>
    <t>15585</t>
  </si>
  <si>
    <t>FR7617515900000426285344191</t>
  </si>
  <si>
    <t>FR7630003038500005056999660</t>
  </si>
  <si>
    <t>ALLARD</t>
  </si>
  <si>
    <t>10475</t>
  </si>
  <si>
    <t>VERSAILLES</t>
  </si>
  <si>
    <t>TRINTIGNAC</t>
  </si>
  <si>
    <t>BEN HINI</t>
  </si>
  <si>
    <t>FR6220041010051217152L02695</t>
  </si>
  <si>
    <t>LEROY</t>
  </si>
  <si>
    <t>CCFRFRPP</t>
  </si>
  <si>
    <t>HSBC</t>
  </si>
  <si>
    <t>FANTON</t>
  </si>
  <si>
    <t>AGEN</t>
  </si>
  <si>
    <t>ORIS</t>
  </si>
  <si>
    <t>07627</t>
  </si>
  <si>
    <t>FRANCOIS RENIA</t>
  </si>
  <si>
    <t>LAURA</t>
  </si>
  <si>
    <t>11947</t>
  </si>
  <si>
    <t>LEVIGNE</t>
  </si>
  <si>
    <t>MIARA</t>
  </si>
  <si>
    <t>01266</t>
  </si>
  <si>
    <t>FR7642559000272101843550646</t>
  </si>
  <si>
    <t>SERRANO</t>
  </si>
  <si>
    <t>12046</t>
  </si>
  <si>
    <t>FR7619406000000008123891571</t>
  </si>
  <si>
    <t>10480</t>
  </si>
  <si>
    <t>FR7642559000534101006253625</t>
  </si>
  <si>
    <t>GOUX</t>
  </si>
  <si>
    <t>12752</t>
  </si>
  <si>
    <t>FR7642559000184101903342257</t>
  </si>
  <si>
    <t>VAISSIERE</t>
  </si>
  <si>
    <t>12949</t>
  </si>
  <si>
    <t>DE CERVAL</t>
  </si>
  <si>
    <t>TIARA</t>
  </si>
  <si>
    <t>EVIN</t>
  </si>
  <si>
    <t>07834</t>
  </si>
  <si>
    <t>FR7642559000014101107129943</t>
  </si>
  <si>
    <t>HUS DUBREUQUE</t>
  </si>
  <si>
    <t>00712</t>
  </si>
  <si>
    <t>FR7642559000612101832030610</t>
  </si>
  <si>
    <t>FR7642559000854101407336602</t>
  </si>
  <si>
    <t>FOULONNEAU</t>
  </si>
  <si>
    <t>09675</t>
  </si>
  <si>
    <t>AGRIFRPP860</t>
  </si>
  <si>
    <t>FR7616006330115440040891076</t>
  </si>
  <si>
    <t>JOURDE</t>
  </si>
  <si>
    <t>01033</t>
  </si>
  <si>
    <t>FR7642559000952101843150665</t>
  </si>
  <si>
    <t>REBELO</t>
  </si>
  <si>
    <t>10974</t>
  </si>
  <si>
    <t>AOUDIA</t>
  </si>
  <si>
    <t>MARIA</t>
  </si>
  <si>
    <t>11717</t>
  </si>
  <si>
    <t>SEDILLOT</t>
  </si>
  <si>
    <t>CHRISTINE</t>
  </si>
  <si>
    <t>WALCZAK</t>
  </si>
  <si>
    <t>ANDRE-SAINDON</t>
  </si>
  <si>
    <t>DESSEVRES</t>
  </si>
  <si>
    <t>02528</t>
  </si>
  <si>
    <t>FR7630003040670005114297506</t>
  </si>
  <si>
    <t>09069</t>
  </si>
  <si>
    <t>PERNES</t>
  </si>
  <si>
    <t>AGRIFRPP882</t>
  </si>
  <si>
    <t>MARIE-AGNÈS</t>
  </si>
  <si>
    <t>ASCC 2011-11-17 02309</t>
  </si>
  <si>
    <t>FRANCOIS</t>
  </si>
  <si>
    <t>ROMAIN</t>
  </si>
  <si>
    <t>NIORT</t>
  </si>
  <si>
    <t>C L</t>
  </si>
  <si>
    <t>01218</t>
  </si>
  <si>
    <t>07414</t>
  </si>
  <si>
    <t>05631</t>
  </si>
  <si>
    <t>DUPLAQUET</t>
  </si>
  <si>
    <t>LAURINDA</t>
  </si>
  <si>
    <t>10775</t>
  </si>
  <si>
    <t>TILLIER</t>
  </si>
  <si>
    <t>GLENAT</t>
  </si>
  <si>
    <t>CLUB PHOTO</t>
  </si>
  <si>
    <t>ZUMBA</t>
  </si>
  <si>
    <t>01987</t>
  </si>
  <si>
    <t>04765</t>
  </si>
  <si>
    <t>BARATTE</t>
  </si>
  <si>
    <t>NATION</t>
  </si>
  <si>
    <t>DURAND</t>
  </si>
  <si>
    <t>9003</t>
  </si>
  <si>
    <t>SUZANNE</t>
  </si>
  <si>
    <t>R</t>
  </si>
  <si>
    <t>JEAN-JACQUES</t>
  </si>
  <si>
    <t>LUGAN</t>
  </si>
  <si>
    <t>10657</t>
  </si>
  <si>
    <t>CUSIN</t>
  </si>
  <si>
    <t>BOURDON</t>
  </si>
  <si>
    <t>GAETAN</t>
  </si>
  <si>
    <t>09872</t>
  </si>
  <si>
    <t>8498</t>
  </si>
  <si>
    <t>RODRIGUES</t>
  </si>
  <si>
    <t>SANDRINE</t>
  </si>
  <si>
    <t>POMMIER</t>
  </si>
  <si>
    <t>04219</t>
  </si>
  <si>
    <t>BISSAGNET</t>
  </si>
  <si>
    <t>03290</t>
  </si>
  <si>
    <t>FADERNE</t>
  </si>
  <si>
    <t>04728</t>
  </si>
  <si>
    <t>JOUFFROY</t>
  </si>
  <si>
    <t>FR7642559000834101200754471</t>
  </si>
  <si>
    <t>VIOU</t>
  </si>
  <si>
    <t>JEAN PAUL</t>
  </si>
  <si>
    <t>AG AVIGNON</t>
  </si>
  <si>
    <t>LALANDE</t>
  </si>
  <si>
    <t>PASTIER</t>
  </si>
  <si>
    <t>02115</t>
  </si>
  <si>
    <t>TRAORE</t>
  </si>
  <si>
    <t>AVERTY</t>
  </si>
  <si>
    <t>10440</t>
  </si>
  <si>
    <t>AGUILARD</t>
  </si>
  <si>
    <t>CONRARD</t>
  </si>
  <si>
    <t>KAREN</t>
  </si>
  <si>
    <t>MARJORIE</t>
  </si>
  <si>
    <t>FR7642559000704101801905861</t>
  </si>
  <si>
    <t>BLANCHET</t>
  </si>
  <si>
    <t>07456</t>
  </si>
  <si>
    <t>FR7642559000344101800851138</t>
  </si>
  <si>
    <t>AUDRAIN</t>
  </si>
  <si>
    <t>RIGAL</t>
  </si>
  <si>
    <t>AGRIFRPP829</t>
  </si>
  <si>
    <t>FR7642559000092101842870267</t>
  </si>
  <si>
    <t>CARBONNEL</t>
  </si>
  <si>
    <t>10286</t>
  </si>
  <si>
    <t>FR7642559000384101701717369</t>
  </si>
  <si>
    <t>QUILLO</t>
  </si>
  <si>
    <t>03248</t>
  </si>
  <si>
    <t>FR7642559000415101001753052</t>
  </si>
  <si>
    <t>MAHON</t>
  </si>
  <si>
    <t>CORALIE</t>
  </si>
  <si>
    <t>12018</t>
  </si>
  <si>
    <t>FR7642559000824101507003274</t>
  </si>
  <si>
    <t>MACCARI</t>
  </si>
  <si>
    <t>ELSA</t>
  </si>
  <si>
    <t>10684</t>
  </si>
  <si>
    <t>TERRISSE</t>
  </si>
  <si>
    <t>09139</t>
  </si>
  <si>
    <t>FR3530002018510000009094U44</t>
  </si>
  <si>
    <t>HERBEMONT-DUPUIS</t>
  </si>
  <si>
    <t>HOYBEL</t>
  </si>
  <si>
    <t>09051</t>
  </si>
  <si>
    <t>02721</t>
  </si>
  <si>
    <t>ALEM</t>
  </si>
  <si>
    <t>RACHID</t>
  </si>
  <si>
    <t>04111</t>
  </si>
  <si>
    <t>fontaine laurent</t>
  </si>
  <si>
    <t>SUBV SKI AGENCE</t>
  </si>
  <si>
    <t>ROYO</t>
  </si>
  <si>
    <t>PSSTFRPPSCE</t>
  </si>
  <si>
    <t>00107</t>
  </si>
  <si>
    <t>derrieu</t>
  </si>
  <si>
    <t>martin alain</t>
  </si>
  <si>
    <t>CZERYBA</t>
  </si>
  <si>
    <t xml:space="preserve">ADAM </t>
  </si>
  <si>
    <t>SANDRA</t>
  </si>
  <si>
    <t>EMILIE</t>
  </si>
  <si>
    <t>SAINT ANDRE</t>
  </si>
  <si>
    <t>RENARD</t>
  </si>
  <si>
    <t>JEAN-PIERRE</t>
  </si>
  <si>
    <t>FLORENT</t>
  </si>
  <si>
    <t>EVRY</t>
  </si>
  <si>
    <t xml:space="preserve">CARCASSONNE </t>
  </si>
  <si>
    <t>BOICHE</t>
  </si>
  <si>
    <t>10809</t>
  </si>
  <si>
    <t>FR7630066109570001021640112</t>
  </si>
  <si>
    <t>LAMBERT</t>
  </si>
  <si>
    <t>10459</t>
  </si>
  <si>
    <t>FR7642559000254101006151322</t>
  </si>
  <si>
    <t>CHLOE</t>
  </si>
  <si>
    <t>JULLIEN DE POMMEROL</t>
  </si>
  <si>
    <t>PRAT</t>
  </si>
  <si>
    <t>03046</t>
  </si>
  <si>
    <t>FR7642559000432101858600926</t>
  </si>
  <si>
    <t>BNPAFRPPBOR</t>
  </si>
  <si>
    <t>YSNEL</t>
  </si>
  <si>
    <t>OLIVIA</t>
  </si>
  <si>
    <t>12036</t>
  </si>
  <si>
    <t>FR8730002009440000321245J25</t>
  </si>
  <si>
    <t>MIGUEL</t>
  </si>
  <si>
    <t>08133</t>
  </si>
  <si>
    <t>FR7642559000284101406840526</t>
  </si>
  <si>
    <t>BOWLING</t>
  </si>
  <si>
    <t>ADRESSE</t>
  </si>
  <si>
    <t>date 1</t>
  </si>
  <si>
    <t>FR7630003009410005609083196</t>
  </si>
  <si>
    <t>libelle 1</t>
  </si>
  <si>
    <t>mt 1</t>
  </si>
  <si>
    <t>date 2</t>
  </si>
  <si>
    <t>libelle 2</t>
  </si>
  <si>
    <t>mt 2</t>
  </si>
  <si>
    <t>date 3</t>
  </si>
  <si>
    <t>libelle 3</t>
  </si>
  <si>
    <t>mt 3</t>
  </si>
  <si>
    <t>date 4</t>
  </si>
  <si>
    <t>libelle 4</t>
  </si>
  <si>
    <t>LUCAS</t>
  </si>
  <si>
    <t>07358</t>
  </si>
  <si>
    <t>GAC</t>
  </si>
  <si>
    <t>BOZON</t>
  </si>
  <si>
    <t>GARNIER</t>
  </si>
  <si>
    <t>10953</t>
  </si>
  <si>
    <t>mt 4</t>
  </si>
  <si>
    <t>date 5</t>
  </si>
  <si>
    <t>libelle 5</t>
  </si>
  <si>
    <t>mt 5</t>
  </si>
  <si>
    <t>date 6</t>
  </si>
  <si>
    <t>libelle 6</t>
  </si>
  <si>
    <t>mt 6</t>
  </si>
  <si>
    <t>date 7</t>
  </si>
  <si>
    <t>GADY</t>
  </si>
  <si>
    <t>07955</t>
  </si>
  <si>
    <t>FR7642559000434101606685327</t>
  </si>
  <si>
    <t>CHASSAGNE</t>
  </si>
  <si>
    <t>09641</t>
  </si>
  <si>
    <t>CHAFAQI</t>
  </si>
  <si>
    <t>YASSINE</t>
  </si>
  <si>
    <t>libelle 7</t>
  </si>
  <si>
    <t>mt 7</t>
  </si>
  <si>
    <t>date 8</t>
  </si>
  <si>
    <t>libelle 8</t>
  </si>
  <si>
    <t>mt 8</t>
  </si>
  <si>
    <t>date 9</t>
  </si>
  <si>
    <t>libelle 9</t>
  </si>
  <si>
    <t>mt 9</t>
  </si>
  <si>
    <t>date 10</t>
  </si>
  <si>
    <t>libelle 10</t>
  </si>
  <si>
    <t>mt 10</t>
  </si>
  <si>
    <t>Montant</t>
  </si>
  <si>
    <t>Date</t>
  </si>
  <si>
    <t>Libelle</t>
  </si>
  <si>
    <t>Section</t>
  </si>
  <si>
    <t>section 6</t>
  </si>
  <si>
    <t>section 7</t>
  </si>
  <si>
    <t>SAINT MARCOUX</t>
  </si>
  <si>
    <t>section 8</t>
  </si>
  <si>
    <t>REZZOUK</t>
  </si>
  <si>
    <t>section 9</t>
  </si>
  <si>
    <t>section 10</t>
  </si>
  <si>
    <t>DE LA RIVIERE</t>
  </si>
  <si>
    <t>MARLENE</t>
  </si>
  <si>
    <t>BADMINTON</t>
  </si>
  <si>
    <t>DUCONGE</t>
  </si>
  <si>
    <t>DAMIEN</t>
  </si>
  <si>
    <t>AGENCE</t>
  </si>
  <si>
    <t>ROCHE</t>
  </si>
  <si>
    <t>VETTIER</t>
  </si>
  <si>
    <t>BENOIT</t>
  </si>
  <si>
    <t>SACCARDO</t>
  </si>
  <si>
    <t>GUIDO</t>
  </si>
  <si>
    <t>DIGAN</t>
  </si>
  <si>
    <t>12409</t>
  </si>
  <si>
    <t>WATREMETZ</t>
  </si>
  <si>
    <t>AURELIE</t>
  </si>
  <si>
    <t>CAROLE</t>
  </si>
  <si>
    <t>HOSATTE</t>
  </si>
  <si>
    <t>04729</t>
  </si>
  <si>
    <t>181 MB7</t>
  </si>
  <si>
    <t>05252</t>
  </si>
  <si>
    <t xml:space="preserve">AIX EN PROVENCE </t>
  </si>
  <si>
    <t>FRIDERICH</t>
  </si>
  <si>
    <t>BENJAMINE</t>
  </si>
  <si>
    <t>CREDITCOOPERATIF</t>
  </si>
  <si>
    <t>FR7642559000342101844250105</t>
  </si>
  <si>
    <t>MOUNIER</t>
  </si>
  <si>
    <t>MORVAN</t>
  </si>
  <si>
    <t>GWENHAEL</t>
  </si>
  <si>
    <t>DEKANY</t>
  </si>
  <si>
    <t>03247</t>
  </si>
  <si>
    <t>MARIE CHRISTINE</t>
  </si>
  <si>
    <t>OUAKNINE</t>
  </si>
  <si>
    <t>DALIA</t>
  </si>
  <si>
    <t>MOREL</t>
  </si>
  <si>
    <t>FAUTRIERE</t>
  </si>
  <si>
    <t>8993</t>
  </si>
  <si>
    <t>739</t>
  </si>
  <si>
    <t>DAUVILLIERS</t>
  </si>
  <si>
    <t>CLAUDE</t>
  </si>
  <si>
    <t>PETIT</t>
  </si>
  <si>
    <t>JEANNE</t>
  </si>
  <si>
    <t>MINIERE</t>
  </si>
  <si>
    <t xml:space="preserve">EVRY </t>
  </si>
  <si>
    <t>THOMAS</t>
  </si>
  <si>
    <t>MONIQUE</t>
  </si>
  <si>
    <t xml:space="preserve">COURCELLES </t>
  </si>
  <si>
    <t>GRILLET</t>
  </si>
  <si>
    <t>DAVID</t>
  </si>
  <si>
    <t>LOCHON</t>
  </si>
  <si>
    <t>03872</t>
  </si>
  <si>
    <t>CEPAFRPP426</t>
  </si>
  <si>
    <t>00907</t>
  </si>
  <si>
    <t>04208</t>
  </si>
  <si>
    <t>LLAGONE</t>
  </si>
  <si>
    <t>10993</t>
  </si>
  <si>
    <t>CL PANTIN EGLISE</t>
  </si>
  <si>
    <t>OFC</t>
  </si>
  <si>
    <t>FR3630002006700000691421Q96</t>
  </si>
  <si>
    <t xml:space="preserve">OPERA </t>
  </si>
  <si>
    <t>HOUAL</t>
  </si>
  <si>
    <t>JACKY</t>
  </si>
  <si>
    <t>FR7642559000092101854580107</t>
  </si>
  <si>
    <t>SUBV SPECIALE</t>
  </si>
  <si>
    <t>GUILLAUME</t>
  </si>
  <si>
    <t>CERTIFICAT</t>
  </si>
  <si>
    <t>8438</t>
  </si>
  <si>
    <t>BOSSUT</t>
  </si>
  <si>
    <t>10505</t>
  </si>
  <si>
    <t>FR7642559000614101605861430</t>
  </si>
  <si>
    <t>BOSCO</t>
  </si>
  <si>
    <t>NAOUFEL</t>
  </si>
  <si>
    <t>05883</t>
  </si>
  <si>
    <t>FR7613906000228500671814638</t>
  </si>
  <si>
    <t>CENDRINE</t>
  </si>
  <si>
    <t>05358</t>
  </si>
  <si>
    <t>FR7642559000244101501178712</t>
  </si>
  <si>
    <t>LYSIANE</t>
  </si>
  <si>
    <t>01407</t>
  </si>
  <si>
    <t>FR7642559000562101852180883</t>
  </si>
  <si>
    <t>DING</t>
  </si>
  <si>
    <t>11023</t>
  </si>
  <si>
    <t>FR7642559000504101406512239</t>
  </si>
  <si>
    <t>12131</t>
  </si>
  <si>
    <t>FR7642559000114101207029608</t>
  </si>
  <si>
    <t>FERLICOT</t>
  </si>
  <si>
    <t>MAGDALENA</t>
  </si>
  <si>
    <t>10327</t>
  </si>
  <si>
    <t>FR7616606052130013305110578</t>
  </si>
  <si>
    <t>PARIZIA</t>
  </si>
  <si>
    <t>12744</t>
  </si>
  <si>
    <t>FR7642559000074101803075074</t>
  </si>
  <si>
    <t>FR7642559000414101406271523</t>
  </si>
  <si>
    <t>VAN CAYESEELE</t>
  </si>
  <si>
    <t>FR7642559000092101831130842</t>
  </si>
  <si>
    <t>Subvention ASCC Forest Hill</t>
  </si>
  <si>
    <t>A</t>
  </si>
  <si>
    <t>ALVES</t>
  </si>
  <si>
    <t>NOLWEN</t>
  </si>
  <si>
    <t>13122</t>
  </si>
  <si>
    <t>FR7642559000074101507620349</t>
  </si>
  <si>
    <t>Subvention ASCC Forest hill</t>
  </si>
  <si>
    <t>AMARICHET</t>
  </si>
  <si>
    <t>WALICIA</t>
  </si>
  <si>
    <t>10611</t>
  </si>
  <si>
    <t>FR7630003022270005001553779</t>
  </si>
  <si>
    <t>PENDELIO</t>
  </si>
  <si>
    <t>03308</t>
  </si>
  <si>
    <t>FR7642559000574101900023205</t>
  </si>
  <si>
    <t>MARQUIGNY</t>
  </si>
  <si>
    <t>JEAN ROCH</t>
  </si>
  <si>
    <t>12072</t>
  </si>
  <si>
    <t>CONSOL</t>
  </si>
  <si>
    <t>CHANCELLE</t>
  </si>
  <si>
    <t>10587</t>
  </si>
  <si>
    <t>FR7617515900000404509399613</t>
  </si>
  <si>
    <t>TORTRAT</t>
  </si>
  <si>
    <t>JEAN CHRISTOPHE</t>
  </si>
  <si>
    <t>07809</t>
  </si>
  <si>
    <t>13023</t>
  </si>
  <si>
    <t>BNPAFRPPGNV</t>
  </si>
  <si>
    <t>FR7630004003670000274864419</t>
  </si>
  <si>
    <t>FR9230002011480000026489K32</t>
  </si>
  <si>
    <t>FR7642559000094101500008632</t>
  </si>
  <si>
    <t>11808</t>
  </si>
  <si>
    <t>CREDIT AGRICOLE</t>
  </si>
  <si>
    <t>FR7619506400003304224420662</t>
  </si>
  <si>
    <t>AGRIFRPP895</t>
  </si>
  <si>
    <t>13114</t>
  </si>
  <si>
    <t>ESTANGEN</t>
  </si>
  <si>
    <t>KHALDI</t>
  </si>
  <si>
    <t>MALIK</t>
  </si>
  <si>
    <t>HULIN</t>
  </si>
  <si>
    <t>LE-CLOAREC</t>
  </si>
  <si>
    <t>PADONOU</t>
  </si>
  <si>
    <t>ORENS</t>
  </si>
  <si>
    <t>PARROT</t>
  </si>
  <si>
    <t>VIGIER</t>
  </si>
  <si>
    <t>07557</t>
  </si>
  <si>
    <t>ARBELLOT-REPAIRE</t>
  </si>
  <si>
    <t>02150</t>
  </si>
  <si>
    <t>11685</t>
  </si>
  <si>
    <t>DUTHOIT</t>
  </si>
  <si>
    <t>00667</t>
  </si>
  <si>
    <t>DGP</t>
  </si>
  <si>
    <t>PETTE</t>
  </si>
  <si>
    <t>01322</t>
  </si>
  <si>
    <t>13553</t>
  </si>
  <si>
    <t>RUDELLE</t>
  </si>
  <si>
    <t>11689</t>
  </si>
  <si>
    <t>VANBLEUS</t>
  </si>
  <si>
    <t>MARYVONNE</t>
  </si>
  <si>
    <t>09079</t>
  </si>
  <si>
    <t>00482</t>
  </si>
  <si>
    <t>05377</t>
  </si>
  <si>
    <t>Del Gallo</t>
  </si>
  <si>
    <t>0155230719</t>
  </si>
  <si>
    <t>208316</t>
  </si>
  <si>
    <t>EYMAR</t>
  </si>
  <si>
    <t>211912</t>
  </si>
  <si>
    <t>BACKER</t>
  </si>
  <si>
    <t>MARIE LAUREEN</t>
  </si>
  <si>
    <t>12397</t>
  </si>
  <si>
    <t>206139</t>
  </si>
  <si>
    <t>LILLE CENTRE</t>
  </si>
  <si>
    <t>CREDITCOOP LILLE CENTRE</t>
  </si>
  <si>
    <t>FR7642559000614101407488767</t>
  </si>
  <si>
    <t>CAILLEUX</t>
  </si>
  <si>
    <t>F</t>
  </si>
  <si>
    <t>CA ILE-DE-FRANCE</t>
  </si>
  <si>
    <t>FR7618206003363657747500113</t>
  </si>
  <si>
    <t>subvention ASCC Forest hill</t>
  </si>
  <si>
    <t>01478</t>
  </si>
  <si>
    <t>CREDITCOOP VERSAILLES</t>
  </si>
  <si>
    <t>FR7642559000072101854880352</t>
  </si>
  <si>
    <t>TANTY</t>
  </si>
  <si>
    <t>13478</t>
  </si>
  <si>
    <t>FR6720041010040699180S02584</t>
  </si>
  <si>
    <t>LA BANQUE POSTALE DIJON</t>
  </si>
  <si>
    <t>200319</t>
  </si>
  <si>
    <t>BARBOSA</t>
  </si>
  <si>
    <t>99995</t>
  </si>
  <si>
    <t>MONTEIRO</t>
  </si>
  <si>
    <t>ALFREDO</t>
  </si>
  <si>
    <t>99996</t>
  </si>
  <si>
    <t>CHARPENTIER</t>
  </si>
  <si>
    <t>13140</t>
  </si>
  <si>
    <t>213816</t>
  </si>
  <si>
    <t>CAISSE D'EPARGNE PAC</t>
  </si>
  <si>
    <t>FR7611315000010402828895083</t>
  </si>
  <si>
    <t>ALI-BAKIR</t>
  </si>
  <si>
    <t>FATIMA</t>
  </si>
  <si>
    <t>11677</t>
  </si>
  <si>
    <t>213812</t>
  </si>
  <si>
    <t>CEPAFRPP831</t>
  </si>
  <si>
    <t>FR7618315100000430168971614</t>
  </si>
  <si>
    <t>FR7630056001340134008169355</t>
  </si>
  <si>
    <t>206516</t>
  </si>
  <si>
    <t>GOMES-DA-CRUZ</t>
  </si>
  <si>
    <t>11536</t>
  </si>
  <si>
    <t>201624</t>
  </si>
  <si>
    <t>VIALLET</t>
  </si>
  <si>
    <t>BP2L</t>
  </si>
  <si>
    <t>BBBPFRPPLYO</t>
  </si>
  <si>
    <t>FR7613907000008108999619240</t>
  </si>
  <si>
    <t>0617873282</t>
  </si>
  <si>
    <t>213801</t>
  </si>
  <si>
    <t>204129</t>
  </si>
  <si>
    <t>MERIADECK</t>
  </si>
  <si>
    <t>201112</t>
  </si>
  <si>
    <t>203313</t>
  </si>
  <si>
    <t>BRIMEUX</t>
  </si>
  <si>
    <t>12749</t>
  </si>
  <si>
    <t>0676842809</t>
  </si>
  <si>
    <t>PRADO</t>
  </si>
  <si>
    <t>AGRIFRPP813</t>
  </si>
  <si>
    <t>CA ALPES PROVENCE</t>
  </si>
  <si>
    <t>FR7611306000930495967100046</t>
  </si>
  <si>
    <t>0144883932</t>
  </si>
  <si>
    <t>AZINCOURT</t>
  </si>
  <si>
    <t>03889</t>
  </si>
  <si>
    <t>202206</t>
  </si>
  <si>
    <t>CRÉTEIL</t>
  </si>
  <si>
    <t>Fitness, "L'Orange Bleue"</t>
  </si>
  <si>
    <t>CRÉDIT COOPÉRATIF CRÉTEIL</t>
  </si>
  <si>
    <t>FR7642559000224101406415659</t>
  </si>
  <si>
    <t>204118</t>
  </si>
  <si>
    <t>Fitness, "Amazonia"</t>
  </si>
  <si>
    <t>MINARRO</t>
  </si>
  <si>
    <t>13324</t>
  </si>
  <si>
    <t>0642445820</t>
  </si>
  <si>
    <t>SOCIÉTÉ GÉNÉRALE</t>
  </si>
  <si>
    <t>206312</t>
  </si>
  <si>
    <t>205112</t>
  </si>
  <si>
    <t>BOUAZIZI</t>
  </si>
  <si>
    <t>AFEFFE</t>
  </si>
  <si>
    <t>13335</t>
  </si>
  <si>
    <t>0621294125</t>
  </si>
  <si>
    <t>SAXE</t>
  </si>
  <si>
    <t>CE RHONE ALPES DUCHERE</t>
  </si>
  <si>
    <t>FR7613825002000457440076884</t>
  </si>
  <si>
    <t>CRÉDIT COOPÉRATIF BOBIGNY</t>
  </si>
  <si>
    <t>FR7642559000234101407443650</t>
  </si>
  <si>
    <t>200629</t>
  </si>
  <si>
    <t>00774</t>
  </si>
  <si>
    <t>204114</t>
  </si>
  <si>
    <t>FR7642559000402101857750572</t>
  </si>
  <si>
    <t>MISTRAL</t>
  </si>
  <si>
    <t>CHASSAIN</t>
  </si>
  <si>
    <t>08225</t>
  </si>
  <si>
    <t>0614150463</t>
  </si>
  <si>
    <t>INVESTISSEMENT</t>
  </si>
  <si>
    <t>AGRIFRPP869</t>
  </si>
  <si>
    <t>CRÉDIT AGRICOLE PYRÉNÉES GASCOGNE</t>
  </si>
  <si>
    <t>FR7616906030054100310484924</t>
  </si>
  <si>
    <t>208110</t>
  </si>
  <si>
    <t>ALAMI</t>
  </si>
  <si>
    <t>08267</t>
  </si>
  <si>
    <t>0612555844</t>
  </si>
  <si>
    <t>FR7610107001710011271617292</t>
  </si>
  <si>
    <t>Yoga, "ASC du Fresne &amp; du Tilleul"</t>
  </si>
  <si>
    <t>JOSPITRE</t>
  </si>
  <si>
    <t>07930</t>
  </si>
  <si>
    <t>217525</t>
  </si>
  <si>
    <t>CIC MONDEVILLE</t>
  </si>
  <si>
    <t>FR7630027161300002011560501</t>
  </si>
  <si>
    <t>202515</t>
  </si>
  <si>
    <t>FR8120041010030782351N02456</t>
  </si>
  <si>
    <t>CELIK</t>
  </si>
  <si>
    <t>SINEM</t>
  </si>
  <si>
    <t>12538</t>
  </si>
  <si>
    <t>CE BOURGOGNE FRANCHE COMTE</t>
  </si>
  <si>
    <t>FR7612135003000401880346186</t>
  </si>
  <si>
    <t>Aquagym, "Aquarena"</t>
  </si>
  <si>
    <t>FR7642559000644101702753133</t>
  </si>
  <si>
    <t>0685393938</t>
  </si>
  <si>
    <t>Fitness, "Keep Cool"</t>
  </si>
  <si>
    <t>202814</t>
  </si>
  <si>
    <t>FR7642559000282101834790270</t>
  </si>
  <si>
    <t>00800</t>
  </si>
  <si>
    <t>MÉRIGNAC</t>
  </si>
  <si>
    <t>CRÉDIT COOPÉRATIF MÉRIGNAC</t>
  </si>
  <si>
    <t>FR7642559000472101834120782</t>
  </si>
  <si>
    <t>RIEU</t>
  </si>
  <si>
    <t>CANU</t>
  </si>
  <si>
    <t>LAURIE</t>
  </si>
  <si>
    <t>13128</t>
  </si>
  <si>
    <t>202819</t>
  </si>
  <si>
    <t>CA ILE DE FRANCE</t>
  </si>
  <si>
    <t>FR7618206001446501244989074</t>
  </si>
  <si>
    <t>206500</t>
  </si>
  <si>
    <t>205419</t>
  </si>
  <si>
    <t>DECLOSSE</t>
  </si>
  <si>
    <t>03157</t>
  </si>
  <si>
    <t>DGB</t>
  </si>
  <si>
    <t>229703</t>
  </si>
  <si>
    <t>BOURSORAMA BANQUE</t>
  </si>
  <si>
    <t>FR7640618802620004087566157</t>
  </si>
  <si>
    <t>MOUFFOK</t>
  </si>
  <si>
    <t>NAWELLE</t>
  </si>
  <si>
    <t>10718</t>
  </si>
  <si>
    <t>BNPAFRPPR01</t>
  </si>
  <si>
    <t>FR7630004022120000046801287</t>
  </si>
  <si>
    <t>subvention ASCC forest hill</t>
  </si>
  <si>
    <t>0620129865</t>
  </si>
  <si>
    <t>202118</t>
  </si>
  <si>
    <t>ASG</t>
  </si>
  <si>
    <t>RC.011</t>
  </si>
  <si>
    <t>0147249138</t>
  </si>
  <si>
    <t>SAUTERET</t>
  </si>
  <si>
    <t>0147248119</t>
  </si>
  <si>
    <t>GOMEZ</t>
  </si>
  <si>
    <t>205401</t>
  </si>
  <si>
    <t>PSSTFRPPLIM</t>
  </si>
  <si>
    <t>FR6220041010060793104W02796</t>
  </si>
  <si>
    <t>0678611885</t>
  </si>
  <si>
    <t>209518</t>
  </si>
  <si>
    <t>PSSTFRPPREN</t>
  </si>
  <si>
    <t>FR1720041010130887312S03454</t>
  </si>
  <si>
    <t>212131</t>
  </si>
  <si>
    <t>0665056813</t>
  </si>
  <si>
    <t>SAV</t>
  </si>
  <si>
    <t>229084</t>
  </si>
  <si>
    <t>SEDILLE</t>
  </si>
  <si>
    <t>MOI</t>
  </si>
  <si>
    <t>228939</t>
  </si>
  <si>
    <t>BRISEBARRE</t>
  </si>
  <si>
    <t>ALKASSANDRA</t>
  </si>
  <si>
    <t>08153</t>
  </si>
  <si>
    <t>229907</t>
  </si>
  <si>
    <t>FR0830002004680000061871Q40</t>
  </si>
  <si>
    <t>13389</t>
  </si>
  <si>
    <t>204317</t>
  </si>
  <si>
    <t>BNPAFRPPPAU</t>
  </si>
  <si>
    <t>FR7630004010820000058631479</t>
  </si>
  <si>
    <t>209513</t>
  </si>
  <si>
    <t>0630695571</t>
  </si>
  <si>
    <t>SANGLIER</t>
  </si>
  <si>
    <t>CABIRON</t>
  </si>
  <si>
    <t>DEVITTON</t>
  </si>
  <si>
    <t>FROUGIER</t>
  </si>
  <si>
    <t>PETTA</t>
  </si>
  <si>
    <t>BENEZRA</t>
  </si>
  <si>
    <t>TAMIL</t>
  </si>
  <si>
    <t>YOAN</t>
  </si>
  <si>
    <t>BENITO</t>
  </si>
  <si>
    <t>MONTAGNE</t>
  </si>
  <si>
    <t>ANNE-CAPUCINE</t>
  </si>
  <si>
    <t>12878</t>
  </si>
  <si>
    <t>202129</t>
  </si>
  <si>
    <t>Fitness, "Fitness Park"</t>
  </si>
  <si>
    <t>THI THIEN</t>
  </si>
  <si>
    <t>13179</t>
  </si>
  <si>
    <t>201042</t>
  </si>
  <si>
    <t>CA ILLE-DE-FRANCE</t>
  </si>
  <si>
    <t>FR7618206000454157027100197</t>
  </si>
  <si>
    <t>REUTER</t>
  </si>
  <si>
    <t>ADJOUALE</t>
  </si>
  <si>
    <t>BORIS</t>
  </si>
  <si>
    <t>DI STEFANO</t>
  </si>
  <si>
    <t>DELPHINE</t>
  </si>
  <si>
    <t>09753</t>
  </si>
  <si>
    <t>203814</t>
  </si>
  <si>
    <t>CRÉDIT COOPÉRATIF</t>
  </si>
  <si>
    <t>FR7642559000384101305826807</t>
  </si>
  <si>
    <t>05013</t>
  </si>
  <si>
    <t>207613</t>
  </si>
  <si>
    <t>CREDIT COOPÉRATIF</t>
  </si>
  <si>
    <t>FR7642559000764101401203233</t>
  </si>
  <si>
    <t>GAUCHER</t>
  </si>
  <si>
    <t>07997</t>
  </si>
  <si>
    <t>0613530066</t>
  </si>
  <si>
    <t>FR7640618802680004042861483</t>
  </si>
  <si>
    <t>Tennis, cours "Camaret TC"</t>
  </si>
  <si>
    <t>SCHAFER</t>
  </si>
  <si>
    <t>10241</t>
  </si>
  <si>
    <t>0628921304</t>
  </si>
  <si>
    <t>FR7642559000154101902253477</t>
  </si>
  <si>
    <t>BOUCHER</t>
  </si>
  <si>
    <t>05615</t>
  </si>
  <si>
    <t>0613165963</t>
  </si>
  <si>
    <t>CCBPFRPPNCE</t>
  </si>
  <si>
    <t>PB CÔTE D'AZURE</t>
  </si>
  <si>
    <t>FR7615607000536071974746210</t>
  </si>
  <si>
    <t>206517</t>
  </si>
  <si>
    <t>FR7642559000432101844320877</t>
  </si>
  <si>
    <t>Running, participation courses</t>
  </si>
  <si>
    <t>POCHON</t>
  </si>
  <si>
    <t>04340</t>
  </si>
  <si>
    <t>205300</t>
  </si>
  <si>
    <t>FR7642559000534101200607675</t>
  </si>
  <si>
    <t>9999999</t>
  </si>
  <si>
    <t>FR7642559000092102254140373</t>
  </si>
  <si>
    <t>TEIXEIRA</t>
  </si>
  <si>
    <t>206140</t>
  </si>
  <si>
    <t>206102</t>
  </si>
  <si>
    <t>228352</t>
  </si>
  <si>
    <t>AGENCE ETOILE</t>
  </si>
  <si>
    <t>216719</t>
  </si>
  <si>
    <t>202000</t>
  </si>
  <si>
    <t>GWENDOLINE</t>
  </si>
  <si>
    <t>202012</t>
  </si>
  <si>
    <t>202024</t>
  </si>
  <si>
    <t>20611</t>
  </si>
  <si>
    <t>CTX</t>
  </si>
  <si>
    <t>229094</t>
  </si>
  <si>
    <t>DASSONVILLE</t>
  </si>
  <si>
    <t>MAZE</t>
  </si>
  <si>
    <t>13217</t>
  </si>
  <si>
    <t>0685731501</t>
  </si>
  <si>
    <t>BNPAFRPPLOR</t>
  </si>
  <si>
    <t>FR7630004002870000043488415</t>
  </si>
  <si>
    <t>MACREZ</t>
  </si>
  <si>
    <t>12943</t>
  </si>
  <si>
    <t>206115</t>
  </si>
  <si>
    <t>FR7620041010051291629P02654</t>
  </si>
  <si>
    <t>VERGES</t>
  </si>
  <si>
    <t>13509</t>
  </si>
  <si>
    <t>FR7613306003222202063001187</t>
  </si>
  <si>
    <t>207019</t>
  </si>
  <si>
    <t>FUMERON</t>
  </si>
  <si>
    <t>ANITA</t>
  </si>
  <si>
    <t>01150</t>
  </si>
  <si>
    <t>FR7642559000422101854040486</t>
  </si>
  <si>
    <t>218420</t>
  </si>
  <si>
    <t>Subvention Année N-1</t>
  </si>
  <si>
    <t>date 1 n-1</t>
  </si>
  <si>
    <t>libelle 1 n-1</t>
  </si>
  <si>
    <t>mt 1 n-1</t>
  </si>
  <si>
    <t xml:space="preserve">date 2 n-1 </t>
  </si>
  <si>
    <t>libelle 2 n-1</t>
  </si>
  <si>
    <t>mt 2 n-1</t>
  </si>
  <si>
    <t>date 3 n-1</t>
  </si>
  <si>
    <t>libelle 3 n-1</t>
  </si>
  <si>
    <t>mt 3 n-1</t>
  </si>
  <si>
    <t>date 4 n-1</t>
  </si>
  <si>
    <t>libelle 4 n-1</t>
  </si>
  <si>
    <t>mt 4 n-1</t>
  </si>
  <si>
    <t>date 5 n-1</t>
  </si>
  <si>
    <t>libelle 5 n-1</t>
  </si>
  <si>
    <t>mt 5 n-1</t>
  </si>
  <si>
    <t>date 6 n-1</t>
  </si>
  <si>
    <t>libelle 6 n-1</t>
  </si>
  <si>
    <t>mt 6 n-1</t>
  </si>
  <si>
    <t>date 7 n-1</t>
  </si>
  <si>
    <t>libelle 7 n-1</t>
  </si>
  <si>
    <t>mt 7 n-1</t>
  </si>
  <si>
    <t>date 8 n-1</t>
  </si>
  <si>
    <t>section 8 n-1</t>
  </si>
  <si>
    <t xml:space="preserve">libelle 8 n-1 </t>
  </si>
  <si>
    <t xml:space="preserve">mt 8 n-1 </t>
  </si>
  <si>
    <t xml:space="preserve">date 9 n-1 </t>
  </si>
  <si>
    <t>section 9 n-1</t>
  </si>
  <si>
    <t>libelle 9 n-1</t>
  </si>
  <si>
    <t>mt 9 n-1</t>
  </si>
  <si>
    <t>date 10 n-1</t>
  </si>
  <si>
    <t>section 10 n-1</t>
  </si>
  <si>
    <t>libelle 10 n-1</t>
  </si>
  <si>
    <t>mt 10 n-1</t>
  </si>
  <si>
    <t>section 7 n-1</t>
  </si>
  <si>
    <t>section 6 n-1</t>
  </si>
  <si>
    <t>section 5 n-1</t>
  </si>
  <si>
    <t>section  4 n-1</t>
  </si>
  <si>
    <t>section 3 n-1</t>
  </si>
  <si>
    <t>section 2 n-1</t>
  </si>
  <si>
    <t>section 1 n-1</t>
  </si>
  <si>
    <t>AIT-TALEB</t>
  </si>
  <si>
    <t>03791</t>
  </si>
  <si>
    <t>FR7642559000084101100300553</t>
  </si>
  <si>
    <t>GABAUD</t>
  </si>
  <si>
    <t>12235</t>
  </si>
  <si>
    <t>CCBFFRPPBDX</t>
  </si>
  <si>
    <t>BP AQUITAINE CENTRE ATLANTIQUE</t>
  </si>
  <si>
    <t>FR7610907002801881943365636</t>
  </si>
  <si>
    <t>228092</t>
  </si>
  <si>
    <t>FR7630003037700005075188360</t>
  </si>
  <si>
    <t>Subvention ASCC forest hill</t>
  </si>
  <si>
    <t>212525</t>
  </si>
  <si>
    <t>208518</t>
  </si>
  <si>
    <t>13010</t>
  </si>
  <si>
    <t>202011</t>
  </si>
  <si>
    <t>FR7630003021300005068375430</t>
  </si>
  <si>
    <t>FR7630258000008000114624161</t>
  </si>
  <si>
    <t xml:space="preserve">  SEPA : SCT </t>
  </si>
  <si>
    <t>FR76 4255 9000 0921 0225 4140 373</t>
  </si>
  <si>
    <t>Code BIC</t>
  </si>
  <si>
    <t>EVELYNE-GABRIELLE</t>
  </si>
  <si>
    <t>11308</t>
  </si>
  <si>
    <t>PROUT JEAN-GILLES</t>
  </si>
  <si>
    <t>13047</t>
  </si>
  <si>
    <t>0658261743</t>
  </si>
  <si>
    <t>FR3030002014700000015756C96</t>
  </si>
  <si>
    <t>229706</t>
  </si>
  <si>
    <t>INGBFR21XXX</t>
  </si>
  <si>
    <t>Fitness, "Moving Express", fact 161</t>
  </si>
  <si>
    <t>Fitness, "Moving Express", fact 160</t>
  </si>
  <si>
    <t>Fitness, "Fitness Park By Moving", fact 2340</t>
  </si>
  <si>
    <t>Gym, "Sport Tonus"</t>
  </si>
  <si>
    <t>CRÉDIT MUTUEL</t>
  </si>
  <si>
    <t>FR7615629088500002065250128</t>
  </si>
  <si>
    <t>Athlétisme, "License FFA 1470472"</t>
  </si>
  <si>
    <t>205516</t>
  </si>
  <si>
    <t>Golf, "Blue Green", fact 4971408290028</t>
  </si>
  <si>
    <t>0677349488</t>
  </si>
  <si>
    <t>Aquagym, "piscine de Caluire", contrat 107439752</t>
  </si>
  <si>
    <t>PHILOMENE</t>
  </si>
  <si>
    <t>0618767650</t>
  </si>
  <si>
    <t>Yoga, "ACTEM Yoga"</t>
  </si>
  <si>
    <t>MARIE-ALINE</t>
  </si>
  <si>
    <t>LAFONT-TELEP</t>
  </si>
  <si>
    <t>02779</t>
  </si>
  <si>
    <t>DGL</t>
  </si>
  <si>
    <t>229722</t>
  </si>
  <si>
    <t>FR7642559000122101857150562</t>
  </si>
  <si>
    <t>Gym, "MJC Ste Foy-Les-Lyon", fact 568</t>
  </si>
  <si>
    <t>Fitness, "L'Orange Bleue", fact 788</t>
  </si>
  <si>
    <t>COOPFRPPXXX</t>
  </si>
  <si>
    <t>203230</t>
  </si>
  <si>
    <t>Fitness, "Complexe Jean Médecin"</t>
  </si>
  <si>
    <t>FR7642559000334101903338249</t>
  </si>
  <si>
    <t>Tennis, "Lorient tennis"</t>
  </si>
  <si>
    <t>219511</t>
  </si>
  <si>
    <t>Fitness, "VISAFORM"</t>
  </si>
  <si>
    <t>207222</t>
  </si>
  <si>
    <t>Krav Maga, "AFKM"</t>
  </si>
  <si>
    <t>202701</t>
  </si>
  <si>
    <t>Badminton, "licence USFEN"</t>
  </si>
  <si>
    <t>228118</t>
  </si>
  <si>
    <t>E-AGENCE</t>
  </si>
  <si>
    <t>Gym, "Espace sportif de Sucy"</t>
  </si>
  <si>
    <t>Tennis de table, "licence ALCEP Carquefou"</t>
  </si>
  <si>
    <t>205210</t>
  </si>
  <si>
    <t>Gym, "Ass. Gym, Volontaire de Gazonfier"</t>
  </si>
  <si>
    <t>216712</t>
  </si>
  <si>
    <t>Tennis de table, "Licence ASMB78"</t>
  </si>
  <si>
    <t>Aquagym, "Centre de loisirs, Œuvres laique de Cournon"</t>
  </si>
  <si>
    <t>201133</t>
  </si>
  <si>
    <t>Pole Danse, "Spin or tricks"</t>
  </si>
  <si>
    <t>02911</t>
  </si>
  <si>
    <t>219410</t>
  </si>
  <si>
    <t>SAINT-ETIENNE</t>
  </si>
  <si>
    <t>BARNOUX</t>
  </si>
  <si>
    <t>201640</t>
  </si>
  <si>
    <t>GAMBETTA</t>
  </si>
  <si>
    <t>Gym, "ACS Gymnastique"</t>
  </si>
  <si>
    <t>205607</t>
  </si>
  <si>
    <t>Fitness, "Waff Studio"</t>
  </si>
  <si>
    <t>Danse, "Ecole de danse Simon Martin…", fact 23</t>
  </si>
  <si>
    <t>229742</t>
  </si>
  <si>
    <t>Tennis, "Licence et cours, TC Olympien Pacéen"</t>
  </si>
  <si>
    <t>203126</t>
  </si>
  <si>
    <t>Gym, "Kiné JF Sidoli"</t>
  </si>
  <si>
    <t>FR7642559000384101605250966</t>
  </si>
  <si>
    <t>203201</t>
  </si>
  <si>
    <t>Tennis, "Centre Animation et Loisir de Nice"</t>
  </si>
  <si>
    <t>FR7642559000172101880280913</t>
  </si>
  <si>
    <t>Fitness, "Vitaliberté", fact 1191333</t>
  </si>
  <si>
    <t>Fitness, "L'eau Vive, Le Gymnase du Centre"</t>
  </si>
  <si>
    <t>207123</t>
  </si>
  <si>
    <t>0144883946</t>
  </si>
  <si>
    <t>Danse, "Ateliers Danse d'Asnière"</t>
  </si>
  <si>
    <t>207115</t>
  </si>
  <si>
    <t>Gym, "Gym Danse Mont Saint Aignan"</t>
  </si>
  <si>
    <t>Natation, "Piscine Transat", abo 20h 02/09/14</t>
  </si>
  <si>
    <t>Natation, "Piscine Transat", abo 20h 25/03/14</t>
  </si>
  <si>
    <t>217408</t>
  </si>
  <si>
    <t>WaterBike, "SAAS VEL'O, Waterbike"</t>
  </si>
  <si>
    <t>0635111848</t>
  </si>
  <si>
    <t>BasketBall, "Licence CABC Basket"</t>
  </si>
  <si>
    <t>229701</t>
  </si>
  <si>
    <t>Natation, "Spadium", fact 29</t>
  </si>
  <si>
    <t>204210</t>
  </si>
  <si>
    <t>Fitness, "Les Océades Poitiers", fact 000007</t>
  </si>
  <si>
    <t>0155230713</t>
  </si>
  <si>
    <t>Squash, "Front de Seine"</t>
  </si>
  <si>
    <t>ING DIRECT</t>
  </si>
  <si>
    <t>FR7630438001004000181204519</t>
  </si>
  <si>
    <t>ROSELYNE</t>
  </si>
  <si>
    <t>201913</t>
  </si>
  <si>
    <t>Fitness, "Full Time Fitness", fact 25</t>
  </si>
  <si>
    <t xml:space="preserve">BDX </t>
  </si>
  <si>
    <t>MERRIADECK</t>
  </si>
  <si>
    <t>204122</t>
  </si>
  <si>
    <t>PREFECTURE</t>
  </si>
  <si>
    <t>Aquagym, "Les Plaisirs de l'Eau", fact 39496</t>
  </si>
  <si>
    <t>208217</t>
  </si>
  <si>
    <t>Fitness, "SAS EDIFIT", fact 13</t>
  </si>
  <si>
    <t>211819</t>
  </si>
  <si>
    <t>AquaJogging, "Piscine Montigny les Metz"</t>
  </si>
  <si>
    <t>FR7642559000024101703699134</t>
  </si>
  <si>
    <t>Natation, "ES Massy Natation"</t>
  </si>
  <si>
    <t>Gymnastique, "US Saint Egrève Gymnastique"</t>
  </si>
  <si>
    <t>205117</t>
  </si>
  <si>
    <t>Aquagym, "So Pool centre Aquatique"</t>
  </si>
  <si>
    <t>204612</t>
  </si>
  <si>
    <t>Yoga, "S.E.Z.A.M"</t>
  </si>
  <si>
    <t>05247</t>
  </si>
  <si>
    <t>DEVISCH</t>
  </si>
  <si>
    <t>0950964415</t>
  </si>
  <si>
    <t>Fitness, "Studio Julien Henaff", fact 2014-67</t>
  </si>
  <si>
    <t>FR7642559000564101000929929</t>
  </si>
  <si>
    <t>204121</t>
  </si>
  <si>
    <t>FR7642559000415101003802953</t>
  </si>
  <si>
    <t>Equitation, "Association IQQUIOS", Lic+10h</t>
  </si>
  <si>
    <t>remboursement aquagym</t>
  </si>
  <si>
    <t>mt facture 1</t>
  </si>
  <si>
    <t>mt facture 2</t>
  </si>
  <si>
    <t>mt facture 10</t>
  </si>
  <si>
    <t>mt facture 9</t>
  </si>
  <si>
    <t>mt facture 8</t>
  </si>
  <si>
    <t>mt facture 7</t>
  </si>
  <si>
    <t>mt facture 6</t>
  </si>
  <si>
    <t>mt facture 5</t>
  </si>
  <si>
    <t>mt facture 4</t>
  </si>
  <si>
    <t>mt facture 3</t>
  </si>
  <si>
    <t>mt facture 1 n-1</t>
  </si>
  <si>
    <t>mt facture 2 n-1</t>
  </si>
  <si>
    <t>mt facture 3 n-1</t>
  </si>
  <si>
    <t>mt factu4 n-1</t>
  </si>
  <si>
    <t>mt facture 7 n-1</t>
  </si>
  <si>
    <t>mt facture 8 n-1</t>
  </si>
  <si>
    <t>mt facture 9 n-1</t>
  </si>
  <si>
    <t>Montant subv</t>
  </si>
  <si>
    <t>Mt facture</t>
  </si>
  <si>
    <t>/</t>
  </si>
  <si>
    <t>WILLMOTTE</t>
  </si>
  <si>
    <t xml:space="preserve">aqugym fact 39495 </t>
  </si>
  <si>
    <t>12870</t>
  </si>
  <si>
    <t xml:space="preserve"> Montant subv</t>
  </si>
  <si>
    <t xml:space="preserve"> Montant factures</t>
  </si>
  <si>
    <t xml:space="preserve"> Sections</t>
  </si>
  <si>
    <t xml:space="preserve"> sur Mt factures</t>
  </si>
  <si>
    <t xml:space="preserve"> Sur Mt factures</t>
  </si>
  <si>
    <t xml:space="preserve"> recap comptable par sections des subv ASCC effectuées :</t>
  </si>
  <si>
    <t>facture</t>
  </si>
  <si>
    <t>Subv,</t>
  </si>
  <si>
    <t>Boxe, "ABCharenton"</t>
  </si>
  <si>
    <t>0155230702</t>
  </si>
  <si>
    <t>Natation, "Piscine de Courbevoie", 10 entrées</t>
  </si>
  <si>
    <t>203711</t>
  </si>
  <si>
    <t>Gym, "Association Gym Fusion"</t>
  </si>
  <si>
    <t>219512</t>
  </si>
  <si>
    <t>Zumba, "Art et mouvmt du Semnoz", fact 28</t>
  </si>
  <si>
    <t>LOTT</t>
  </si>
  <si>
    <t>05941</t>
  </si>
  <si>
    <t>BTP/ENT</t>
  </si>
  <si>
    <t>228173</t>
  </si>
  <si>
    <t>LA PÉROUSE</t>
  </si>
  <si>
    <t>FR7642559000094101903702262</t>
  </si>
  <si>
    <t>Zumba, "LFDS Production"</t>
  </si>
  <si>
    <t>204700</t>
  </si>
  <si>
    <t>Fitness, "Sport Fitness Tressois"</t>
  </si>
  <si>
    <t>205519</t>
  </si>
  <si>
    <t>FR7642559000554101606165712</t>
  </si>
  <si>
    <t>204701</t>
  </si>
  <si>
    <t>Aquabike, "Les plaisirs de l'eau", fact 39543</t>
  </si>
  <si>
    <t>BARATANGE</t>
  </si>
  <si>
    <t>13287</t>
  </si>
  <si>
    <t>0687001916</t>
  </si>
  <si>
    <t>FR7630047140620002001570126</t>
  </si>
  <si>
    <t>Fitness, "Le Jean Jaurés Club", fact 3</t>
  </si>
  <si>
    <t>Fitness, "Vit'Halles"</t>
  </si>
  <si>
    <t>Running, "Licence FFA", "Course La féminine de Pau"</t>
  </si>
  <si>
    <t>204117</t>
  </si>
  <si>
    <t>Gym, "IMHOTEP Cirque, les arts du cirque"</t>
  </si>
  <si>
    <t>207125</t>
  </si>
  <si>
    <t>Aquagum, "Piscine intercommunale des 3 rivières"</t>
  </si>
  <si>
    <t>0144883912</t>
  </si>
  <si>
    <t>Fitness, "Le Nautil"</t>
  </si>
  <si>
    <t>Yoga, "Dengreville emmanuel", fact FA14/018 et 1FA14/016</t>
  </si>
  <si>
    <t>09007</t>
  </si>
  <si>
    <t>BORNE</t>
  </si>
  <si>
    <t>205312</t>
  </si>
  <si>
    <t>FR7642559000534101800539677</t>
  </si>
  <si>
    <t>Yoga, "Familles Rurales, Vivre mieux"</t>
  </si>
  <si>
    <t>Pilate, "Association CCL"</t>
  </si>
  <si>
    <t>LESAGE-MARTEL</t>
  </si>
  <si>
    <t>204400</t>
  </si>
  <si>
    <t>Football, "licence AS les églantins", fact 2</t>
  </si>
  <si>
    <t>0609041788</t>
  </si>
  <si>
    <t>CEPAFRPP142</t>
  </si>
  <si>
    <t>CE NORMANDIE</t>
  </si>
  <si>
    <t>FR7611425009000418266374375</t>
  </si>
  <si>
    <t>Tennis, "GCO Bihorel Tennis"</t>
  </si>
  <si>
    <t>229233</t>
  </si>
  <si>
    <t>204215</t>
  </si>
  <si>
    <t>Pilates, "Arts Mony Energies"</t>
  </si>
  <si>
    <t>0155230708</t>
  </si>
  <si>
    <t>Musculation, "CSL Gendarmerie de Drancy", fact CSL00736</t>
  </si>
  <si>
    <t>01899</t>
  </si>
  <si>
    <t>VLAHOVITCH</t>
  </si>
  <si>
    <t>FR7642559000332101853950993</t>
  </si>
  <si>
    <t>Fitness, "ASPTT Marseille club omnisport"</t>
  </si>
  <si>
    <t>13325</t>
  </si>
  <si>
    <t>DUBOIS</t>
  </si>
  <si>
    <t>ANDY</t>
  </si>
  <si>
    <t>206318</t>
  </si>
  <si>
    <t>FR7642559000694101903579918</t>
  </si>
  <si>
    <t>Fitness, "FitnessClub Amiens"</t>
  </si>
  <si>
    <t>13450</t>
  </si>
  <si>
    <t>DOISY</t>
  </si>
  <si>
    <t>ANNE-SOPHIE</t>
  </si>
  <si>
    <t>202412</t>
  </si>
  <si>
    <t>FR7630003033200005060807294</t>
  </si>
  <si>
    <t>Fitness, "Magic Form", fact 109003</t>
  </si>
  <si>
    <t>Tennis, "TC Peyrollais"</t>
  </si>
  <si>
    <t>203317</t>
  </si>
  <si>
    <t>Fitness, "Lady Moving", fact ANAX0112</t>
  </si>
  <si>
    <t>226711</t>
  </si>
  <si>
    <t>Natation, "Entente 95 Sannois Natation"</t>
  </si>
  <si>
    <t>13514</t>
  </si>
  <si>
    <t>ALLEGRE</t>
  </si>
  <si>
    <t>OCEANE</t>
  </si>
  <si>
    <t>0634240754</t>
  </si>
  <si>
    <t>CA LANGUEDOC</t>
  </si>
  <si>
    <t>FR7613506100001052539400002</t>
  </si>
  <si>
    <t>AGRIFRPP835</t>
  </si>
  <si>
    <t>Fitness, "Ass SUNSUD", fact 15</t>
  </si>
  <si>
    <t>203422</t>
  </si>
  <si>
    <t>Musculation, "SARL Caux Club de Sport", fact 45</t>
  </si>
  <si>
    <t>Gym, "EPLAR", N°008-2015/2015</t>
  </si>
  <si>
    <t>201517</t>
  </si>
  <si>
    <t>FR7642559000152101854770622</t>
  </si>
  <si>
    <t>Danse, "Ecole Mansouri"</t>
  </si>
  <si>
    <t>212526</t>
  </si>
  <si>
    <t>Golf, "AlbatrosGOLF association"</t>
  </si>
  <si>
    <t>BEIGBEDER</t>
  </si>
  <si>
    <t>LELOURD</t>
  </si>
  <si>
    <t>JEANNINE</t>
  </si>
  <si>
    <t>5,025</t>
  </si>
  <si>
    <t>Fitness, "SPA Aquatonic"</t>
  </si>
  <si>
    <t>Fitness, "Forme Plus", fact 38</t>
  </si>
  <si>
    <t>210700</t>
  </si>
  <si>
    <t>Tennis, "TC Cadaujac"</t>
  </si>
  <si>
    <t>201817</t>
  </si>
  <si>
    <t>Qi Gong, "Association Chine Tao Savoie"</t>
  </si>
  <si>
    <t>211412</t>
  </si>
  <si>
    <t>Fitness, "Interieur Sport", fact 000918</t>
  </si>
  <si>
    <t>GELLNER</t>
  </si>
  <si>
    <t>05327</t>
  </si>
  <si>
    <t>0609167559</t>
  </si>
  <si>
    <t>FR7642559000834101207471624</t>
  </si>
  <si>
    <t>Yoga, "Yoga Lucioles"</t>
  </si>
  <si>
    <t>201027</t>
  </si>
  <si>
    <t>BasketBall, "LSO Colombes"</t>
  </si>
  <si>
    <t>11782</t>
  </si>
  <si>
    <t>208115</t>
  </si>
  <si>
    <t>FR7610278010810001852074011</t>
  </si>
  <si>
    <t>Fitness, "Lady Gym"</t>
  </si>
  <si>
    <t>203112</t>
  </si>
  <si>
    <t>Aquabike, "Silhouette et Bicyclette", fact 20130173</t>
  </si>
  <si>
    <t>208124</t>
  </si>
  <si>
    <t>Fitness, "Amazonia", fact AMAZ19/1</t>
  </si>
  <si>
    <t>Zumba, "Mélanie jacquet", carte 10 cours, fact 7</t>
  </si>
  <si>
    <t>Gym, "Club de Saint Rambert"</t>
  </si>
  <si>
    <t>0621185464</t>
  </si>
  <si>
    <t>Tennis, "Ass Tennis Saint-Nazaire-les-Eymes"</t>
  </si>
  <si>
    <t>00632</t>
  </si>
  <si>
    <t>CARDIA</t>
  </si>
  <si>
    <t>200310</t>
  </si>
  <si>
    <t>FR7642559000034101405680393</t>
  </si>
  <si>
    <t>"PAAC Sports Loisirs"</t>
  </si>
  <si>
    <t>05316</t>
  </si>
  <si>
    <t>LETHIAIS</t>
  </si>
  <si>
    <t>203410</t>
  </si>
  <si>
    <t>FR7642559000694101006958963</t>
  </si>
  <si>
    <t>Tennis, "TC Maurin", lic+cours</t>
  </si>
  <si>
    <t>201920</t>
  </si>
  <si>
    <t>Danse, "SARL J.Danse", fact 2014/09/815</t>
  </si>
  <si>
    <t>201919</t>
  </si>
  <si>
    <t>Danse, "Locura Latina", fact 21</t>
  </si>
  <si>
    <t>Gym, AG Pont De Claix</t>
  </si>
  <si>
    <t>0650745643</t>
  </si>
  <si>
    <t>FR7642559000514101508089751</t>
  </si>
  <si>
    <t>Parachutisme, "Euro Phénix 17", saut+lic, fact 154</t>
  </si>
  <si>
    <t>Zumba, "La Rumba Festiv'Danse SPA"</t>
  </si>
  <si>
    <t>13169</t>
  </si>
  <si>
    <t>BARNAT</t>
  </si>
  <si>
    <t>NOURIA</t>
  </si>
  <si>
    <t>0615710420</t>
  </si>
  <si>
    <t>FR0420041000015167299K02087</t>
  </si>
  <si>
    <t>Danse, "Step-Danse.fr", contrat 99258</t>
  </si>
  <si>
    <t>13697</t>
  </si>
  <si>
    <t>BRENOT</t>
  </si>
  <si>
    <t>208323</t>
  </si>
  <si>
    <t>CRÉDIT AGRICOLE</t>
  </si>
  <si>
    <t>FR7612506250002532364601072</t>
  </si>
  <si>
    <t>Aquagym, "Aquallan Club", fact 50</t>
  </si>
  <si>
    <t>201218</t>
  </si>
  <si>
    <t>Rando, "Chassieu Rando Montagne"</t>
  </si>
  <si>
    <t>MÉRIADECK</t>
  </si>
  <si>
    <t>Gym, "La Boetie Loisirs", N Adhésion 1415008</t>
  </si>
  <si>
    <t>206316</t>
  </si>
  <si>
    <t>CAISSE D'ÉPARGNE</t>
  </si>
  <si>
    <t>Qi Gong, "Pause Harmonie Bien Etre"</t>
  </si>
  <si>
    <t>0155230707</t>
  </si>
  <si>
    <t>CAISSE D'EPARGNE</t>
  </si>
  <si>
    <t>Danse, "Le centre des arts vivants", fact 1</t>
  </si>
  <si>
    <t>02459</t>
  </si>
  <si>
    <t>HANCO</t>
  </si>
  <si>
    <t>202403</t>
  </si>
  <si>
    <t>FR7642559000242101855930801</t>
  </si>
  <si>
    <t>Fitness, "Magic Form", fact 00026</t>
  </si>
  <si>
    <t>DGNE</t>
  </si>
  <si>
    <t>229649</t>
  </si>
  <si>
    <t>Gym, "Club Lafayette", fact 49</t>
  </si>
  <si>
    <t>Gym, "Entente Sportive de Vitry"</t>
  </si>
  <si>
    <t>202514</t>
  </si>
  <si>
    <t>Pilates, "Lucas Riccio, Instructeur Pilates", fact 40</t>
  </si>
  <si>
    <t>204511</t>
  </si>
  <si>
    <t>Fitness, "Elancia +"</t>
  </si>
  <si>
    <t>07609</t>
  </si>
  <si>
    <t>WALTER-ANCEL</t>
  </si>
  <si>
    <t>MARIE-LOUISE</t>
  </si>
  <si>
    <t>FR7610278010060002350360159</t>
  </si>
  <si>
    <t>Gym, "La Concorde Robertsau"</t>
  </si>
  <si>
    <t>Fitness, "SARL FREENESS", fact 13/10/2014/05</t>
  </si>
  <si>
    <t>202510</t>
  </si>
  <si>
    <t>Danse, "Alerte Saint jean"</t>
  </si>
  <si>
    <t>204127</t>
  </si>
  <si>
    <t>BOD</t>
  </si>
  <si>
    <t>FR0320041010011864936Y02207</t>
  </si>
  <si>
    <t>Gym, "Stade Bordelais, ASPTT Bordeaux"</t>
  </si>
  <si>
    <t>12187</t>
  </si>
  <si>
    <t>FIDAHOUSSEN</t>
  </si>
  <si>
    <t>SHAHISTA</t>
  </si>
  <si>
    <t>201012</t>
  </si>
  <si>
    <t>FR7642559000014101006925354</t>
  </si>
  <si>
    <t>Badminton, "CBLC93"</t>
  </si>
  <si>
    <t>13104</t>
  </si>
  <si>
    <t>KUGATHARANI</t>
  </si>
  <si>
    <t>201025</t>
  </si>
  <si>
    <t>THARUMALINGAM</t>
  </si>
  <si>
    <t>FR7642559000014101703510484</t>
  </si>
  <si>
    <t>Badminton, "CBLC 93"</t>
  </si>
  <si>
    <t>MOA</t>
  </si>
  <si>
    <t>HELOICA</t>
  </si>
  <si>
    <t>BRUN</t>
  </si>
  <si>
    <t>DIEUDONNE</t>
  </si>
  <si>
    <t>ELIANE</t>
  </si>
  <si>
    <t>DELABARDE</t>
  </si>
  <si>
    <t>CHARMEUX</t>
  </si>
  <si>
    <t>LIZANNE</t>
  </si>
  <si>
    <t>NOUVET</t>
  </si>
  <si>
    <t>CLAUDINE</t>
  </si>
  <si>
    <t>OSTER</t>
  </si>
  <si>
    <t>SCHMIDT</t>
  </si>
  <si>
    <t>Fitness, "GVA d'Héricy"</t>
  </si>
  <si>
    <t>BasketBall, "UJSBP", Licence</t>
  </si>
  <si>
    <t>Tennis, "TC Pontonx", Licence</t>
  </si>
  <si>
    <t>Zumba, "FREP St Vincent de Paul"</t>
  </si>
  <si>
    <t>Fitness, "Aqualigne Le Pian", fact 000205</t>
  </si>
  <si>
    <t>Tennis, "TC Gradignan", fact 26/2015</t>
  </si>
  <si>
    <t>Gym, "MJC Persan"</t>
  </si>
  <si>
    <t>Danse, "MJC Persan"</t>
  </si>
  <si>
    <t>05452</t>
  </si>
  <si>
    <t>JAMMES</t>
  </si>
  <si>
    <t>0623312658</t>
  </si>
  <si>
    <t>FR7642559000214101601071103</t>
  </si>
  <si>
    <t>Danse, "Asso GL'Danse"</t>
  </si>
  <si>
    <t>Tennis, "TC Vouneuil"</t>
  </si>
  <si>
    <t>BUTTE</t>
  </si>
  <si>
    <t>05172</t>
  </si>
  <si>
    <t>0615517051</t>
  </si>
  <si>
    <t>Badminton, "Feytiat Badminton", Licence</t>
  </si>
  <si>
    <t>214113</t>
  </si>
  <si>
    <t>Fitness, "GOFitness", contrat 310052</t>
  </si>
  <si>
    <t>201500</t>
  </si>
  <si>
    <t>Equitation, "Académie de Bonvaux"</t>
  </si>
  <si>
    <t>0660372182</t>
  </si>
  <si>
    <t>13688</t>
  </si>
  <si>
    <t>MONTEIL</t>
  </si>
  <si>
    <t>201716</t>
  </si>
  <si>
    <t>FR7614506012001225397900055</t>
  </si>
  <si>
    <t>209515</t>
  </si>
  <si>
    <t>FR7616806058006606388532108</t>
  </si>
  <si>
    <t>BasketBall, "US Beaumont Basket"</t>
  </si>
  <si>
    <t>11041</t>
  </si>
  <si>
    <t>200334</t>
  </si>
  <si>
    <t>FR7642559000724101702794723</t>
  </si>
  <si>
    <t>Gym, "Fédération de Gym Suédoise", fact 201566</t>
  </si>
  <si>
    <t>210928</t>
  </si>
  <si>
    <t>Yoga, "DJY Yoga"</t>
  </si>
  <si>
    <t>0609166472</t>
  </si>
  <si>
    <t>Aviron, "AVM", Cotisation 2014/2015</t>
  </si>
  <si>
    <t>0676870248</t>
  </si>
  <si>
    <t>Tennis, "TC de Dourdan"</t>
  </si>
  <si>
    <t>Fitness, "Carré de Soi", fact 2603</t>
  </si>
  <si>
    <t>214724</t>
  </si>
  <si>
    <t>Danse, "FEPS Beruges Section Danse"</t>
  </si>
  <si>
    <t>212011</t>
  </si>
  <si>
    <t>FR1930258000898841144D00101</t>
  </si>
  <si>
    <t>Fitness, "ASPTT Marseille, BIOSPORT"</t>
  </si>
  <si>
    <t>208610</t>
  </si>
  <si>
    <t>Yoga, "Les Amis du Yoga de Scy-Chazelles"</t>
  </si>
  <si>
    <t>204413</t>
  </si>
  <si>
    <t>Gym, "Société Nautique de Bayonne"</t>
  </si>
  <si>
    <t>Gym, "SARL CORSI, Le Palestre", fact 0370</t>
  </si>
  <si>
    <t>BOENS</t>
  </si>
  <si>
    <t>10997</t>
  </si>
  <si>
    <t>FR7630003008560005010945902</t>
  </si>
  <si>
    <t>03979</t>
  </si>
  <si>
    <t>LEBOUC</t>
  </si>
  <si>
    <t>REMI</t>
  </si>
  <si>
    <t>12122</t>
  </si>
  <si>
    <t>FR7630004000980000080191588</t>
  </si>
  <si>
    <t>FR7642559000824101507590124</t>
  </si>
  <si>
    <t>0624654889</t>
  </si>
  <si>
    <t>Tennis, "ASC Lamarque"</t>
  </si>
  <si>
    <t>12808</t>
  </si>
  <si>
    <t>LEMARIE</t>
  </si>
  <si>
    <t>207113</t>
  </si>
  <si>
    <t>FR7644319764860584058724066</t>
  </si>
  <si>
    <t>Natation, "Centre Guy Boissière", abt annuel</t>
  </si>
  <si>
    <t>12814</t>
  </si>
  <si>
    <t>CUNY</t>
  </si>
  <si>
    <t>201017</t>
  </si>
  <si>
    <t>FR7610057192610007625680117</t>
  </si>
  <si>
    <t>Gym, "Fédération Gym Suédoise", fact 202428</t>
  </si>
  <si>
    <t>203501</t>
  </si>
  <si>
    <t>Danse, "Cocodrilo", cours de Salsa</t>
  </si>
  <si>
    <t>218421</t>
  </si>
  <si>
    <t>CA CHAMPAGNE BOURGOGNE</t>
  </si>
  <si>
    <t>Aikido, "Maison pour tous", fact 35</t>
  </si>
  <si>
    <t>BOQUILLON</t>
  </si>
  <si>
    <t>206315</t>
  </si>
  <si>
    <t>FR7642559000634101007409521</t>
  </si>
  <si>
    <t>Gym, "Fémina Sport Amiens"</t>
  </si>
  <si>
    <t>0628491286</t>
  </si>
  <si>
    <t>FR7642559000424101006970426</t>
  </si>
  <si>
    <t>Tennis, "TC Neuville", fact 011-2014</t>
  </si>
  <si>
    <t>205716</t>
  </si>
  <si>
    <t>Qigong, "Patronage laique de Lorient"</t>
  </si>
  <si>
    <t>205715</t>
  </si>
  <si>
    <t>QiGong, "Patronage laique de Lorient"</t>
  </si>
  <si>
    <t>216110</t>
  </si>
  <si>
    <t>Fitness, "Moving Express"</t>
  </si>
  <si>
    <t>Natation, "Combs Natation"</t>
  </si>
  <si>
    <t>Tennis, "Asso Sports Vacances Juniors"</t>
  </si>
  <si>
    <t>205314</t>
  </si>
  <si>
    <t>Danse, "ESA Danse", fact 26</t>
  </si>
  <si>
    <t>13225</t>
  </si>
  <si>
    <t>HAMMADI</t>
  </si>
  <si>
    <t>HAGIRA</t>
  </si>
  <si>
    <t>201220</t>
  </si>
  <si>
    <t>CEPAFRPP313</t>
  </si>
  <si>
    <t>CE MIDI-PYRÉNÉES</t>
  </si>
  <si>
    <t>FR7613135000800430629701419</t>
  </si>
  <si>
    <t>Fitness, "Elixia", num 102p27706</t>
  </si>
  <si>
    <t>0625620251</t>
  </si>
  <si>
    <t>FR7642559000284101107018570</t>
  </si>
  <si>
    <t>Golf, "Country-Club de Chaumont en V", 25 tckts green-fee</t>
  </si>
  <si>
    <t>05604</t>
  </si>
  <si>
    <t>BOUGREAU</t>
  </si>
  <si>
    <t>0681204977</t>
  </si>
  <si>
    <t>FR7642559000424101505937068</t>
  </si>
  <si>
    <t>Aquabike, "La Baignoire", 30 séances</t>
  </si>
  <si>
    <t>207124</t>
  </si>
  <si>
    <t>CA NORMANDIE</t>
  </si>
  <si>
    <t>Gym, "B.A.C Section Gym"</t>
  </si>
  <si>
    <t>229744</t>
  </si>
  <si>
    <t>Yoga, "Centre de Yoga Surcouf"</t>
  </si>
  <si>
    <t>NOURGOUILLOUS</t>
  </si>
  <si>
    <t>VALÉRIE</t>
  </si>
  <si>
    <t>MAITRE</t>
  </si>
  <si>
    <t>DURIMEL</t>
  </si>
  <si>
    <t>LOGGHE</t>
  </si>
  <si>
    <t>MALKA</t>
  </si>
  <si>
    <t>MOUHOUD</t>
  </si>
  <si>
    <t>LAVAUD</t>
  </si>
  <si>
    <t>ROGER</t>
  </si>
  <si>
    <t>DURELLIEU</t>
  </si>
  <si>
    <t>ANNE-LISE</t>
  </si>
  <si>
    <t>205127</t>
  </si>
  <si>
    <t>Fitness, "ASCBG GAF"</t>
  </si>
  <si>
    <t>FR7642559000514101007897902</t>
  </si>
  <si>
    <t>04971</t>
  </si>
  <si>
    <t>GARCIA LEQUEUX</t>
  </si>
  <si>
    <t>207513</t>
  </si>
  <si>
    <t>FR7642559000754101700883293</t>
  </si>
  <si>
    <t>Yoga, "Yoga Club de Ouistreham", num 59</t>
  </si>
  <si>
    <t>11940</t>
  </si>
  <si>
    <t>DURIEUX</t>
  </si>
  <si>
    <t>201988</t>
  </si>
  <si>
    <t>FR6930002010340000105386D74</t>
  </si>
  <si>
    <t>Natation, "Centre Socio Culturel Anna Genin"</t>
  </si>
  <si>
    <t>204316</t>
  </si>
  <si>
    <t>Athlétisme, "Les Aigles de Pau"</t>
  </si>
  <si>
    <t>203226</t>
  </si>
  <si>
    <t>Natation, "ASPTT Nice"</t>
  </si>
  <si>
    <t>05104</t>
  </si>
  <si>
    <t>VALIGNY</t>
  </si>
  <si>
    <t>201130</t>
  </si>
  <si>
    <t>PART-DIEU</t>
  </si>
  <si>
    <t>FR7642559000114101000891513</t>
  </si>
  <si>
    <t>Danses, "22 Exressions", fact 13102014</t>
  </si>
  <si>
    <t>13333</t>
  </si>
  <si>
    <t>BERLIER</t>
  </si>
  <si>
    <t>0682430100</t>
  </si>
  <si>
    <t>CEPAFRPP871</t>
  </si>
  <si>
    <t>FR7618715002000424282162811</t>
  </si>
  <si>
    <t>Fitness, "WellNess Sport Club"</t>
  </si>
  <si>
    <t>0628924786</t>
  </si>
  <si>
    <t>CENTRE</t>
  </si>
  <si>
    <t>Gym, "Club de Gym Les Mille"</t>
  </si>
  <si>
    <t>0675752686</t>
  </si>
  <si>
    <t>Fitness, "Basic FIT", fact 340</t>
  </si>
  <si>
    <t>GABARRA</t>
  </si>
  <si>
    <t>201901</t>
  </si>
  <si>
    <t>Volley, " VCL Moirans"</t>
  </si>
  <si>
    <t>Athlétisme, "CA de Moirans"</t>
  </si>
  <si>
    <t>202614</t>
  </si>
  <si>
    <t>Gym, "Club Lafayette", fact 48</t>
  </si>
  <si>
    <t>201141</t>
  </si>
  <si>
    <t>PSSTFRPPLYO</t>
  </si>
  <si>
    <t>FR4320041010071752998F03849</t>
  </si>
  <si>
    <t>Fitness, "Chevreul Sport"</t>
  </si>
  <si>
    <t>209520</t>
  </si>
  <si>
    <t>Judo, "Esperance Ceyratoise Judo"</t>
  </si>
  <si>
    <t>211127</t>
  </si>
  <si>
    <t>Equitation, "le retour aux sources", fact 201409047</t>
  </si>
  <si>
    <t>202121</t>
  </si>
  <si>
    <t>Cyclisme, "MTB Riders"</t>
  </si>
  <si>
    <t>Fitness, "Fitness Park", fact TLS00106</t>
  </si>
  <si>
    <t>202821</t>
  </si>
  <si>
    <t>Badminton, "CSGT - Badminton", N FFBA 7711</t>
  </si>
  <si>
    <t>202128</t>
  </si>
  <si>
    <t>Aquagym, "Cépet Loisir", fact 14040-1</t>
  </si>
  <si>
    <t>Yoga, "YTDA"</t>
  </si>
  <si>
    <t>208330</t>
  </si>
  <si>
    <t>Fitness, "Wellness Sport Club", fact 000279</t>
  </si>
  <si>
    <t>CAILLET</t>
  </si>
  <si>
    <t>200911</t>
  </si>
  <si>
    <t>Pilates, "Bienessence", fact 20141106-1</t>
  </si>
  <si>
    <t>219716</t>
  </si>
  <si>
    <t>Danse, "Association ALAC"</t>
  </si>
  <si>
    <t>204144</t>
  </si>
  <si>
    <t>Escrime, "Bordeaux Basstide Escrime", fact 33-2014</t>
  </si>
  <si>
    <t>Aquagym, "SARL EAU 63, O Zone"</t>
  </si>
  <si>
    <t>204130</t>
  </si>
  <si>
    <t>Yoga, "AGJA"</t>
  </si>
  <si>
    <t>202803</t>
  </si>
  <si>
    <t>Aviron, "ACBB Aviron"</t>
  </si>
  <si>
    <t>202501</t>
  </si>
  <si>
    <t>Badminton, "Clto Badminton"</t>
  </si>
  <si>
    <t>12096</t>
  </si>
  <si>
    <t>ROCHERY</t>
  </si>
  <si>
    <t>RONAN</t>
  </si>
  <si>
    <t>205520</t>
  </si>
  <si>
    <t>FR7642559000554101902891428</t>
  </si>
  <si>
    <t>Badminton, "Badminton d'Amanlis"</t>
  </si>
  <si>
    <t>201116</t>
  </si>
  <si>
    <t>AGRIFRPP878</t>
  </si>
  <si>
    <t>FR7617806006800410606351139</t>
  </si>
  <si>
    <t>Tennis, "TC de Reyrieux"</t>
  </si>
  <si>
    <t>200820</t>
  </si>
  <si>
    <t>Natation, "Amicale Laique et Sebastien"</t>
  </si>
  <si>
    <t>10673</t>
  </si>
  <si>
    <t>CORNU</t>
  </si>
  <si>
    <t>204133</t>
  </si>
  <si>
    <t>Fitness, "Association Sport et Bien Etre"</t>
  </si>
  <si>
    <t>201633</t>
  </si>
  <si>
    <t>Gym, "Association Gym Volontaire" N 5929</t>
  </si>
  <si>
    <t>07971</t>
  </si>
  <si>
    <t>GILARDEAU</t>
  </si>
  <si>
    <t>06777350009</t>
  </si>
  <si>
    <t>FR7630003006000005052662458</t>
  </si>
  <si>
    <t>Fitness, "Energym", fact 17</t>
  </si>
  <si>
    <t>12493</t>
  </si>
  <si>
    <t>JEDDI</t>
  </si>
  <si>
    <t>HAFIDA</t>
  </si>
  <si>
    <t>0661854770</t>
  </si>
  <si>
    <t>FR6320041010011033314L02212</t>
  </si>
  <si>
    <t>Gym, "Club Poitevin Gymnastique"</t>
  </si>
  <si>
    <t>04330</t>
  </si>
  <si>
    <t>LOZANA</t>
  </si>
  <si>
    <t>0627205181</t>
  </si>
  <si>
    <t>FR7610278364160001101110179</t>
  </si>
  <si>
    <t>Fitness, "Fitness Club les Océades", fact 000013</t>
  </si>
  <si>
    <t>03302</t>
  </si>
  <si>
    <t>MACE</t>
  </si>
  <si>
    <t>FR7642559000265101001886846</t>
  </si>
  <si>
    <t>AquaGym, "Les Océades AquaGym Club"</t>
  </si>
  <si>
    <t>219022</t>
  </si>
  <si>
    <t>FR7611315000010434547814282</t>
  </si>
  <si>
    <t>Tennis, "TC Peynier"</t>
  </si>
  <si>
    <t>207011</t>
  </si>
  <si>
    <t>Natation, "Palmilud", fact CA02V0379171</t>
  </si>
  <si>
    <t>Zumba, "Arcomuse"</t>
  </si>
  <si>
    <t>01139</t>
  </si>
  <si>
    <t>COFFIN</t>
  </si>
  <si>
    <t>FR7642559000712101844440252</t>
  </si>
  <si>
    <t>Barre au sol, "Catherine Germain"</t>
  </si>
  <si>
    <t>13437</t>
  </si>
  <si>
    <t>HERMANS</t>
  </si>
  <si>
    <t>Fitness, "L'orange Bleue"</t>
  </si>
  <si>
    <t>13159</t>
  </si>
  <si>
    <t>10244</t>
  </si>
  <si>
    <t>208614</t>
  </si>
  <si>
    <t>Danse, "Foyer Rural Saint-Barbe"</t>
  </si>
  <si>
    <t>204416</t>
  </si>
  <si>
    <t>Fitness, "Atlanthal", fact 011783</t>
  </si>
  <si>
    <t>208101</t>
  </si>
  <si>
    <t>Fitness, "Amazonia", fact AMAZ19-1</t>
  </si>
  <si>
    <t>FR7642559000094101505687885</t>
  </si>
  <si>
    <t>subvention ASCC forest Hill</t>
  </si>
  <si>
    <t>subvention ASCC Forest Hill</t>
  </si>
  <si>
    <t>BARNOLA</t>
  </si>
  <si>
    <t>00850</t>
  </si>
  <si>
    <t>GERMAIN</t>
  </si>
  <si>
    <t>FR7642559000212101856830909</t>
  </si>
  <si>
    <t>Danse, "Espace Energu Danse"</t>
  </si>
  <si>
    <t>03287</t>
  </si>
  <si>
    <t>BRUNET</t>
  </si>
  <si>
    <t>0614256938</t>
  </si>
  <si>
    <t>FR7642559000215101001501928</t>
  </si>
  <si>
    <t>Fitness, "Magis Form Cugnaux"</t>
  </si>
  <si>
    <t>201134</t>
  </si>
  <si>
    <t>Fitness, "BODY SCULPT", fact 3244730300</t>
  </si>
  <si>
    <t>0609815166</t>
  </si>
  <si>
    <t>FR7642559000314101206464962</t>
  </si>
  <si>
    <t>Athlétisme, "SMUC", fact 2015-00000860</t>
  </si>
  <si>
    <t>03794</t>
  </si>
  <si>
    <t>VERGNES</t>
  </si>
  <si>
    <t>JEAN-FRANCOIS</t>
  </si>
  <si>
    <t>205413</t>
  </si>
  <si>
    <t>FR7642559000214101400297205</t>
  </si>
  <si>
    <t>Tai Chi Chuan, "TCC Style Yang Corrèze", fact A/2014/09/02</t>
  </si>
  <si>
    <t>Gym, "MJC Castelginest"</t>
  </si>
  <si>
    <t>DELCASSE-PREVOT</t>
  </si>
  <si>
    <t>13590</t>
  </si>
  <si>
    <t>ROLLAND</t>
  </si>
  <si>
    <t>201821</t>
  </si>
  <si>
    <t>FootBall, "US Pringly"</t>
  </si>
  <si>
    <t>03266</t>
  </si>
  <si>
    <t>DAOULAS</t>
  </si>
  <si>
    <t>212125</t>
  </si>
  <si>
    <t>FR7642559000554101900048552</t>
  </si>
  <si>
    <t>BasketBall, "HAC Basket"</t>
  </si>
  <si>
    <t>Fitness, "HAC Musculation"</t>
  </si>
  <si>
    <t>Natation, "Piscine de Courbevoie 20 entrées", fact 304897</t>
  </si>
  <si>
    <t>Tennis, "TC Roost-Warendin"</t>
  </si>
  <si>
    <t>Plongée, "Stade Bordelais ASPTT"</t>
  </si>
  <si>
    <t>0609697075</t>
  </si>
  <si>
    <t>Tennis, "Amicale Manin Sport Paris-Est"</t>
  </si>
  <si>
    <t>VORAVICHITH</t>
  </si>
  <si>
    <t>LEA</t>
  </si>
  <si>
    <t>07967</t>
  </si>
  <si>
    <t>210723</t>
  </si>
  <si>
    <t>FR7630003004260005321216455</t>
  </si>
  <si>
    <t>Zumba, "Bonneau Blandine Zumbinitas"</t>
  </si>
  <si>
    <t>08191</t>
  </si>
  <si>
    <t>LEFAUCHEUX</t>
  </si>
  <si>
    <t>210701</t>
  </si>
  <si>
    <t>FR7630438001004000142534305</t>
  </si>
  <si>
    <t>Zumba, "Cocarde Gym et Forme"</t>
  </si>
  <si>
    <t>Natation, "Nat'Arsoise"</t>
  </si>
  <si>
    <t>0144885351</t>
  </si>
  <si>
    <t>Qi Gong, "Horizon Tao", fact 13</t>
  </si>
  <si>
    <t>Gym, "Centre Culturel Bellegarde", fact 556,557,1010,1011</t>
  </si>
  <si>
    <t>07931</t>
  </si>
  <si>
    <t>CORNIC</t>
  </si>
  <si>
    <t>210918</t>
  </si>
  <si>
    <t>CEPAFRPP444</t>
  </si>
  <si>
    <t>FR7614445004000429040295654</t>
  </si>
  <si>
    <t>FootBall, "USJA Carquefou"</t>
  </si>
  <si>
    <t>Zumba, "Association Moov'Orsan"</t>
  </si>
  <si>
    <t>FR7642559000214101903603433</t>
  </si>
  <si>
    <t>Rugby, "AS de l'Union de Rugby XV"</t>
  </si>
  <si>
    <t>202126</t>
  </si>
  <si>
    <t>207518</t>
  </si>
  <si>
    <t>Yoga, "Valledor"</t>
  </si>
  <si>
    <t>0144885357</t>
  </si>
  <si>
    <t>Voile, "Vie au Grand Air de Saint-Maur"</t>
  </si>
  <si>
    <t>217522</t>
  </si>
  <si>
    <t>Yoga, "Yoga Club de Ouistreham"</t>
  </si>
  <si>
    <t>Aquasport, "SARL L'Ilosens", fact 44</t>
  </si>
  <si>
    <t>13572</t>
  </si>
  <si>
    <t>ERROUANE</t>
  </si>
  <si>
    <t>SAMIR</t>
  </si>
  <si>
    <t>0626463237</t>
  </si>
  <si>
    <t>OPÉRA</t>
  </si>
  <si>
    <t>FR5720041010124894623H03309</t>
  </si>
  <si>
    <t>FootBall, "UrbanSoccer"</t>
  </si>
  <si>
    <t>Fitness, "Gym et Forme Ceyreste UFOLEP"</t>
  </si>
  <si>
    <t>0609875567</t>
  </si>
  <si>
    <t>229743</t>
  </si>
  <si>
    <t>Marche Nordique, "Cap Sport Santé"</t>
  </si>
  <si>
    <t>Fitness, "ClubMoving", fact 2014-11</t>
  </si>
  <si>
    <t>DELPUECH</t>
  </si>
  <si>
    <t>CGR</t>
  </si>
  <si>
    <t>Gym, "Espace Sport Santé"</t>
  </si>
  <si>
    <t>LAFAY</t>
  </si>
  <si>
    <t>BLUMENKRANZ</t>
  </si>
  <si>
    <t>VIVIEN</t>
  </si>
  <si>
    <t>13258</t>
  </si>
  <si>
    <t>5074</t>
  </si>
  <si>
    <t>228171</t>
  </si>
  <si>
    <t>LEMESLE</t>
  </si>
  <si>
    <t>229489</t>
  </si>
  <si>
    <t>13568</t>
  </si>
  <si>
    <t>7109</t>
  </si>
  <si>
    <t>FR7630258000008000109610425</t>
  </si>
  <si>
    <t>=zone_de_tri</t>
  </si>
  <si>
    <t>mt facture 5 n-1</t>
  </si>
  <si>
    <t>ANNE-CECILE</t>
  </si>
  <si>
    <t>BTP PAU</t>
  </si>
  <si>
    <t>forest hill</t>
  </si>
  <si>
    <t>02457</t>
  </si>
  <si>
    <t>FR7642559000092101858610942</t>
  </si>
  <si>
    <t>11480</t>
  </si>
  <si>
    <t>FR7618206001622982106900134</t>
  </si>
  <si>
    <t>subvention Forest hill</t>
  </si>
  <si>
    <t>VIRET</t>
  </si>
  <si>
    <t>07786</t>
  </si>
  <si>
    <t>CAISSE D EPARGNE ILE DE FRANCE</t>
  </si>
  <si>
    <t>FR7617515900000473099474006</t>
  </si>
  <si>
    <t>subvention forest hill ASCC</t>
  </si>
  <si>
    <t>CHAULIN</t>
  </si>
  <si>
    <t>13715</t>
  </si>
  <si>
    <t xml:space="preserve">LCL </t>
  </si>
  <si>
    <t>FR3530002005520000051987X35</t>
  </si>
  <si>
    <t>Ping-Pong, "EP Templemars-Vendeville", Licence</t>
  </si>
  <si>
    <t>DEREGNAUCOURT</t>
  </si>
  <si>
    <t>FICHANT</t>
  </si>
  <si>
    <t>ADELINE</t>
  </si>
  <si>
    <t>13694</t>
  </si>
  <si>
    <t>0643961103</t>
  </si>
  <si>
    <t>Zumba, "TEM Sport", fact 14/2014</t>
  </si>
  <si>
    <t>FR9120041010130547282U03422</t>
  </si>
  <si>
    <t>Rugby, "ROC"</t>
  </si>
  <si>
    <t>FTNOFRP1XXX</t>
  </si>
  <si>
    <t>FORTUNEO BANQUE</t>
  </si>
  <si>
    <t>FR7614518292670156086694027</t>
  </si>
  <si>
    <t>201125</t>
  </si>
  <si>
    <t>Fitness, "BodySculpt", fact 3244830300 (de 01 à 07/14)</t>
  </si>
  <si>
    <t xml:space="preserve">BORDEAUX </t>
  </si>
  <si>
    <t>204116</t>
  </si>
  <si>
    <t>Gym, "Tropical'Gym"</t>
  </si>
  <si>
    <t>201632</t>
  </si>
  <si>
    <t>Fitness, "Full time Fitness", fact 45</t>
  </si>
  <si>
    <t>OZIER</t>
  </si>
  <si>
    <t>10667</t>
  </si>
  <si>
    <t>201628</t>
  </si>
  <si>
    <t>Yoga, "Valérie Berger", fact 26</t>
  </si>
  <si>
    <t>FR7610278089140002003634058</t>
  </si>
  <si>
    <t>209521</t>
  </si>
  <si>
    <t>Fitness, "Elancia"</t>
  </si>
  <si>
    <t>Tennis, "TC Pau"</t>
  </si>
  <si>
    <t>GALY</t>
  </si>
  <si>
    <t>213810</t>
  </si>
  <si>
    <t>Zumba, "Angel Star Danse", fact 189</t>
  </si>
  <si>
    <t>AquaBike, "Jean Medecin" (12 séances)</t>
  </si>
  <si>
    <t>Zumba, "CREAT"</t>
  </si>
  <si>
    <t>Danse, "Le centre des arts vivants", fact 35</t>
  </si>
  <si>
    <t>07792</t>
  </si>
  <si>
    <t>BODDEZ</t>
  </si>
  <si>
    <t>202117</t>
  </si>
  <si>
    <t>Box, "TCMS Section Box-savate"</t>
  </si>
  <si>
    <t>FR7613306001110006345491121</t>
  </si>
  <si>
    <t>11788</t>
  </si>
  <si>
    <t>BODIN</t>
  </si>
  <si>
    <t>204613</t>
  </si>
  <si>
    <t>FR7642559000464101306759148</t>
  </si>
  <si>
    <t>Golf, "Blue Green", (du 05/14 au 03/15)</t>
  </si>
  <si>
    <t>13131</t>
  </si>
  <si>
    <t>D'ANGELO</t>
  </si>
  <si>
    <t>202734</t>
  </si>
  <si>
    <t>FR7613306003220005764358434</t>
  </si>
  <si>
    <t>Fitness, "SARL Melun Form", fact 111646</t>
  </si>
  <si>
    <t>LYAUTEY</t>
  </si>
  <si>
    <t>FR7642559000124101000364109</t>
  </si>
  <si>
    <t>"ASC Savigny"</t>
  </si>
  <si>
    <t>05657</t>
  </si>
  <si>
    <t>BOTUHA</t>
  </si>
  <si>
    <t>203111</t>
  </si>
  <si>
    <t>FR7642559000314101201088155</t>
  </si>
  <si>
    <t>Zumba, "Zumba pour tous", fact 16</t>
  </si>
  <si>
    <t>13630</t>
  </si>
  <si>
    <t>ATECHIAN</t>
  </si>
  <si>
    <t>229739</t>
  </si>
  <si>
    <t>FR7610096183720004708910166</t>
  </si>
  <si>
    <t>Tennis, "CRV"</t>
  </si>
  <si>
    <t>211916</t>
  </si>
  <si>
    <t>FR7630003009950005700030071</t>
  </si>
  <si>
    <t>Fitness, "Xtraining", fact 000218</t>
  </si>
  <si>
    <t>07885</t>
  </si>
  <si>
    <t>ABOU EL KALAM</t>
  </si>
  <si>
    <t>0614255635</t>
  </si>
  <si>
    <t>FR7630047140100002050680163</t>
  </si>
  <si>
    <t>Fitness, "Keep Cool", fact 0019140010</t>
  </si>
  <si>
    <t>0144883904</t>
  </si>
  <si>
    <t>Fitness, "Antrebloc", fact 02836</t>
  </si>
  <si>
    <t>ROSE-MARIE</t>
  </si>
  <si>
    <t>MEROVE</t>
  </si>
  <si>
    <t>WYDELINE</t>
  </si>
  <si>
    <t>LAUBY</t>
  </si>
  <si>
    <t>MARIE THERESE</t>
  </si>
  <si>
    <t>JOHN BAPTISTE</t>
  </si>
  <si>
    <t>203220</t>
  </si>
  <si>
    <t>207212</t>
  </si>
  <si>
    <t>Natation, "Club des nageurs de Juvisy"</t>
  </si>
  <si>
    <t>Danses, "22 Expressions", fact 05012015</t>
  </si>
  <si>
    <t>VITTET</t>
  </si>
  <si>
    <t>SARA</t>
  </si>
  <si>
    <t>07915</t>
  </si>
  <si>
    <t>0625451632</t>
  </si>
  <si>
    <t>BP OCCITANE</t>
  </si>
  <si>
    <t>FR7617807000018531956248234</t>
  </si>
  <si>
    <t>CCBPFRPPTLS</t>
  </si>
  <si>
    <t>Danse, cours latino "Studio Garlisi", fact 2014-88</t>
  </si>
  <si>
    <t>0647756647</t>
  </si>
  <si>
    <t>Fitness, "Amazonia", fact B5229</t>
  </si>
  <si>
    <t>203128</t>
  </si>
  <si>
    <t>Danse, "Kdanse Country"</t>
  </si>
  <si>
    <t>08015</t>
  </si>
  <si>
    <t>EDOUARD</t>
  </si>
  <si>
    <t>218747</t>
  </si>
  <si>
    <t>FR7630004016430000029400844</t>
  </si>
  <si>
    <t>BNPAFRPPLIL</t>
  </si>
  <si>
    <t>Fitness, "Urban Fitcenter", contrat 109</t>
  </si>
  <si>
    <t>Tai Chi Chuan, "Ass Toum Sud Loire"</t>
  </si>
  <si>
    <t>Canoe Kayak, "Amical Laiquede Château-Thébaud"</t>
  </si>
  <si>
    <t>205606</t>
  </si>
  <si>
    <t>MiltiSport, "Ass des quartiers du Corniguel"</t>
  </si>
  <si>
    <t>Peche, "Carte AAPPMA"</t>
  </si>
  <si>
    <t>204111</t>
  </si>
  <si>
    <t>FR7642559000704101701295424</t>
  </si>
  <si>
    <t>AquaBike, "Aqualigne Cauderan Sarl NJ", fact 000431</t>
  </si>
  <si>
    <t>201522</t>
  </si>
  <si>
    <t>Gym, "familles rurales"</t>
  </si>
  <si>
    <t>11576</t>
  </si>
  <si>
    <t>VALVERDE</t>
  </si>
  <si>
    <t>JEAN-CLAUDE</t>
  </si>
  <si>
    <t>0627637582</t>
  </si>
  <si>
    <t>FR7630004018630000032536755</t>
  </si>
  <si>
    <t>BNPAFRPPENG</t>
  </si>
  <si>
    <t>Fitness, "EnergieForm"</t>
  </si>
  <si>
    <t>11443</t>
  </si>
  <si>
    <t>DARRAS</t>
  </si>
  <si>
    <t>0616361742</t>
  </si>
  <si>
    <t>CE PICARDIE</t>
  </si>
  <si>
    <t>FR7618025001000404689466157</t>
  </si>
  <si>
    <t>Danse, "Ass espoir danse d'Ailly Sur noye"</t>
  </si>
  <si>
    <t>210101</t>
  </si>
  <si>
    <t>Peche, "Carte interferale 2015"</t>
  </si>
  <si>
    <t>Fitness, "Ass Sport. et Cult. Concordia Marienthal"</t>
  </si>
  <si>
    <t>0155230705</t>
  </si>
  <si>
    <t>Natation, "Piscine de Courbevoie", 20 entrées</t>
  </si>
  <si>
    <t>210932</t>
  </si>
  <si>
    <t>Fitness, "NeoNess", fact NTE-009386</t>
  </si>
  <si>
    <t>Equitation, "Jumping de Maison-Lafitte"</t>
  </si>
  <si>
    <t>13430</t>
  </si>
  <si>
    <t>MOISEAU</t>
  </si>
  <si>
    <t>ALEXA</t>
  </si>
  <si>
    <t>FR7615519390390002018290151</t>
  </si>
  <si>
    <t>Danse, "Centre de Danse de Payaud"</t>
  </si>
  <si>
    <t>04239</t>
  </si>
  <si>
    <t>ARNOUT</t>
  </si>
  <si>
    <t>0609156871</t>
  </si>
  <si>
    <t>FR7642559000094101600608787</t>
  </si>
  <si>
    <t>Fitness, "Les cercles de la forme", fact 33</t>
  </si>
  <si>
    <t>0625057946</t>
  </si>
  <si>
    <t>Fitness, "KeepCool"</t>
  </si>
  <si>
    <t>202218</t>
  </si>
  <si>
    <t>Danse, "Centre de danse Payaud"</t>
  </si>
  <si>
    <t>MENDO-PHILBERT</t>
  </si>
  <si>
    <t>12224</t>
  </si>
  <si>
    <t>mendo</t>
  </si>
  <si>
    <t>BEURDOUCHE</t>
  </si>
  <si>
    <t>DALMASSO</t>
  </si>
  <si>
    <t>CTD</t>
  </si>
  <si>
    <t>ESNAULT</t>
  </si>
  <si>
    <t>GEROUT</t>
  </si>
  <si>
    <t>HONORE</t>
  </si>
  <si>
    <t>ANTIGONE</t>
  </si>
  <si>
    <t>FON</t>
  </si>
  <si>
    <t>DSI</t>
  </si>
  <si>
    <t>DIN</t>
  </si>
  <si>
    <t>TARICCO</t>
  </si>
  <si>
    <t>Subvention ASCC Forest HILL</t>
  </si>
  <si>
    <t>204132</t>
  </si>
  <si>
    <t>Plongée, "S.T.A.B", fact 34</t>
  </si>
  <si>
    <t>13565</t>
  </si>
  <si>
    <t>0634545181</t>
  </si>
  <si>
    <t>FR7617906000320007623487131</t>
  </si>
  <si>
    <t>HandBall, "Angers Noyant", Licence</t>
  </si>
  <si>
    <t>205510</t>
  </si>
  <si>
    <t>Fitness, "24H Fitness"</t>
  </si>
  <si>
    <t>Danse, "Asso GL'Danse", 2T2015</t>
  </si>
  <si>
    <t>0608021607</t>
  </si>
  <si>
    <t>Tennis, "A.S.M"</t>
  </si>
  <si>
    <t>0609875566</t>
  </si>
  <si>
    <t>IDA</t>
  </si>
  <si>
    <t>Fitness, "Ikébana", fact 48</t>
  </si>
  <si>
    <t>0684454828</t>
  </si>
  <si>
    <t>Danse, "Atelier Chorégraphique"</t>
  </si>
  <si>
    <t>Fitness, "Ass. Gv Sunsud", fact 45</t>
  </si>
  <si>
    <t>FootBall, "Avenir Castres"</t>
  </si>
  <si>
    <t>FootBall, "FC Pradeen"</t>
  </si>
  <si>
    <t>03948</t>
  </si>
  <si>
    <t>MESSARDIER</t>
  </si>
  <si>
    <t>FR7642559000174101000484023</t>
  </si>
  <si>
    <t>Aquagym, "S.I. Vu du Val D'Ozon", fact 53</t>
  </si>
  <si>
    <t>Musculation, "ASPTT Niort"</t>
  </si>
  <si>
    <t>201510</t>
  </si>
  <si>
    <t>Aquagym, "Piscine Olympique du Grand Dijon", 12 séances</t>
  </si>
  <si>
    <t>Natation, "Piscine Olympique du Grand Dijon", 12 entrées</t>
  </si>
  <si>
    <t>203116</t>
  </si>
  <si>
    <t>Gym, "Agnés ROCCA"</t>
  </si>
  <si>
    <t>Aquabike, "Agane Fitness", fact 39</t>
  </si>
  <si>
    <t>201513</t>
  </si>
  <si>
    <t>Fitness, "Amazonia", fact 24</t>
  </si>
  <si>
    <t>0601390018</t>
  </si>
  <si>
    <t>FootBall, "FSGT 74"</t>
  </si>
  <si>
    <t>0673734616</t>
  </si>
  <si>
    <t>Fitness, "L'Orange bleue", fact 4251</t>
  </si>
  <si>
    <t>0617453481</t>
  </si>
  <si>
    <t>Fitness, "Planet Form", contrat 3076</t>
  </si>
  <si>
    <t>Fitness, "L'Univers de la Forme SAS"</t>
  </si>
  <si>
    <t>0628225066</t>
  </si>
  <si>
    <t>Lai-Muoi, "Lai-Muoi Grenoble"</t>
  </si>
  <si>
    <t>03306</t>
  </si>
  <si>
    <t>SZYMCZAK</t>
  </si>
  <si>
    <t>FR7642559000714101300086919</t>
  </si>
  <si>
    <t>Natation, "Centre Guy Boissière", annuel</t>
  </si>
  <si>
    <t>11724</t>
  </si>
  <si>
    <t>OUVRARD</t>
  </si>
  <si>
    <t>204611</t>
  </si>
  <si>
    <t>FR7613335004010407946342391</t>
  </si>
  <si>
    <t>Fitness, "Club Aquaform"</t>
  </si>
  <si>
    <t>13676</t>
  </si>
  <si>
    <t>BOUDIER</t>
  </si>
  <si>
    <t>CINDY</t>
  </si>
  <si>
    <t>217417</t>
  </si>
  <si>
    <t>FR7630066109070002018100522</t>
  </si>
  <si>
    <t>Fitness, "Moving"</t>
  </si>
  <si>
    <t>EUROPE</t>
  </si>
  <si>
    <t>FR7630027172520007615700144</t>
  </si>
  <si>
    <t>FootBall, "Soccer5 France", Abo indiv 20</t>
  </si>
  <si>
    <t>201211</t>
  </si>
  <si>
    <t>FootBall, "FC Sainte Foy-Les-Lyon"</t>
  </si>
  <si>
    <t>Volley-Ball, "Crapahut"</t>
  </si>
  <si>
    <t>12450</t>
  </si>
  <si>
    <t>FORESTIER</t>
  </si>
  <si>
    <t>0619744503</t>
  </si>
  <si>
    <t>FR7613506100001233108200039</t>
  </si>
  <si>
    <t>Fitness, "New Planet Form"</t>
  </si>
  <si>
    <t>0155230710</t>
  </si>
  <si>
    <t>Fitness, "Basic FIT II", fact 24</t>
  </si>
  <si>
    <t>CORVO</t>
  </si>
  <si>
    <t>PLUMELLE</t>
  </si>
  <si>
    <t>LE GARREC</t>
  </si>
  <si>
    <t>204616</t>
  </si>
  <si>
    <t>Fitness, "SARL Niort Tonic"</t>
  </si>
  <si>
    <t>13714</t>
  </si>
  <si>
    <t>HANNOU</t>
  </si>
  <si>
    <t>FADOUA</t>
  </si>
  <si>
    <t>0695759683</t>
  </si>
  <si>
    <t>FR7630003021180005221274479</t>
  </si>
  <si>
    <t>Fitness, 'Keep Cool"</t>
  </si>
  <si>
    <t>Tennis, "cours tennis"</t>
  </si>
  <si>
    <t>05185</t>
  </si>
  <si>
    <t>VANLAERES</t>
  </si>
  <si>
    <t>201616</t>
  </si>
  <si>
    <t>FR7630003039220005016308923</t>
  </si>
  <si>
    <t>Zumba, "Foyer pour tous"</t>
  </si>
  <si>
    <t>0686694111</t>
  </si>
  <si>
    <t>Fitness, "EFP"</t>
  </si>
  <si>
    <t>Aquagym, "Aquagym Club", fact 3257</t>
  </si>
  <si>
    <t>200601</t>
  </si>
  <si>
    <t>moto, "MC nord seine et marnais"</t>
  </si>
  <si>
    <t>11604</t>
  </si>
  <si>
    <t>VALANTIN</t>
  </si>
  <si>
    <t>204221</t>
  </si>
  <si>
    <t>FR7619406000380007830534677</t>
  </si>
  <si>
    <t>Fitness, "AMMK", fact 140100000103</t>
  </si>
  <si>
    <t>11723</t>
  </si>
  <si>
    <t>PELTOT</t>
  </si>
  <si>
    <t>GERALDINE</t>
  </si>
  <si>
    <t>0616933390</t>
  </si>
  <si>
    <t>FR7630027170030003997050106</t>
  </si>
  <si>
    <t>Jogging, "ASOChallenge", commande 612553</t>
  </si>
  <si>
    <t>02483</t>
  </si>
  <si>
    <t>LENORMANT</t>
  </si>
  <si>
    <t>0617617609</t>
  </si>
  <si>
    <t>FR7642559000254101901198452</t>
  </si>
  <si>
    <t>Jogging, "ASO Challenge", commande 612033</t>
  </si>
  <si>
    <t>0625067026</t>
  </si>
  <si>
    <t>ROUBA</t>
  </si>
  <si>
    <t>Fitness, "l'espace Beaujon"</t>
  </si>
  <si>
    <t>LOBNA</t>
  </si>
  <si>
    <t>ZOUAOUI</t>
  </si>
  <si>
    <t>HERVIEU</t>
  </si>
  <si>
    <t>MAXIME</t>
  </si>
  <si>
    <t>13905</t>
  </si>
  <si>
    <t xml:space="preserve">CE BOURGOGNE FRANCHE COMTE </t>
  </si>
  <si>
    <t>FR7612135003000414269651107</t>
  </si>
  <si>
    <t>subvention ASCC pour Forest Hill</t>
  </si>
  <si>
    <t>Subvention ASCC pour forest hill</t>
  </si>
  <si>
    <t>13901</t>
  </si>
  <si>
    <t>FUHS</t>
  </si>
  <si>
    <t>203241</t>
  </si>
  <si>
    <t>FR7610278014050002301360250</t>
  </si>
  <si>
    <t>Fitness, "FitLane center"</t>
  </si>
  <si>
    <t>211400</t>
  </si>
  <si>
    <t>Golf, "Licence Golf Val Auzon", fact 27022015B</t>
  </si>
  <si>
    <t>0628920678</t>
  </si>
  <si>
    <t>201918</t>
  </si>
  <si>
    <t>Fitness, "Athletic Center ", fact F2015-04560</t>
  </si>
  <si>
    <t>Golf, "Feesy Golf", fact 25.2015</t>
  </si>
  <si>
    <t>13596</t>
  </si>
  <si>
    <t>AGUIDR</t>
  </si>
  <si>
    <t>J'MAIAA</t>
  </si>
  <si>
    <t>207319</t>
  </si>
  <si>
    <t>FR7618025001000405991539449</t>
  </si>
  <si>
    <t>Fitness, "L'orange Bleue", fact 491</t>
  </si>
  <si>
    <t>200510</t>
  </si>
  <si>
    <t>Fitness, "Fitness Price"</t>
  </si>
  <si>
    <t>Course à pieds, "US Bouscataise"</t>
  </si>
  <si>
    <t>13690</t>
  </si>
  <si>
    <t>MARYLENE</t>
  </si>
  <si>
    <t>0613401298</t>
  </si>
  <si>
    <t>FR7642559000704101703741473</t>
  </si>
  <si>
    <t>Natation, "Piscine L Maylin", Abo semestriel, fact 22</t>
  </si>
  <si>
    <t>Aquagym, "Palmilud"</t>
  </si>
  <si>
    <t>0603681553</t>
  </si>
  <si>
    <t>Kung-Fu, "Dragon Briec", fact 1403</t>
  </si>
  <si>
    <t>204201</t>
  </si>
  <si>
    <t>Aquagym, "Aqua'Tonique", fact 000470</t>
  </si>
  <si>
    <t>207303</t>
  </si>
  <si>
    <t>STEP et Pilates, "CLEC"</t>
  </si>
  <si>
    <t>0662203879</t>
  </si>
  <si>
    <t>Fitness, "Amazonia", Fact 201506</t>
  </si>
  <si>
    <t>Fitness, "FitFactory", fact 2015-299</t>
  </si>
  <si>
    <t>209522</t>
  </si>
  <si>
    <t>Gym, "Foyer Rural d'Orcines"</t>
  </si>
  <si>
    <t>Fitness, "Les cercles de la forme"</t>
  </si>
  <si>
    <t>Danse, "Au salon de danse", fact 7</t>
  </si>
  <si>
    <t>Soirée Bowling, Ag Dijon, 14/01/15</t>
  </si>
  <si>
    <t>JAULT</t>
  </si>
  <si>
    <t>07952</t>
  </si>
  <si>
    <t>NOQUE</t>
  </si>
  <si>
    <t>13977</t>
  </si>
  <si>
    <t>HUMEZ</t>
  </si>
  <si>
    <t>13964</t>
  </si>
  <si>
    <t>GESNYS</t>
  </si>
  <si>
    <t>OBRADOVIC</t>
  </si>
  <si>
    <t>SIDIBE</t>
  </si>
  <si>
    <t>BILLION</t>
  </si>
  <si>
    <t>BERTONCELLO</t>
  </si>
  <si>
    <t>BERANGERE</t>
  </si>
  <si>
    <t>YAZAMI</t>
  </si>
  <si>
    <t>ZOUHAIR</t>
  </si>
  <si>
    <t>AMANDINE</t>
  </si>
  <si>
    <t>TOUBERT</t>
  </si>
  <si>
    <t>MHANA</t>
  </si>
  <si>
    <t>ZIANE</t>
  </si>
  <si>
    <t>FERT</t>
  </si>
  <si>
    <t>HOTTE</t>
  </si>
  <si>
    <t>MARINE</t>
  </si>
  <si>
    <t>REY</t>
  </si>
  <si>
    <t>SALHI</t>
  </si>
  <si>
    <t>SAMIRA</t>
  </si>
  <si>
    <t>MALLETTE</t>
  </si>
  <si>
    <t>216121</t>
  </si>
  <si>
    <t>Peche, "Les Carnagones"</t>
  </si>
  <si>
    <t>Gym, "Foyer Rural Puyricard"</t>
  </si>
  <si>
    <t>Tennis, "AS Tennis Ceyreste", fact 5</t>
  </si>
  <si>
    <t>13584</t>
  </si>
  <si>
    <t>TEXIER</t>
  </si>
  <si>
    <t>0632238443</t>
  </si>
  <si>
    <t>FR4120041010131022927Z03454</t>
  </si>
  <si>
    <t>Equitation, "Licence Fédérale", fact 546</t>
  </si>
  <si>
    <t>Equitation, "Cours Aude VANLAIR"</t>
  </si>
  <si>
    <t>201720</t>
  </si>
  <si>
    <t>Natation, "Centre Nautique Yves Nayme", abo annuel</t>
  </si>
  <si>
    <t>Badminton, "Lyon PESD", fact BAD008</t>
  </si>
  <si>
    <t>208121</t>
  </si>
  <si>
    <t>FR7630087330290005379780130</t>
  </si>
  <si>
    <t>Danse, "CASA Academy"</t>
  </si>
  <si>
    <t>0625844374</t>
  </si>
  <si>
    <t>Danse, "ADSL", fact 20141031-1</t>
  </si>
  <si>
    <t>0611341083</t>
  </si>
  <si>
    <t>Automobile, "ASA du Forez"</t>
  </si>
  <si>
    <t>Fitness, "Wellness Sport Club", fact 000416</t>
  </si>
  <si>
    <t>Tennis, "US Ramonville Tennis", Lic+adhésion</t>
  </si>
  <si>
    <t>Equitation, "Ecuries de Majouraut", fact 150561</t>
  </si>
  <si>
    <t>217711</t>
  </si>
  <si>
    <t>Danse, "Mairie de Boissise le Roi", fact 2015-001-000002</t>
  </si>
  <si>
    <t>Danse, "Mairie de Boissise le Roi", fact 2015-001-000993</t>
  </si>
  <si>
    <t>204123</t>
  </si>
  <si>
    <t>Aquagym, "AQUALIGNE"</t>
  </si>
  <si>
    <t>BAKONOU</t>
  </si>
  <si>
    <t>ASTRIDE</t>
  </si>
  <si>
    <t>13884</t>
  </si>
  <si>
    <t>GRIMOUILLE</t>
  </si>
  <si>
    <t>00559</t>
  </si>
  <si>
    <t>vincent</t>
  </si>
  <si>
    <t>SIMAR-NGUYEN</t>
  </si>
  <si>
    <t>BELLOEUVRE</t>
  </si>
  <si>
    <t>Fitness, "Lady Fitness", fact 13966</t>
  </si>
  <si>
    <t>200712</t>
  </si>
  <si>
    <t>Yoga, "ALS Elancourt"</t>
  </si>
  <si>
    <t>Gym, "ELAN Gym"</t>
  </si>
  <si>
    <t>Aquagym, "Swim Center Villeneuve d'ASCQ", fact 100004803</t>
  </si>
  <si>
    <t>12931</t>
  </si>
  <si>
    <t>PRISCILLA</t>
  </si>
  <si>
    <t>203412</t>
  </si>
  <si>
    <t>Fitness, "Fitness Access", fact 001133</t>
  </si>
  <si>
    <t>Fitness, "Fitness Access", fact 001558</t>
  </si>
  <si>
    <t>FR7616906900238700797447548</t>
  </si>
  <si>
    <t>Jogging, 6 courses différentes</t>
  </si>
  <si>
    <t>Fitness, "Fitness Club", fact 04/2015</t>
  </si>
  <si>
    <t>Tae Kwon Do, "ASBTP Tae Kwon Do"</t>
  </si>
  <si>
    <t>00837</t>
  </si>
  <si>
    <t>ROUMILHAC</t>
  </si>
  <si>
    <t>41</t>
  </si>
  <si>
    <t>0621533298</t>
  </si>
  <si>
    <t>FR7642559000412101839520280</t>
  </si>
  <si>
    <t>Karaté, "SKCA"</t>
  </si>
  <si>
    <t>Surf, "Surf Club Rétais</t>
  </si>
  <si>
    <t>Golf, "Golfy Indigo"</t>
  </si>
  <si>
    <t>204310</t>
  </si>
  <si>
    <t>Gym, "AL Billiere"</t>
  </si>
  <si>
    <t>Running, "Licence FFA, les aigles de Pau"</t>
  </si>
  <si>
    <t>FootBall, "USC Football, licence 2014/2015</t>
  </si>
  <si>
    <t>Golf, "SARL Golf Compact de Louvigny", fact F15-033</t>
  </si>
  <si>
    <t>00948</t>
  </si>
  <si>
    <t>GIRMA-ROMEYER</t>
  </si>
  <si>
    <t>202120</t>
  </si>
  <si>
    <t>FR7642559000212101856110102</t>
  </si>
  <si>
    <t>Natation, "Piscine Pech David", abo A</t>
  </si>
  <si>
    <t>203511</t>
  </si>
  <si>
    <t>Fitness, "New Gym", fact 13</t>
  </si>
  <si>
    <t>201128</t>
  </si>
  <si>
    <t>Fitness, "Body Sculpt", fact 3291322220</t>
  </si>
  <si>
    <t>07640</t>
  </si>
  <si>
    <t>CORROYER</t>
  </si>
  <si>
    <t>219600</t>
  </si>
  <si>
    <t>FR7610278090710002000740133</t>
  </si>
  <si>
    <t>0681322428</t>
  </si>
  <si>
    <t>Aquagym, "Tourcoing les bains", fact TCA3V0005707</t>
  </si>
  <si>
    <t>Natation, "Club Nautique Havrais", Fact 2015/06/06</t>
  </si>
  <si>
    <t>201233</t>
  </si>
  <si>
    <t>Fitness, "Forme Institut Vendome et santé"</t>
  </si>
  <si>
    <t>07723</t>
  </si>
  <si>
    <t>MATZ</t>
  </si>
  <si>
    <t>218723</t>
  </si>
  <si>
    <t>FR7642559000824101506992022</t>
  </si>
  <si>
    <t>Fitness, "Amazonia, Sarl Club Forme 152", fact 46</t>
  </si>
  <si>
    <t>BILELLA DEUTSCH</t>
  </si>
  <si>
    <t>10701</t>
  </si>
  <si>
    <t>204414</t>
  </si>
  <si>
    <t>FR7642559000444101506440662</t>
  </si>
  <si>
    <t>Pelote, "Complexe des Hts-De-Ste Croix", fact 8</t>
  </si>
  <si>
    <t>DGNEC</t>
  </si>
  <si>
    <t>Fitness, "Espace Forme Santé", fact 8</t>
  </si>
  <si>
    <t>0607550173</t>
  </si>
  <si>
    <t>Gym, "Club Omnisport de Chavanod", fact 26</t>
  </si>
  <si>
    <t>Danse, "Atelier Danse Espace St Cyprien"</t>
  </si>
  <si>
    <t>Danse, "Espace ultraDanse", fact FA1506-0049</t>
  </si>
  <si>
    <t>08118</t>
  </si>
  <si>
    <t>0144883916</t>
  </si>
  <si>
    <t>PSSTFRPPMON</t>
  </si>
  <si>
    <t>FR4120041010090385456V03038</t>
  </si>
  <si>
    <t>Badminton, "les Fous du Volant"</t>
  </si>
  <si>
    <t>229903</t>
  </si>
  <si>
    <t>Yoga, "Centre de Yoga Iyengar de Paris"</t>
  </si>
  <si>
    <t>CARNEVALLE</t>
  </si>
  <si>
    <t>NOISIEL</t>
  </si>
  <si>
    <t>WISSAL</t>
  </si>
  <si>
    <t>0660816014</t>
  </si>
  <si>
    <t>CHYBALSKI-MEMIN</t>
  </si>
  <si>
    <t>CLOE</t>
  </si>
  <si>
    <t>DORINE</t>
  </si>
  <si>
    <t>GEIGER-FILIPE</t>
  </si>
  <si>
    <t>DTE</t>
  </si>
  <si>
    <t>LERAY</t>
  </si>
  <si>
    <t>DANY</t>
  </si>
  <si>
    <t>0607084594</t>
  </si>
  <si>
    <t>RIBEYRON</t>
  </si>
  <si>
    <t>SAVVA</t>
  </si>
  <si>
    <t>BRIAND-DRESSY</t>
  </si>
  <si>
    <t>CPI</t>
  </si>
  <si>
    <t>COLAS</t>
  </si>
  <si>
    <t>LIANA</t>
  </si>
  <si>
    <t>0612262594</t>
  </si>
  <si>
    <t>COPIN</t>
  </si>
  <si>
    <t>DE LA PANOUSSE</t>
  </si>
  <si>
    <t>LEDUNOIS</t>
  </si>
  <si>
    <t>RATIBA</t>
  </si>
  <si>
    <t>Subvention ASCC pour Forest hill</t>
  </si>
  <si>
    <t>MAIZIERE</t>
  </si>
  <si>
    <t>12196</t>
  </si>
  <si>
    <t>203144</t>
  </si>
  <si>
    <t>FR7642559000314101407471854</t>
  </si>
  <si>
    <t>Fitness, "Le Cube", Fact 000051</t>
  </si>
  <si>
    <t>Natation, "Piscines municipales de Paris"</t>
  </si>
  <si>
    <t>LEC</t>
  </si>
  <si>
    <t>12765</t>
  </si>
  <si>
    <t>0672956666</t>
  </si>
  <si>
    <t>FR7616006020210003391793234</t>
  </si>
  <si>
    <t>AquaBiking, "WaterBike", fact F2015-45938</t>
  </si>
  <si>
    <t>AquaBiking, "WaterBike", fact F2015-46162</t>
  </si>
  <si>
    <t>07628</t>
  </si>
  <si>
    <t>SADI</t>
  </si>
  <si>
    <t>216606</t>
  </si>
  <si>
    <t>FR0920041000015585883T02087</t>
  </si>
  <si>
    <t>Fitness, "Vita liberté", fact 2015-039</t>
  </si>
  <si>
    <t>05357</t>
  </si>
  <si>
    <t>alet</t>
  </si>
  <si>
    <t>DCO</t>
  </si>
  <si>
    <t>ROSE MARIE</t>
  </si>
  <si>
    <t>PERNIN</t>
  </si>
  <si>
    <t>RAMPHORT</t>
  </si>
  <si>
    <t>AYANI FREY</t>
  </si>
  <si>
    <t>LESMELE</t>
  </si>
  <si>
    <t>LEFAURE</t>
  </si>
  <si>
    <t>SYLVIA</t>
  </si>
  <si>
    <t>LE BIHAN</t>
  </si>
  <si>
    <t>WAFO</t>
  </si>
  <si>
    <t>MARIE NOELLE</t>
  </si>
  <si>
    <t>LANCLAS</t>
  </si>
  <si>
    <t>GIANOLY</t>
  </si>
  <si>
    <t>CERAULO</t>
  </si>
  <si>
    <t>HONGROIS</t>
  </si>
  <si>
    <t>DELVER</t>
  </si>
  <si>
    <t>12745</t>
  </si>
  <si>
    <t>228300</t>
  </si>
  <si>
    <t>FERRAND</t>
  </si>
  <si>
    <t>6.077</t>
  </si>
  <si>
    <t>SCHOTT</t>
  </si>
  <si>
    <t>05386</t>
  </si>
  <si>
    <t>SOC</t>
  </si>
  <si>
    <t>229351</t>
  </si>
  <si>
    <t>BARDAUD</t>
  </si>
  <si>
    <t>204214</t>
  </si>
  <si>
    <t>Fitness, "C'Tonique"</t>
  </si>
  <si>
    <t>13556</t>
  </si>
  <si>
    <t>MILLOT</t>
  </si>
  <si>
    <t>PRUNE</t>
  </si>
  <si>
    <t>0698709094</t>
  </si>
  <si>
    <t>LE PUY</t>
  </si>
  <si>
    <t>FR7617806009260410581048879</t>
  </si>
  <si>
    <t>Fitness, "SARL Studio Fitness"</t>
  </si>
  <si>
    <t>Natation, "Coliseum", fact CC05V0169221</t>
  </si>
  <si>
    <t>AquaGym, "SwimCenter Villeneuve d'Ascq", fact 100048076</t>
  </si>
  <si>
    <t>201613</t>
  </si>
  <si>
    <t>Badminton, "BC de Meylan"</t>
  </si>
  <si>
    <t>NASSO</t>
  </si>
  <si>
    <t>RITA</t>
  </si>
  <si>
    <t>0624835052</t>
  </si>
  <si>
    <t>Voile, "Yacht Club Basque" saison 2014/2015</t>
  </si>
  <si>
    <t>Tennis, "TC Bourg-lés-Valences"</t>
  </si>
  <si>
    <t>Subventions ASCC pour Forest Hill</t>
  </si>
  <si>
    <t>2015/2016</t>
  </si>
  <si>
    <t>2016/01</t>
  </si>
  <si>
    <t>2016/02</t>
  </si>
  <si>
    <t>2016/03</t>
  </si>
  <si>
    <t>2016/04</t>
  </si>
  <si>
    <t>2016/05</t>
  </si>
  <si>
    <t>2016/06</t>
  </si>
  <si>
    <t>2016/07</t>
  </si>
  <si>
    <t>2016/08</t>
  </si>
  <si>
    <t>2015/09</t>
  </si>
  <si>
    <t>2015/10</t>
  </si>
  <si>
    <t>2015/11</t>
  </si>
  <si>
    <t>2015/12</t>
  </si>
  <si>
    <t>Gestion des Adhérents ASCC   2015/2016</t>
  </si>
  <si>
    <t>C.A.F.</t>
  </si>
  <si>
    <t xml:space="preserve">CARDIO </t>
  </si>
  <si>
    <t>GYM SIEGE</t>
  </si>
  <si>
    <t>DUCHAILLUT</t>
  </si>
  <si>
    <t>DSIT</t>
  </si>
  <si>
    <t>BERTHOD</t>
  </si>
  <si>
    <t>RBT AQUAGYM</t>
  </si>
  <si>
    <t>42559  00082  41015075901  24                        DETENU PAR : CREDIT COOPERATIF</t>
  </si>
  <si>
    <t>FR76  4255  9000  8241  0150  7590  124          CODE BIC :       CCOPFRPPXXX</t>
  </si>
  <si>
    <t>mt facture</t>
  </si>
  <si>
    <t>date  1</t>
  </si>
  <si>
    <t>date  3</t>
  </si>
  <si>
    <t>section prel 1</t>
  </si>
  <si>
    <t>section prel 2</t>
  </si>
  <si>
    <t>section prel 3</t>
  </si>
  <si>
    <t>section prel 4</t>
  </si>
  <si>
    <t>section prel  5</t>
  </si>
  <si>
    <t>section prel 6</t>
  </si>
  <si>
    <t>Date 1er prel</t>
  </si>
  <si>
    <t>Mt 1er Prel</t>
  </si>
  <si>
    <t>Mt 2e Prel</t>
  </si>
  <si>
    <t>Mt 3e Prel</t>
  </si>
  <si>
    <t>Mt 4e Prel</t>
  </si>
  <si>
    <t>lib 1</t>
  </si>
  <si>
    <t>lib 3</t>
  </si>
  <si>
    <t>lib5</t>
  </si>
  <si>
    <t>lib 5</t>
  </si>
  <si>
    <t>lib 6</t>
  </si>
  <si>
    <t>lib 2</t>
  </si>
  <si>
    <t>(*) La participation est fixée pour la saison 2015/2016 à 50% des frais engagés avec un plafond annuel de 160€ par adhérent bénéficiaire</t>
  </si>
  <si>
    <t>Nous vous prions de trouver ci-joint un relevé détaillé des participations de l'ASCC à vos activités sportives dont le montant total est de 0€</t>
  </si>
  <si>
    <t xml:space="preserve">pour la saison 2015/2016 il vous reste donc la possibilite d'une participation ASCC de 160€ </t>
  </si>
  <si>
    <t>section prel 7</t>
  </si>
  <si>
    <t>lib7</t>
  </si>
  <si>
    <t>section prel 8</t>
  </si>
  <si>
    <t>lib8</t>
  </si>
  <si>
    <t>mt4</t>
  </si>
  <si>
    <t>ASCC, Subv Aquagym, "SV So Pool", fact 15001201508191-0058</t>
  </si>
  <si>
    <t xml:space="preserve">ASCC, Subv Boxe, "ABCharenton", </t>
  </si>
  <si>
    <t>ASCC, Subv Zulba, "ACS Gymnastique"</t>
  </si>
  <si>
    <t>ASCC, Subv Golf, "Formule Golf"</t>
  </si>
  <si>
    <t>0155230715</t>
  </si>
  <si>
    <t>ASCC, Subv Fitness, "Les cercles de la formes"</t>
  </si>
  <si>
    <t>ASCC, Subv Fitness, L'Orange Bleue", fact 1625</t>
  </si>
  <si>
    <t>ASCC, Subv Natation, "CSC Anna Genin", fact 1853</t>
  </si>
  <si>
    <t>208201</t>
  </si>
  <si>
    <t>ASCC, Subv Gym, "Ass Sport Tonus"</t>
  </si>
  <si>
    <t>JOUBERT</t>
  </si>
  <si>
    <t>MADELINE</t>
  </si>
  <si>
    <t>13883</t>
  </si>
  <si>
    <t>0683170618</t>
  </si>
  <si>
    <t>FR7611006200202378235800143</t>
  </si>
  <si>
    <t>BAUDIER</t>
  </si>
  <si>
    <t>0646062782</t>
  </si>
  <si>
    <t>FR7642559000954101405742645</t>
  </si>
  <si>
    <t>ASCC, Subv Tennis, "Romagnat TC"</t>
  </si>
  <si>
    <t>dt 1er Prel</t>
  </si>
  <si>
    <t>GG</t>
  </si>
  <si>
    <t xml:space="preserve"> Nanterre le 26/09/2015</t>
  </si>
  <si>
    <t>n° mandat prel</t>
  </si>
  <si>
    <t xml:space="preserve"> Cotisation annuelle par Prélèvement: OUI</t>
  </si>
  <si>
    <t>ASCC 2015-09-25 012333</t>
  </si>
  <si>
    <t>Mandat : ASCC 2015-09-25 012333</t>
  </si>
  <si>
    <t>REGLE</t>
  </si>
  <si>
    <t>LE CLOAREC</t>
  </si>
  <si>
    <t>HENRY BIABAUD</t>
  </si>
  <si>
    <t>OMF</t>
  </si>
  <si>
    <t>04143</t>
  </si>
  <si>
    <t>LAZZARIS</t>
  </si>
  <si>
    <t>202617</t>
  </si>
  <si>
    <t>Cotisation annuelle par Prélèvement: NON</t>
  </si>
  <si>
    <t>FR7642559000174101700483456</t>
  </si>
  <si>
    <t>ASCC, Subv Natation, Piscine Minicipale Saint-Cyr-Sur-Loire</t>
  </si>
  <si>
    <t>ASCC, Subv Natation, "SV Piscine Lucien Maylin"</t>
  </si>
  <si>
    <t>ASCC, Subv Yoga, "ASC du Fresne et du Tilleul"</t>
  </si>
  <si>
    <t>ASCC, Subv Football, "Soccer5", abonnement indiv 20</t>
  </si>
  <si>
    <t>ASCC, Subv Fitness, "Sport Tonus"</t>
  </si>
  <si>
    <t>03937</t>
  </si>
  <si>
    <t>PERRET</t>
  </si>
  <si>
    <t>0608960566</t>
  </si>
  <si>
    <t>FR7642559000814101000405560</t>
  </si>
  <si>
    <t>ASCC, Subv Fitness, "Amazonia", fact 100680411</t>
  </si>
  <si>
    <t>12810</t>
  </si>
  <si>
    <t>FERMEY</t>
  </si>
  <si>
    <t>0661911224</t>
  </si>
  <si>
    <t>FR7642559000204101207417279</t>
  </si>
  <si>
    <t>ASCC, Subv Tennis, "Championnet Sports"</t>
  </si>
  <si>
    <t>12470</t>
  </si>
  <si>
    <t>NEFF</t>
  </si>
  <si>
    <t>ANGELIQUE</t>
  </si>
  <si>
    <t>200212</t>
  </si>
  <si>
    <t>FR7630438001004000100841280</t>
  </si>
  <si>
    <t>203811</t>
  </si>
  <si>
    <t>ASCC, Subv Fitness, "Fitness Park", fact 000072</t>
  </si>
  <si>
    <t>ASCC, Subv Equitation, "Académie de Bonvaux"</t>
  </si>
  <si>
    <t>ASCC, Subv Yoga, "ACTEM Yoga"</t>
  </si>
  <si>
    <t>ASCC, Subv Fitness, "Vita Liberté", Fact 1261954</t>
  </si>
  <si>
    <t>ASCC, Subv Tennis de Table, "ASMB78"</t>
  </si>
  <si>
    <t>ASCC, Subv Gym, "Kiné N Michel"</t>
  </si>
  <si>
    <t>ASCC, Subv Pilates, " CLEC"</t>
  </si>
  <si>
    <t>ASCC, Subv Musculation, "Espace Sportif de Sucy"</t>
  </si>
  <si>
    <t>208221</t>
  </si>
  <si>
    <t>ASCC, Subv Fitness, "Ass. Sport Tonus"</t>
  </si>
  <si>
    <t>210929</t>
  </si>
  <si>
    <t>ASCC, Subv Gym, "Ass. Gym Neatour"</t>
  </si>
  <si>
    <t>212523</t>
  </si>
  <si>
    <t>ASCC, Subv Natation, "Piscine du Wacken", 10 entrées</t>
  </si>
  <si>
    <t>204314</t>
  </si>
  <si>
    <t>ASCC, Subv Athlétisme, "Licence Aigles de Pau"</t>
  </si>
  <si>
    <t>ASCC, Subv course, "Foulées du Béarn 2015"</t>
  </si>
  <si>
    <t>ASCC, Subv course, "Behobie - San Sebastian"</t>
  </si>
  <si>
    <t>ASCC, Subv Aquagym, "Les Plaisirs de l'eau", fact 39554</t>
  </si>
  <si>
    <t>12180</t>
  </si>
  <si>
    <t>VIGUIER</t>
  </si>
  <si>
    <t>203714</t>
  </si>
  <si>
    <t>NIMES</t>
  </si>
  <si>
    <t>FR7613506100003639655900030</t>
  </si>
  <si>
    <t>ASCC, Subv Fitness, "Keep Cool"</t>
  </si>
  <si>
    <t>ASCC, Subv Fitness, "L'eau Vive", 40 entrées</t>
  </si>
  <si>
    <t xml:space="preserve"> emission de 2 virements SEPA pour un montant de 285 €</t>
  </si>
  <si>
    <t>DOP BTP</t>
  </si>
  <si>
    <t>BATILEASE</t>
  </si>
  <si>
    <t>LANDEAU</t>
  </si>
  <si>
    <t>FARGEOT</t>
  </si>
  <si>
    <t>VAZQUEZ</t>
  </si>
  <si>
    <t>SUARD</t>
  </si>
  <si>
    <t>MARIE ANDREE</t>
  </si>
  <si>
    <t>VOLPE</t>
  </si>
  <si>
    <t>ROSINE</t>
  </si>
  <si>
    <t>TRIQUET</t>
  </si>
  <si>
    <t>COSTA</t>
  </si>
  <si>
    <t>HUBLIN</t>
  </si>
  <si>
    <t>HUU HIEU</t>
  </si>
  <si>
    <t>LAFAYETTE</t>
  </si>
  <si>
    <t>SIMONET</t>
  </si>
  <si>
    <t>EMELINE</t>
  </si>
  <si>
    <t>TELUSSON</t>
  </si>
  <si>
    <t>ANGELA</t>
  </si>
  <si>
    <t>BENHAMOUCHE</t>
  </si>
  <si>
    <t>NAIMA</t>
  </si>
  <si>
    <t>SIMAR</t>
  </si>
  <si>
    <t>LAFAYE</t>
  </si>
  <si>
    <t>CE AQUITAINE POITOU CHARENTE</t>
  </si>
  <si>
    <t>FR7613335003010414680870561</t>
  </si>
  <si>
    <t>ASCC, Subv Gym, "SPORT Bien Etre"</t>
  </si>
  <si>
    <t>FR7630003024680005059966377</t>
  </si>
  <si>
    <t>ASCC, Subv Danse, "Foyer Rural Sainte-Barbe"</t>
  </si>
  <si>
    <t>11122</t>
  </si>
  <si>
    <t>PHILIBERT</t>
  </si>
  <si>
    <t>OLYMPE</t>
  </si>
  <si>
    <t>0650725332</t>
  </si>
  <si>
    <t>FR7642559000114101702486014</t>
  </si>
  <si>
    <t>ASCC, Squash, "Mairie de Macon"</t>
  </si>
  <si>
    <t>ASCC, Subv Fitness, "Elancia Limoges"</t>
  </si>
  <si>
    <t>ASCC, Subv Fitness, "Cadence 3 Fitness", fact 000286</t>
  </si>
  <si>
    <t>FR7615589335790714137284080</t>
  </si>
  <si>
    <t>BARKLEY</t>
  </si>
  <si>
    <t>ASCC, Subv Gym, "IMHOTEP Cirque, les arts du cirque"</t>
  </si>
  <si>
    <t>ASCC, Subv Equitation, "IQQUIOS"</t>
  </si>
  <si>
    <t>CE PROVENCE ALPES CORSE</t>
  </si>
  <si>
    <t>FR7611315000010423954464458</t>
  </si>
  <si>
    <t>ASCC, Subv Fitness, "L'Orange Bleue", fact 1468</t>
  </si>
  <si>
    <t>01293</t>
  </si>
  <si>
    <t>205522</t>
  </si>
  <si>
    <t>FR7642559000552101843510650</t>
  </si>
  <si>
    <t>ASCC, Subv Stretching, "MQST"</t>
  </si>
  <si>
    <t>ASCC, Subv Badminton, "USFEN"</t>
  </si>
  <si>
    <t>ASCC, Subv Gym, "Stade Bordelais ASPTT"</t>
  </si>
  <si>
    <t>ASCC, Subv Escalade, "Union Saint-Bruno"</t>
  </si>
  <si>
    <t>ASCC, Subv Gym, "Union Saint-Bruno"</t>
  </si>
  <si>
    <t>13569</t>
  </si>
  <si>
    <t>202034</t>
  </si>
  <si>
    <t>CA IDF</t>
  </si>
  <si>
    <t>FR7618206001136028238259174</t>
  </si>
  <si>
    <t>ASCC, Subv Aquagym, "HUDOLIA"</t>
  </si>
  <si>
    <t>ASCC, Subv AquaJogging, "Piscine Montigny les Metz"</t>
  </si>
  <si>
    <t>ASCC, Subv Aquatonic, "Piscine Montigny les Metz"</t>
  </si>
  <si>
    <t>12801</t>
  </si>
  <si>
    <t>FOUQUART</t>
  </si>
  <si>
    <t>0677638588</t>
  </si>
  <si>
    <t>CE AUVERGNE LIMOUSIN</t>
  </si>
  <si>
    <t>FR7618715001010413594005508</t>
  </si>
  <si>
    <t>ASCC, Subv Fitness, "Espace Forme"</t>
  </si>
  <si>
    <t>ASCC, Subv Danse, "ESA Danse", fact 201516-180915002</t>
  </si>
  <si>
    <t>206014</t>
  </si>
  <si>
    <t>ASCC, Subv Zumba, "F.R.E.P"</t>
  </si>
  <si>
    <t>ASCC, Subv Tennis, "TC Pontonx", Licence</t>
  </si>
  <si>
    <t>ASCC, Subv Musculation, "CSL Gendarmerie de Drancy", fact CSL00868</t>
  </si>
  <si>
    <t>ASCC, Subv Aquagym, "les plaisirs de l'Eau"</t>
  </si>
  <si>
    <t>ASCC, Subv Fitness, "Cadence 3 Fitness", fact 000287</t>
  </si>
  <si>
    <t>odille Escudero</t>
  </si>
  <si>
    <t>paiement</t>
  </si>
  <si>
    <t>mise en place paiement</t>
  </si>
  <si>
    <t xml:space="preserve">Subvention Abonnement forest hill </t>
  </si>
  <si>
    <t>HERINIAINA</t>
  </si>
  <si>
    <t>RABEMIARINAIVO</t>
  </si>
  <si>
    <t>13761</t>
  </si>
  <si>
    <t>CREDIT LYONNAIS</t>
  </si>
  <si>
    <t>FR5130002009090000370376Q29</t>
  </si>
  <si>
    <t>Subvention  abonnement Promo Forest Hill</t>
  </si>
  <si>
    <t>AIT-OUAHMANE</t>
  </si>
  <si>
    <t>Subvention ASCC 2014/2015 Forest Hill</t>
  </si>
  <si>
    <t>6,037</t>
  </si>
  <si>
    <t xml:space="preserve"> emission de 31 virements SEPA pour un montant de 3290 €</t>
  </si>
  <si>
    <t>ASCC, Subv Tennis, "TC Peyrollais"</t>
  </si>
  <si>
    <t>ASCC, Subv Gym, "Ass. Gym, Volontaire de Gazonfier"</t>
  </si>
  <si>
    <t>ASCC, Subv BasketBall, "LSO Colombes"</t>
  </si>
  <si>
    <t>13673</t>
  </si>
  <si>
    <t>DI BERNARDO</t>
  </si>
  <si>
    <t>MARGOT</t>
  </si>
  <si>
    <t>206135</t>
  </si>
  <si>
    <t>AGRIFRPP867</t>
  </si>
  <si>
    <t>CA NORD DE FRANCE</t>
  </si>
  <si>
    <t>FR7616706050275039523800310</t>
  </si>
  <si>
    <t>ASCC, Subv Muscu-Cardio, "Ass GLOBAL GYM"</t>
  </si>
  <si>
    <t>ASCC, Subv Fitness, "Ass Chantecler"</t>
  </si>
  <si>
    <t>ASCC, Subv Natation, "Union Saint-Bruno"</t>
  </si>
  <si>
    <t>ASCC, Subv AquaGym, "Palmilud"</t>
  </si>
  <si>
    <t>10400</t>
  </si>
  <si>
    <t>FLORIANE</t>
  </si>
  <si>
    <t>204021</t>
  </si>
  <si>
    <t>QUINCONCES</t>
  </si>
  <si>
    <t>ASCC, Subv Gym, "Ass Villenavaise Sport pour Tous"</t>
  </si>
  <si>
    <t>FR7630438001004000272141922</t>
  </si>
  <si>
    <t>ASCC, Subv Zumba, "Art du Mouvement du Semnoz", fact 24</t>
  </si>
  <si>
    <t>ASCC, Subv Ahtlétisme, "Les aigles de Pau"</t>
  </si>
  <si>
    <t>ASCC, Subv biking, "SARL Studio Squash", fact STS00082</t>
  </si>
  <si>
    <t>ASCC, Subv Gym, "US Saint Egrève Gymnastique"</t>
  </si>
  <si>
    <t>04066</t>
  </si>
  <si>
    <t>ETRILLARD</t>
  </si>
  <si>
    <t>200942</t>
  </si>
  <si>
    <t>DÉFENSE</t>
  </si>
  <si>
    <t>FR7642559000034101000588411</t>
  </si>
  <si>
    <t>ASCC, Subv AquaGym, "Piscine des Closeaux"</t>
  </si>
  <si>
    <t>ASCC, Subv CrossFit, "L'Arène CrossFit Sénart"</t>
  </si>
  <si>
    <t xml:space="preserve">LILLE </t>
  </si>
  <si>
    <t>ASCC, Subv Fitness, "GymStreet", fact LIL02445</t>
  </si>
  <si>
    <t>201311</t>
  </si>
  <si>
    <t>ASCC, Subv Danse, "Ecole de Danse Q. Gremillet"</t>
  </si>
  <si>
    <t>ASCC, Subc Zumba, "Foyer Pour Tous"</t>
  </si>
  <si>
    <t>ASCC, Subv Danse, "Ecole de danse Rockamahjou"</t>
  </si>
  <si>
    <t>ASCC, Subv Zumba, "Angel Star Dance</t>
  </si>
  <si>
    <t>JESSIKA</t>
  </si>
  <si>
    <t>ASCC, Subv pilates, "Danse Prado Pilate"</t>
  </si>
  <si>
    <t>BACH</t>
  </si>
  <si>
    <t>BALAMARESH</t>
  </si>
  <si>
    <t>SOPHIA</t>
  </si>
  <si>
    <t>BENDARI</t>
  </si>
  <si>
    <t>AICHA</t>
  </si>
  <si>
    <t>MACIEN</t>
  </si>
  <si>
    <t>GAVARD</t>
  </si>
  <si>
    <t>MERIKHI</t>
  </si>
  <si>
    <t>LYNDA</t>
  </si>
  <si>
    <t>PONS</t>
  </si>
  <si>
    <t>ID-SAAYOUD</t>
  </si>
  <si>
    <t>MALIKA</t>
  </si>
  <si>
    <t>11928</t>
  </si>
  <si>
    <t>FR7630003014300005260859441</t>
  </si>
  <si>
    <t>ASCC, Subv Fitness, "New Planet Forme"</t>
  </si>
  <si>
    <t>0689215359</t>
  </si>
  <si>
    <t>ASCC, Subv Gym, "Gym Detente Charenton"</t>
  </si>
  <si>
    <t>ASCC, Subv Fitness, "Stade Fit Center", fact 100001692</t>
  </si>
  <si>
    <t>ASCC, Subv Fitness, "L'Orange Bleue"</t>
  </si>
  <si>
    <t>ASCC, Subv Yoga, "Valledor"</t>
  </si>
  <si>
    <t>13914</t>
  </si>
  <si>
    <t>HECQUET</t>
  </si>
  <si>
    <t>ANGIE</t>
  </si>
  <si>
    <t>207143</t>
  </si>
  <si>
    <t>FR7640618802630004020429144</t>
  </si>
  <si>
    <t>ASCC, Subv Patinage, "ROC", lic+cours</t>
  </si>
  <si>
    <t>ASCC, Subv Tennis, "TC Rouen"</t>
  </si>
  <si>
    <t>ASCC, Subv Boxe, "Royal Boxing Club"</t>
  </si>
  <si>
    <t>ASCC, Subv BasketBall, "CABC Basket Brive"</t>
  </si>
  <si>
    <t>218700</t>
  </si>
  <si>
    <t>ASCC, Subv Rugby, "ROC"</t>
  </si>
  <si>
    <t>03269</t>
  </si>
  <si>
    <t>MORENO</t>
  </si>
  <si>
    <t>201124</t>
  </si>
  <si>
    <t>FR7642559000115101001783572</t>
  </si>
  <si>
    <t>ASCC, Subv Aikido, "Ass. Europe Lyon Aikido"</t>
  </si>
  <si>
    <t>ASCC, Subv Gym, "La Concorde Roberstau"</t>
  </si>
  <si>
    <t>04418</t>
  </si>
  <si>
    <t>DUCLAU</t>
  </si>
  <si>
    <t>205700</t>
  </si>
  <si>
    <t>CRÉDIT COOPÉRAITF</t>
  </si>
  <si>
    <t>FR7642559000574101300683582</t>
  </si>
  <si>
    <t>ASCC, Subv Fitness, "Latitude Form Lorient", 2 mois</t>
  </si>
  <si>
    <t>ASCC, Subv Football, "AS les églantins", fact 37</t>
  </si>
  <si>
    <t>ASCC, Subv Zumba, "Sport Fitness Tressois"</t>
  </si>
  <si>
    <t>ASCC, Subv Fitness, "Eurovital SARL", fact 31</t>
  </si>
  <si>
    <t>ASCC, Subv Aviron, "ACBB Aviron"</t>
  </si>
  <si>
    <t>0664308227</t>
  </si>
  <si>
    <t>ASCC, Subv Aquagym, "Aquagem", fact 2015000801</t>
  </si>
  <si>
    <t>0611733436</t>
  </si>
  <si>
    <t>ASCC, Subv Tennis, "TC Vouneuil sous Biard"</t>
  </si>
  <si>
    <t>ASCC, Subv Yoga, "Les amis du Yoga des Scy-Chazelles", sept-juin</t>
  </si>
  <si>
    <t>FR7610278089280005220370158</t>
  </si>
  <si>
    <t>ASCC, Subv Fitness, "VisaForm Epagny", fact 2197554</t>
  </si>
  <si>
    <t>13647</t>
  </si>
  <si>
    <t>HERINGUEZ</t>
  </si>
  <si>
    <t>ESTHEL</t>
  </si>
  <si>
    <t>208222</t>
  </si>
  <si>
    <t>CE LORRAINE CHAMPAGNE-ARDENNE</t>
  </si>
  <si>
    <t>FR7615135205900402313511985</t>
  </si>
  <si>
    <t>CEPAFRPP513</t>
  </si>
  <si>
    <t>ASCC, Subv Zumba, "Elo Forme et détente"</t>
  </si>
  <si>
    <t>ASCC, Subv Gym, "MJC Ste Foy-Lés-Lyon"</t>
  </si>
  <si>
    <t>207116</t>
  </si>
  <si>
    <t>FR7642559000094101506037279</t>
  </si>
  <si>
    <t>ASCC, Subv Gym, "OMSA"</t>
  </si>
  <si>
    <t>ASCC, Subv Danse, "Elodie Maisons - Chevillard"</t>
  </si>
  <si>
    <t>08245</t>
  </si>
  <si>
    <t>PREAUX</t>
  </si>
  <si>
    <t>0144885352</t>
  </si>
  <si>
    <t>FR7630003016300005030722389</t>
  </si>
  <si>
    <t>ASCC, Subv Fitness, "Dynamo Cycling"</t>
  </si>
  <si>
    <t>ASCC, Subv Golf, "Albatros Golf Ass."</t>
  </si>
  <si>
    <t>ASCC, Subv Fitness, "Waff Studio", fact 2015-76</t>
  </si>
  <si>
    <t>ASCC, Subv Gym, "SNB"</t>
  </si>
  <si>
    <t>14057</t>
  </si>
  <si>
    <t>OUSKOULLA</t>
  </si>
  <si>
    <t>SOFIA</t>
  </si>
  <si>
    <t>200733</t>
  </si>
  <si>
    <t>FR7618206004636501019458416</t>
  </si>
  <si>
    <t>201148</t>
  </si>
  <si>
    <t>ASCC, Subv Gym, "ASC Savigny"</t>
  </si>
  <si>
    <t>MIMOUNI MEYER</t>
  </si>
  <si>
    <t>ASCC, Subv Gym, "Lady Gym"</t>
  </si>
  <si>
    <t>05335</t>
  </si>
  <si>
    <t>PERRA</t>
  </si>
  <si>
    <t>201127</t>
  </si>
  <si>
    <t>FR7642559000114101101077381</t>
  </si>
  <si>
    <t>ASCC, Subv Fym, "Ass. Anneyrias Gym Fit"</t>
  </si>
  <si>
    <t>0627110780</t>
  </si>
  <si>
    <t>ASCC, Subv Gym, "Foyer Rural Puycard"</t>
  </si>
  <si>
    <t>ASCC, Subv Gym, "Tropical'Gym"</t>
  </si>
  <si>
    <t>200623</t>
  </si>
  <si>
    <t>ASCC, Subv Fitness, "Moving Express", fact 3621</t>
  </si>
  <si>
    <t>ASCC, Subv Tennis de Table, "TT Carquefou"</t>
  </si>
  <si>
    <t>07833</t>
  </si>
  <si>
    <t>RIGOLLEAU-CHATAIL</t>
  </si>
  <si>
    <t>214819</t>
  </si>
  <si>
    <t>FR7130002005710000033807U19</t>
  </si>
  <si>
    <t>ASCC, Subv Tennis, "TC d'Isle"</t>
  </si>
  <si>
    <t>ASCC, Subv Yoga, "Pause Harmonie Bien Etre"</t>
  </si>
  <si>
    <t>13134</t>
  </si>
  <si>
    <t>EL YAMANI</t>
  </si>
  <si>
    <t>DIKRA</t>
  </si>
  <si>
    <t>204520</t>
  </si>
  <si>
    <t>CA CENTRE-OUEST</t>
  </si>
  <si>
    <t>FR7619506000110007054009075</t>
  </si>
  <si>
    <t>ASCC, Subv Fitness, "100Pour100 Forme", fact FC12102015</t>
  </si>
  <si>
    <t>204124</t>
  </si>
  <si>
    <t>ASCC, Subv AeroGym, "LBL", fact 1516028</t>
  </si>
  <si>
    <t>ASCC, Subv Tennis, "TC Gradignan", fact 27/2016</t>
  </si>
  <si>
    <t>11833</t>
  </si>
  <si>
    <t>VAUTRIN</t>
  </si>
  <si>
    <t>ETIENNE</t>
  </si>
  <si>
    <t>202601</t>
  </si>
  <si>
    <t>BP VAL DE FRANCE</t>
  </si>
  <si>
    <t>FR7618707000980981850533232</t>
  </si>
  <si>
    <t>ASCC, Subv Fitness, "Amazonia"</t>
  </si>
  <si>
    <t>200316</t>
  </si>
  <si>
    <t>FR7642559000034101200827257</t>
  </si>
  <si>
    <t>ASCC, Subv Fitness, "CapTonic"</t>
  </si>
  <si>
    <t>11086</t>
  </si>
  <si>
    <t>RIPITICCI-DENEU</t>
  </si>
  <si>
    <t>DG</t>
  </si>
  <si>
    <t>229723</t>
  </si>
  <si>
    <t>CA CENTRE-EST</t>
  </si>
  <si>
    <t>FR7617806006190411172781905</t>
  </si>
  <si>
    <t>ASCC, Subv Fitness, "KeepCool"</t>
  </si>
  <si>
    <t>04401</t>
  </si>
  <si>
    <t>BARTHLEMY</t>
  </si>
  <si>
    <t>FR7642559000854101900657747</t>
  </si>
  <si>
    <t>ASCC, Subv Fitness, "Nice Elite Sport", fact 2015-10-41938569</t>
  </si>
  <si>
    <t>ASCC, Subv Gym, "Fédération Gym Suédoise", fact 239244</t>
  </si>
  <si>
    <t>12126</t>
  </si>
  <si>
    <t>COPPI</t>
  </si>
  <si>
    <t>201401</t>
  </si>
  <si>
    <t>FR7642559000144101702661830</t>
  </si>
  <si>
    <t>ASCC, Subv Yoga, "Ass Velay Yoga"</t>
  </si>
  <si>
    <t>ASCC, Subv Tennis, "SNET"</t>
  </si>
  <si>
    <t>0630765027</t>
  </si>
  <si>
    <t>ASCC, Subv Gym, "Ass, EPLAR", fact 014-2015/2016</t>
  </si>
  <si>
    <t>FR7642559000552101840670587</t>
  </si>
  <si>
    <t xml:space="preserve">ASCC, Subv AquaGym, "Piscine sports loisirs", fact CA01V0155977 </t>
  </si>
  <si>
    <t>ASCC, Subv Fitness, "CAP2S", fact FAC00000171</t>
  </si>
  <si>
    <t>04603</t>
  </si>
  <si>
    <t>BUNIOWSKI</t>
  </si>
  <si>
    <t>212124</t>
  </si>
  <si>
    <t>FR7642559000554101200793497</t>
  </si>
  <si>
    <t>ASCC, Subv Fitness, "Cap Multisport"</t>
  </si>
  <si>
    <t>ASCC, Subv Natation, "Neptuna 10 entrées", fact 1/254030</t>
  </si>
  <si>
    <t>ASCC, Subv Badminton, "SCB Gretz-Tournan"</t>
  </si>
  <si>
    <t>0618098398</t>
  </si>
  <si>
    <t>ASCC, Subv Muscu, "Les amis de la fonte"</t>
  </si>
  <si>
    <t>0680327561</t>
  </si>
  <si>
    <t>ASCC, Subv Pilates, "CCL"</t>
  </si>
  <si>
    <t>ASCC, Subv Natation, "Amicale Laique et Sebastien"</t>
  </si>
  <si>
    <t>ASCC, Subv Fitness, "Amazonia", Fact AMAZ19/16</t>
  </si>
  <si>
    <t>ANGUY</t>
  </si>
  <si>
    <t>BOUYE</t>
  </si>
  <si>
    <t>MOKHTARI</t>
  </si>
  <si>
    <t>Subvention ASCC 2014/2015 Forest hill</t>
  </si>
  <si>
    <t>ASCC, Subv Danse, "Ateliers Danse D'Asnière"</t>
  </si>
  <si>
    <t>ASCC, Subv Fitness, "Pilates and Pulse", fact 4</t>
  </si>
  <si>
    <t>ASCC, Subv Danse, "TRAC L'école", fact 26</t>
  </si>
  <si>
    <t xml:space="preserve"> emission de 40 virements SEPA pour un montant de 5084 €</t>
  </si>
  <si>
    <t>FR7642559000512101857570860</t>
  </si>
  <si>
    <t xml:space="preserve"> emission de 47 virements SEPA pour un montant de 6609 €</t>
  </si>
  <si>
    <t>Subvention ASCC  2015 2016 Forest hill</t>
  </si>
  <si>
    <t>FR7642559000092101837060646</t>
  </si>
  <si>
    <t>Subvention ASCC  2015 2016 Forest hill PROMO</t>
  </si>
  <si>
    <t>MARZOUKI</t>
  </si>
  <si>
    <t>HOUSSAM</t>
  </si>
  <si>
    <t>FR4220041010124832739T03317</t>
  </si>
  <si>
    <t>5112</t>
  </si>
  <si>
    <t>HALLAGUE</t>
  </si>
  <si>
    <t>5062</t>
  </si>
  <si>
    <t>14381</t>
  </si>
  <si>
    <t>09719</t>
  </si>
  <si>
    <t>CHIVOT</t>
  </si>
  <si>
    <t>202817</t>
  </si>
  <si>
    <t>FR1530002062540000004470M66</t>
  </si>
  <si>
    <t>ASCC, Subv AuquaGym, "H2O"</t>
  </si>
  <si>
    <t>ASCC, Subv Tennis, "AnimaNice"</t>
  </si>
  <si>
    <t>ASCC, Subv Fitness, "Amazonia", fact AMAZ14/1</t>
  </si>
  <si>
    <t>ASCC, Subv Gym, "Familles Rurales"</t>
  </si>
  <si>
    <t>ASCC, Subv Volley, "VCL Moirans"</t>
  </si>
  <si>
    <t>13926</t>
  </si>
  <si>
    <t>QUELIN</t>
  </si>
  <si>
    <t>MAUDE</t>
  </si>
  <si>
    <t>202527</t>
  </si>
  <si>
    <t>ORLÉANS</t>
  </si>
  <si>
    <t>ASCC, Subv Basket, "Orléans Loiret Basket"</t>
  </si>
  <si>
    <t>FR7614806000087005792863306</t>
  </si>
  <si>
    <t>13367</t>
  </si>
  <si>
    <t>BOUTELOUP</t>
  </si>
  <si>
    <t>MELISSA</t>
  </si>
  <si>
    <t>207522</t>
  </si>
  <si>
    <t>FR7642559000754101703478334</t>
  </si>
  <si>
    <t>ASCC, Subv Yoga, "Mauricette VALLEDOR"</t>
  </si>
  <si>
    <t>ASCC, Subv Basket, "US Beaumont Basket"</t>
  </si>
  <si>
    <t>0646193903</t>
  </si>
  <si>
    <t>FR7617807000325541952547223</t>
  </si>
  <si>
    <t>ASCC, Subv Fitness, "Fitness Park"</t>
  </si>
  <si>
    <t>01560</t>
  </si>
  <si>
    <t>DUSSAU</t>
  </si>
  <si>
    <t>204312</t>
  </si>
  <si>
    <t>FR7642559000432101852160805</t>
  </si>
  <si>
    <t>ASCC, Subv Natation, "Aqualons 10 entrées", 27102015</t>
  </si>
  <si>
    <t>ASCC, Subv Fitness, "Les Océades", fact 000129</t>
  </si>
  <si>
    <t>ASCC, Subv Tennis, "Amicale Manin Sport"</t>
  </si>
  <si>
    <t>ASCC, Subv Raquette, "Visa Form", fact 2253896</t>
  </si>
  <si>
    <t>ASCC, Subv Gym, "A.C.G", fact 4</t>
  </si>
  <si>
    <t>ASCC, Subv Fitness, "Elancia"</t>
  </si>
  <si>
    <t>13728</t>
  </si>
  <si>
    <t>CHAPUSOT</t>
  </si>
  <si>
    <t>AURORE</t>
  </si>
  <si>
    <t>0642231062</t>
  </si>
  <si>
    <t>CE IDF</t>
  </si>
  <si>
    <t>FR7617515900000408301130001</t>
  </si>
  <si>
    <t>ASCC, Subv Fitness, "Moving", fact 2015/10-03</t>
  </si>
  <si>
    <t>13648</t>
  </si>
  <si>
    <t>ROCCA</t>
  </si>
  <si>
    <t>0681012222</t>
  </si>
  <si>
    <t>CA NORD MIDI-PYRÉNÉES</t>
  </si>
  <si>
    <t>FR7611206000837000400887203</t>
  </si>
  <si>
    <t>AGRIFRPP812</t>
  </si>
  <si>
    <t>ASCC, Subv Danse, "Kadanse"</t>
  </si>
  <si>
    <t>ASCC, Subv Judo, "Espérance Ceyratoise Judo"</t>
  </si>
  <si>
    <t>200831</t>
  </si>
  <si>
    <t>ASCC, Subv Fitness, "Aqualigne le Pian", fact 000329</t>
  </si>
  <si>
    <t>ASCC, Subv Danse, "ASJ"</t>
  </si>
  <si>
    <t>ASCC, Subv Fitness, "Wellness Sport Club"</t>
  </si>
  <si>
    <t xml:space="preserve"> emission de 22 virements SEPA pour un montant de 2996 €</t>
  </si>
  <si>
    <t>SAVARIT</t>
  </si>
  <si>
    <t>ASCC, Subv Triathlon, "Stade Français"</t>
  </si>
  <si>
    <t>ASCC, Subv tennis, "ASCL Tennis"</t>
  </si>
  <si>
    <t>ASCC, Subv Fitness, "Les Océades Poitiers", fact 000128</t>
  </si>
  <si>
    <t>COSTES</t>
  </si>
  <si>
    <t>13599</t>
  </si>
  <si>
    <t>0675343247</t>
  </si>
  <si>
    <t>BP ACA</t>
  </si>
  <si>
    <t>FR7610907000302731903894078</t>
  </si>
  <si>
    <t>CCBPFRPPBDX</t>
  </si>
  <si>
    <t>ASCC, Subv Danse, "Studio Métissé", fact 2015-01407</t>
  </si>
  <si>
    <t>ASCC, Subv Danse, "Studio Métissé", fact 2015-01408</t>
  </si>
  <si>
    <t>202407</t>
  </si>
  <si>
    <t>ASCC, Subv Yoga, "AS St Germain les Arpajon"</t>
  </si>
  <si>
    <t>ASCC, Subv Gym, "Club Nautique de l'Arpajonais"</t>
  </si>
  <si>
    <t>FR7642559000464101607349441</t>
  </si>
  <si>
    <t>ASCC, Subv Badminton, "F.C.L"</t>
  </si>
  <si>
    <t>ASCC, Subv Pilates, "Pilaforme", fact 15</t>
  </si>
  <si>
    <t>FR7630004022340000045274759</t>
  </si>
  <si>
    <t>ASCC, Subv Gym, "G.V. Biviers-Montbonnot</t>
  </si>
  <si>
    <t>ELISE</t>
  </si>
  <si>
    <t>ASCC, Subv Fitness, "Carré de Soi"</t>
  </si>
  <si>
    <t>0611054104</t>
  </si>
  <si>
    <t>ASCC, Subv Tir, "Stand de Tir du Fort Benoit"</t>
  </si>
  <si>
    <t>ASCC, Subv Yoga, Yoga Club de Ouistreham", num 61</t>
  </si>
  <si>
    <t>13927</t>
  </si>
  <si>
    <t>GIRAUD</t>
  </si>
  <si>
    <t>0658779424</t>
  </si>
  <si>
    <t>FR7630438001004000313596521</t>
  </si>
  <si>
    <t>ASCC, Subv Badminton, "CB Morigny"</t>
  </si>
  <si>
    <t>ASCC, Subv Kung-Fu, "Dragon Briec", recu 1501</t>
  </si>
  <si>
    <t>11063</t>
  </si>
  <si>
    <t>CHALAH</t>
  </si>
  <si>
    <t>OUIZA</t>
  </si>
  <si>
    <t>202826</t>
  </si>
  <si>
    <t>FR7642559000284101407676957</t>
  </si>
  <si>
    <t>ASCC, Subv Fitness, "SARL Paradiform", fact 19</t>
  </si>
  <si>
    <t>ASCC, Subv Tennis, "TC Reyrieux"</t>
  </si>
  <si>
    <t>ASCC, Subv Danse, "22 Expression"</t>
  </si>
  <si>
    <t>ASCC, Subv Tennis, "TC Dourdan"</t>
  </si>
  <si>
    <t>13738</t>
  </si>
  <si>
    <t>THERON</t>
  </si>
  <si>
    <t>205415</t>
  </si>
  <si>
    <t>FR7642559000544101507984267</t>
  </si>
  <si>
    <t>ASCC, Subv Yoga, "Studio Yoga Vitha", fact 3</t>
  </si>
  <si>
    <t>6A078</t>
  </si>
  <si>
    <t>HEBRAS PIGNON</t>
  </si>
  <si>
    <t>AUD</t>
  </si>
  <si>
    <t xml:space="preserve"> emission de 39 virements SEPA pour un montant de 4787 €</t>
  </si>
  <si>
    <t>ASCC, Subv Tennis</t>
  </si>
  <si>
    <t>VAVVA</t>
  </si>
  <si>
    <t>ASCC, Subv Yoga, "Valérie Berger", fact 28</t>
  </si>
  <si>
    <t>ASCC, Subv Aikido, "Maison pour tous", fact 40</t>
  </si>
  <si>
    <t>ASCC, Subv Natation, "Combs Natation"</t>
  </si>
  <si>
    <t>200313</t>
  </si>
  <si>
    <t>ASCC, Subv Tennis, "TC Pantin"</t>
  </si>
  <si>
    <t>ASCC, Subv Fitness, "CDG Les Milles"</t>
  </si>
  <si>
    <t>ASCC, Subv Gym, "Salouel Gym et Harmonie"</t>
  </si>
  <si>
    <t>FR7642559000082101857710894</t>
  </si>
  <si>
    <t>ASCC, Subv Aviron, "AVM", cotisation 2015/2016</t>
  </si>
  <si>
    <t>ASCC, Subv Fitness, "Les Bains des Docks"</t>
  </si>
  <si>
    <t>12148</t>
  </si>
  <si>
    <t>CHEMALY</t>
  </si>
  <si>
    <t>MIRELLA</t>
  </si>
  <si>
    <t>0675448169</t>
  </si>
  <si>
    <t>FR7642559000074101307833232</t>
  </si>
  <si>
    <t>ASCC, Subv Fitness, "Plessisport", fact 36966</t>
  </si>
  <si>
    <t>ASCC, Subv Gym, "AG de Pont de Claye"</t>
  </si>
  <si>
    <t>ASCC, Subv Tennis, "TC Roost-Warendin"</t>
  </si>
  <si>
    <t>ASCC, Subv Gym, "MJC Persan"</t>
  </si>
  <si>
    <t>WACIM</t>
  </si>
  <si>
    <t>12789</t>
  </si>
  <si>
    <t>201119</t>
  </si>
  <si>
    <t>FR7642559000114101903811066</t>
  </si>
  <si>
    <t>ASCC, Subv Sport de Combat, "IKC"</t>
  </si>
  <si>
    <t>205529</t>
  </si>
  <si>
    <t>AGRIFRPP836</t>
  </si>
  <si>
    <t>FR7613606000144630670437043</t>
  </si>
  <si>
    <t>ASCC, Subv Basket, "Guichen BC"</t>
  </si>
  <si>
    <t>DAUGE</t>
  </si>
  <si>
    <t>ALLAN</t>
  </si>
  <si>
    <t>13938</t>
  </si>
  <si>
    <t>0669545714</t>
  </si>
  <si>
    <t>FR7611425009000412553347042</t>
  </si>
  <si>
    <t>ASCC, SubvFitness, "Noeness"</t>
  </si>
  <si>
    <t>ASCC, Subv Yoga, "ALS Elancourt"</t>
  </si>
  <si>
    <t>ASCC, Subv Danse, "ALAC"</t>
  </si>
  <si>
    <t>ASCC, Subv Yoga, "Centre de Yoga Iyengar de Paris"</t>
  </si>
  <si>
    <t>DEMIR</t>
  </si>
  <si>
    <t>OZEN</t>
  </si>
  <si>
    <t>12396</t>
  </si>
  <si>
    <t>216716</t>
  </si>
  <si>
    <t>BNPP</t>
  </si>
  <si>
    <t>FR7630004009650000046804278</t>
  </si>
  <si>
    <t>BPPAFRPPXXX</t>
  </si>
  <si>
    <t>ASCC, Subv Fitness, "KeepCool", Fact 501091</t>
  </si>
  <si>
    <t>ASCC, Subv Fitness, "Keepcool", fact 501092</t>
  </si>
  <si>
    <t>ASCC, Subv Natation, "Piscine de Courbevoie", 20 entrées</t>
  </si>
  <si>
    <t>ADAMCHUK</t>
  </si>
  <si>
    <t>12788</t>
  </si>
  <si>
    <t>0658118427</t>
  </si>
  <si>
    <t>BANQUE TARNEAUD</t>
  </si>
  <si>
    <t>FR7610558020812987490030029</t>
  </si>
  <si>
    <t>NORDFRPP</t>
  </si>
  <si>
    <t>204710</t>
  </si>
  <si>
    <t>ASCC, Subv Sophrologie, "ASS Souffle Cool"</t>
  </si>
  <si>
    <t>ASCC, Subv Natation, "Centre G Boissière", abt annuel</t>
  </si>
  <si>
    <t>201313</t>
  </si>
  <si>
    <t>FR7642559000134101007364293</t>
  </si>
  <si>
    <t>ASCC, Subv Tennis, "TC Bourg-lès-Valence"</t>
  </si>
  <si>
    <t>LA PIETRA (BOIS)</t>
  </si>
  <si>
    <t>0625347355</t>
  </si>
  <si>
    <t>ASCC, Subv Fitness, "ClubMoving"</t>
  </si>
  <si>
    <t>ASCC, Subv BasketBall, "HAC Basket"</t>
  </si>
  <si>
    <t>ASCC, Subv Musculation, "HAC Musculation"</t>
  </si>
  <si>
    <t>ASCC, Subv Aquagym, "Aqua Gym's Club", fact 000546</t>
  </si>
  <si>
    <t>ASCC, Subv Football, "USC La Chapelle St-Mesmin"</t>
  </si>
  <si>
    <t>ASCC, Subv Badminton, "Clto Badminton"</t>
  </si>
  <si>
    <t>ASCC, Subv Aquagym, "Cépet Loisir", fact 15038</t>
  </si>
  <si>
    <t>ASCC, Subv Yoga, "YTDA"</t>
  </si>
  <si>
    <t>13139</t>
  </si>
  <si>
    <t>POUILLY</t>
  </si>
  <si>
    <t>CHARLOTTE</t>
  </si>
  <si>
    <t>200327</t>
  </si>
  <si>
    <t>FR7642559000034101508227532</t>
  </si>
  <si>
    <t>ASCC, Subv Aquagym, "Piscine de la plaine d'Estrées"</t>
  </si>
  <si>
    <t>01029</t>
  </si>
  <si>
    <t>209525</t>
  </si>
  <si>
    <t>CHAMALIÈRES</t>
  </si>
  <si>
    <t>FR7642559000952101855380813</t>
  </si>
  <si>
    <t>ASCC, Subv Tir, "Club de tir Castelpontin"</t>
  </si>
  <si>
    <t>ASCC, Subv Danse, "J. Danse", fact 2015/11/034</t>
  </si>
  <si>
    <t>ASCC, Subv Tai Chi Chuan, "TCC Style Yang Corrèze"</t>
  </si>
  <si>
    <t>04377</t>
  </si>
  <si>
    <t>CAMBON</t>
  </si>
  <si>
    <t>212612</t>
  </si>
  <si>
    <t>FR7642559000344101900695566</t>
  </si>
  <si>
    <t>ASCC, Subv Natation, "MAT"</t>
  </si>
  <si>
    <t>ASCC, Subv Lai-Muoi, "Lai-Muoi Grenoble"</t>
  </si>
  <si>
    <t>ASCC, Subv Natation, "Piscine du Wacken", Abt annuel</t>
  </si>
  <si>
    <t>ASCC, Subv Cyclisme, "MTB Riders"</t>
  </si>
  <si>
    <t>ASCC, Subv Fitness, "Fitness Park", fact TLS00171</t>
  </si>
  <si>
    <t>ASCC, Subv Football, "UrbanSoccer"</t>
  </si>
  <si>
    <t>ASCC, Subv Fitness, "Le Nautil"</t>
  </si>
  <si>
    <t>ASCC, Subv Natation, "PPP", 10 entrées</t>
  </si>
  <si>
    <t>07487</t>
  </si>
  <si>
    <t>PIOTR</t>
  </si>
  <si>
    <t>NELLY</t>
  </si>
  <si>
    <t>211915</t>
  </si>
  <si>
    <t>CE RHONE ALPES</t>
  </si>
  <si>
    <t>FR7613825002000476565102254</t>
  </si>
  <si>
    <t>ASCC, Subv Escalade, "M'Roclimbing", fact 2016-09</t>
  </si>
  <si>
    <t>ASCC, Subv Fitness, "Chevreul Sport &amp; Fitness"</t>
  </si>
  <si>
    <t>ASCC, Subv Qigong, "Patronage laique de Lorient"</t>
  </si>
  <si>
    <t>ASCC, Subv Zumba, "ASCA"</t>
  </si>
  <si>
    <t>ASCC, Subv FootBall, "FC Ste Foy Lés Lyon"</t>
  </si>
  <si>
    <t>ASCC, Subv Qigong, "Patronage Laique de Lorient"</t>
  </si>
  <si>
    <t>10208</t>
  </si>
  <si>
    <t>LECOQ</t>
  </si>
  <si>
    <t>219718</t>
  </si>
  <si>
    <t>FR7630258000008000108260961</t>
  </si>
  <si>
    <t>ASCC, Subv Ski, "Club Alpin Français"</t>
  </si>
  <si>
    <t>09642</t>
  </si>
  <si>
    <t>GIRAULT</t>
  </si>
  <si>
    <t>DOROTHEE</t>
  </si>
  <si>
    <t>205115</t>
  </si>
  <si>
    <t>FR7642559000514101701391739</t>
  </si>
  <si>
    <t>ASCC, Subv Gym, "Gym DonBosco"</t>
  </si>
  <si>
    <t>FR0820041010170811434B02878</t>
  </si>
  <si>
    <t>PSSTFRPPGRE</t>
  </si>
  <si>
    <t>ASCC, Subv Yoga, "Yogaventure", fact F5281</t>
  </si>
  <si>
    <t>13943</t>
  </si>
  <si>
    <t>LESCIEUX</t>
  </si>
  <si>
    <t>216131</t>
  </si>
  <si>
    <t>FR7616706050365392776733036</t>
  </si>
  <si>
    <t>ASCC, Subv Rugby, "XV Bailleulois"</t>
  </si>
  <si>
    <t>ASCC, Subv Chasse, "Chasseurs du Nord"</t>
  </si>
  <si>
    <t>ASCC, Subv Natation, "20Séances"</t>
  </si>
  <si>
    <t>ASCC, Subv Badminton, "AB Amanlis"</t>
  </si>
  <si>
    <t>ASCC, Subv Tennis, "TC Olympique Paceen"</t>
  </si>
  <si>
    <t>ASCC, Subv Natation, "Club des Nageurs de Paris"</t>
  </si>
  <si>
    <t>ASCC, Subv Tennis de Table, "EP Templemars-Vendeville", fact 47</t>
  </si>
  <si>
    <t>FR7642559000084101107271167</t>
  </si>
  <si>
    <t>ASCC, Subv Fitness, "L'Orange Bleue", fact 358</t>
  </si>
  <si>
    <t>13955</t>
  </si>
  <si>
    <t>214926</t>
  </si>
  <si>
    <t>FR7642559000434101101045473</t>
  </si>
  <si>
    <t>ASCC, Subv Danse, "CE UES Amont Pau"</t>
  </si>
  <si>
    <t>ASCC, Subv Danse, "Jean Denis Lakane"</t>
  </si>
  <si>
    <t>ASCC, Subv Fitness, "Amazonia", fact AMAZ19/13</t>
  </si>
  <si>
    <t>05730</t>
  </si>
  <si>
    <t>CAILLION-PIEL</t>
  </si>
  <si>
    <t>0609875666</t>
  </si>
  <si>
    <t>FR7642559000634101401116516</t>
  </si>
  <si>
    <t>ASCC, Subv Tennis de table, Doullennais T2T</t>
  </si>
  <si>
    <t>13859</t>
  </si>
  <si>
    <t>PRUNIER-VOGEL</t>
  </si>
  <si>
    <t>ARIANE</t>
  </si>
  <si>
    <t>0614590721</t>
  </si>
  <si>
    <t>SOCIÉTÉ MARSEILLAISE DE CRÉDIT</t>
  </si>
  <si>
    <t>FR7630077048971230870030071</t>
  </si>
  <si>
    <t>SMCTFR2A</t>
  </si>
  <si>
    <t>ASCC, Subv Fitness, "Garden Gym", fact zta-100071</t>
  </si>
  <si>
    <t>ASCC, Subv Danse, "Espace Energy Dance"</t>
  </si>
  <si>
    <t>ASCC, Subv Fitness, "L'Appart Fitness Cleermont", fact 000187</t>
  </si>
  <si>
    <t>ASCC, Subv Zumba, "Plessisport", fact 41618</t>
  </si>
  <si>
    <t xml:space="preserve"> emission de 65 virements SEPA pour un montant de 7577 €</t>
  </si>
  <si>
    <t>HERVÉ</t>
  </si>
  <si>
    <t>05202</t>
  </si>
  <si>
    <t>228337</t>
  </si>
  <si>
    <t>228158</t>
  </si>
  <si>
    <t>MANGIN</t>
  </si>
  <si>
    <t>ARTHUR</t>
  </si>
  <si>
    <t>14024</t>
  </si>
  <si>
    <t>FR7610107002290052302976583</t>
  </si>
  <si>
    <t>BREDFRPP</t>
  </si>
  <si>
    <t>FR7642559000024101507590160</t>
  </si>
  <si>
    <t>RABUSSIER</t>
  </si>
  <si>
    <t>GODIN</t>
  </si>
  <si>
    <t>DUCASSOU</t>
  </si>
  <si>
    <t>DERMAUT</t>
  </si>
  <si>
    <t>AGNES</t>
  </si>
  <si>
    <t>LE-FAUCHEUR</t>
  </si>
  <si>
    <t>COUDERCHER</t>
  </si>
  <si>
    <t>JOLIVET</t>
  </si>
  <si>
    <t>ELISABET</t>
  </si>
  <si>
    <t>MATTIAS</t>
  </si>
  <si>
    <t>VIAUD</t>
  </si>
  <si>
    <t>SADDI</t>
  </si>
  <si>
    <t>NEYSAR</t>
  </si>
  <si>
    <t xml:space="preserve"> Nanterre le 22/01/2016</t>
  </si>
  <si>
    <t>SUBVENTION ASCC FOREST HILL</t>
  </si>
  <si>
    <t>Nous vous prions de trouver ci-joint un relevé détaillé des participations de l'ASCC à vos activités sportives dont le montant total est de 250€</t>
  </si>
  <si>
    <t>pour la saison 2015/2016 vous n'avez donc plus de participation ASCC possible</t>
  </si>
  <si>
    <t>ADJAR-MARFAK</t>
  </si>
  <si>
    <t>HADDA</t>
  </si>
  <si>
    <t>11450</t>
  </si>
  <si>
    <t>FR7642559000094101703598149</t>
  </si>
  <si>
    <t>13855</t>
  </si>
  <si>
    <t>CCM PARIS CHAUSSEE D ANTIN,</t>
  </si>
  <si>
    <t>FR7610278060680002007950180</t>
  </si>
  <si>
    <t xml:space="preserve"> emission de 6 virements SEPA pour un montant de 1380 €</t>
  </si>
  <si>
    <t xml:space="preserve"> emission de 1 virements SEPA pour un montant de 250 €</t>
  </si>
  <si>
    <t>14003</t>
  </si>
  <si>
    <t>76</t>
  </si>
  <si>
    <t>PACH</t>
  </si>
  <si>
    <t>DARARITH</t>
  </si>
  <si>
    <t>N'GUESSAN</t>
  </si>
  <si>
    <t>KOFFI</t>
  </si>
  <si>
    <t>VAN PRAAG</t>
  </si>
  <si>
    <t>BILLET</t>
  </si>
  <si>
    <t>JODAR</t>
  </si>
  <si>
    <t>CLA</t>
  </si>
  <si>
    <t>6E</t>
  </si>
  <si>
    <t>BARBE LORHO</t>
  </si>
  <si>
    <t>MAYAUD</t>
  </si>
  <si>
    <t>GUERBAA</t>
  </si>
  <si>
    <t>RIZKI</t>
  </si>
  <si>
    <t>CARDON</t>
  </si>
  <si>
    <t>WALZACK</t>
  </si>
  <si>
    <t>BATHILY</t>
  </si>
  <si>
    <t>MEDHI</t>
  </si>
  <si>
    <t>LANCEAU</t>
  </si>
  <si>
    <t>ABDELLATIF</t>
  </si>
  <si>
    <t>RIHAB</t>
  </si>
  <si>
    <t>MECHOUK</t>
  </si>
  <si>
    <t>DYHIA</t>
  </si>
  <si>
    <t>BARBE</t>
  </si>
  <si>
    <t>ASCC, Subv Gym, "ES Bruges Gym Sportive"</t>
  </si>
  <si>
    <t>12807</t>
  </si>
  <si>
    <t>LE BRUCHEC</t>
  </si>
  <si>
    <t>0675919452</t>
  </si>
  <si>
    <t>FR7642559000554101207557889</t>
  </si>
  <si>
    <t>ASCC, Subv Gym, "Ass Bodenmor"</t>
  </si>
  <si>
    <t>ASCC, Subv Yoga "MJC Persan"</t>
  </si>
  <si>
    <t>ASCC, Subv Gym, "OpenGym"</t>
  </si>
  <si>
    <t>ASCC, Subv Tennis, "Cours Tennis 4T2015"</t>
  </si>
  <si>
    <t>ASCC, Subv Natation, "Neptuna 10 entrées", fact 1/263642</t>
  </si>
  <si>
    <t>ASCC, Subv Gym, "Gym Danse Mont St-Aignan"</t>
  </si>
  <si>
    <t>ASCC, Subv Natation, "Piscine Transat", abo 20h</t>
  </si>
  <si>
    <t>09624</t>
  </si>
  <si>
    <t>GUERIN</t>
  </si>
  <si>
    <t>205118</t>
  </si>
  <si>
    <t>ASCC, Subv Natation, "ENN"</t>
  </si>
  <si>
    <t>FR7642559000514101501251348</t>
  </si>
  <si>
    <t>07939</t>
  </si>
  <si>
    <t>BIANCO</t>
  </si>
  <si>
    <t>MANUEL</t>
  </si>
  <si>
    <t>0696396549</t>
  </si>
  <si>
    <t>FR7610278080050002060070168</t>
  </si>
  <si>
    <t>ASCC, Subv Equitation, "Ecurie MM", Fact 2016-12</t>
  </si>
  <si>
    <t>ASCC, Subv Fitness, "EnergieForme"</t>
  </si>
  <si>
    <t>EDWIGE</t>
  </si>
  <si>
    <t>ASCC, Subv Fitness, "Cabinet de Kiné", 30 séances</t>
  </si>
  <si>
    <t>ASCC, Subv Badminton, "Lyon PESD", fact BAD011</t>
  </si>
  <si>
    <t>ASCC, Subv Moto, "FFm", Licence 2015/2016</t>
  </si>
  <si>
    <t>ASCC, Subv Moto,"MC Nord Seine et Marnais", adh</t>
  </si>
  <si>
    <t>ASCC, Subv Fitness, 'RUN'UP", fact B5229</t>
  </si>
  <si>
    <t>0673078562</t>
  </si>
  <si>
    <t>ASCC, Subv Fitness, "Atlanthal", fact 100084181</t>
  </si>
  <si>
    <t>ASCC, Subv Aquabike", AquaCoaching", Fact 01</t>
  </si>
  <si>
    <t>11045</t>
  </si>
  <si>
    <t>BACHELET</t>
  </si>
  <si>
    <t>207110</t>
  </si>
  <si>
    <t>FR8420041010140794323Y03533</t>
  </si>
  <si>
    <t>PSSTFRPPROU</t>
  </si>
  <si>
    <t>ASCC, Subv Fitness, "Andelle Remise en Forme"</t>
  </si>
  <si>
    <t>0623393799</t>
  </si>
  <si>
    <t>ASCC, Subv Muay Thai, "Grenoble Muay Thai"</t>
  </si>
  <si>
    <t>ASCC, Subv Peche, "Carte AAPPMA"</t>
  </si>
  <si>
    <t>ASCC, Subv Rugby, "RC Aurence Limoges"</t>
  </si>
  <si>
    <t xml:space="preserve"> emission de 28 virements SEPA pour un montant de 4007 €</t>
  </si>
  <si>
    <t>ALVES-MORTAGUA</t>
  </si>
  <si>
    <t>HABCHI</t>
  </si>
  <si>
    <t>MERIGOUT</t>
  </si>
  <si>
    <t>Subvention ASCC foresthill 2015 2016</t>
  </si>
  <si>
    <t>BELQADYA</t>
  </si>
  <si>
    <t>DOUNIA</t>
  </si>
  <si>
    <t xml:space="preserve"> emission de 4 virements SEPA pour un montant de 1060 €</t>
  </si>
  <si>
    <t>VIAL</t>
  </si>
  <si>
    <t>ASCC, Subv Fitness, "Association FORM'DETENTE"</t>
  </si>
  <si>
    <t>ASCC, Subv Fitness, "Amazonia", fact 3</t>
  </si>
  <si>
    <t>ASCC, Subv Badminton, "BC Templemars"</t>
  </si>
  <si>
    <t>ASCC, Subv Fitness, "Ikébana", fact 29</t>
  </si>
  <si>
    <t>ASCC, Subv Jogging, "US Bouscataise"</t>
  </si>
  <si>
    <t>ROOS</t>
  </si>
  <si>
    <t>04060</t>
  </si>
  <si>
    <t>0628924902</t>
  </si>
  <si>
    <t>FR7642559000444101300435942</t>
  </si>
  <si>
    <t>ASCC, Subv Pelote, "Complexe des hauts de Ste-Croix"</t>
  </si>
  <si>
    <t>ASCC, Subv Fitness, "L'Orange Bleue", fact 9015</t>
  </si>
  <si>
    <t>FR7642559000092101838200590</t>
  </si>
  <si>
    <t>ASCC, Subv Fitness, "RUN'UP", fact M0614</t>
  </si>
  <si>
    <t>HELLOBANK</t>
  </si>
  <si>
    <t>FR7630004031020000037225483</t>
  </si>
  <si>
    <t>ASCC, Subv Fitness, "GOFitness"</t>
  </si>
  <si>
    <t xml:space="preserve">ASCC, Subv Golf, "Green 84", fact 4460 </t>
  </si>
  <si>
    <t>ASCC, Subv Fitness, "ANTREBLOC", fact 02998</t>
  </si>
  <si>
    <t>ASCC, Subv Tennis", AST Ceyreste", fact 15</t>
  </si>
  <si>
    <t>13754</t>
  </si>
  <si>
    <t>VASSEUR</t>
  </si>
  <si>
    <t>0623310324</t>
  </si>
  <si>
    <t>FR7614505000010415854125708</t>
  </si>
  <si>
    <t>CEPAFRPP450</t>
  </si>
  <si>
    <t>ASCC, Subv Fitness, "Neoness"</t>
  </si>
  <si>
    <t>ASCC, Subv Natation, "Amiens Métropole", fact CC04V0140645</t>
  </si>
  <si>
    <t>ASCC, Subv Natation, "Amiens Metropole", fact CC05V0197477</t>
  </si>
  <si>
    <t>207122</t>
  </si>
  <si>
    <t>ASCC, Subv Natation, "Centre Guy Boissiere", annuel</t>
  </si>
  <si>
    <t>14027</t>
  </si>
  <si>
    <t>SILLY</t>
  </si>
  <si>
    <t>202642</t>
  </si>
  <si>
    <t>FR7642559000264101308345010</t>
  </si>
  <si>
    <t>ASCC, Subv Tennis, "TC du Val d'Indre"</t>
  </si>
  <si>
    <t>ASCC, Subv Fitness, "EFP"</t>
  </si>
  <si>
    <t>13962</t>
  </si>
  <si>
    <t>BRIANO</t>
  </si>
  <si>
    <t>0622676260</t>
  </si>
  <si>
    <t>FR7613825002000469893624032</t>
  </si>
  <si>
    <t>ASCC, Subv Fitness, "Eurovital SARL", fact 18</t>
  </si>
  <si>
    <t>ASCC, Subv Fitness, "SARL Studio Fitness"</t>
  </si>
  <si>
    <t>ASCC, Subv Fitness, "B Fit B Happy"</t>
  </si>
  <si>
    <t>ASCC, Subv Fitness, "Oceades Bessines", fact 001148</t>
  </si>
  <si>
    <t>ASCC, Subv Tennis, "TC Maurin"</t>
  </si>
  <si>
    <t>0622387116</t>
  </si>
  <si>
    <t>4255</t>
  </si>
  <si>
    <t>9000</t>
  </si>
  <si>
    <t>CA SUD RHONE ALPES</t>
  </si>
  <si>
    <t>FR7613906000301507897300054</t>
  </si>
  <si>
    <t>ASCC, Subv TaiChiChuan, "UNTCC"</t>
  </si>
  <si>
    <t>ASCC, Subv Fitness, "Horizon Form"</t>
  </si>
  <si>
    <t>ASCC, Subv Rando et danse, "Asso. Des quartiers du Corniguel"</t>
  </si>
  <si>
    <t>ASCC, Subv Fitness, "Run'Up", fact L1669</t>
  </si>
  <si>
    <t>12057</t>
  </si>
  <si>
    <t>MASSELOT</t>
  </si>
  <si>
    <t>203424</t>
  </si>
  <si>
    <t>FR7642559000344101306780668</t>
  </si>
  <si>
    <t>ASCC, Subv Fitness, "Run'up", fact M0805</t>
  </si>
  <si>
    <t>BOENINGEN</t>
  </si>
  <si>
    <t>FR7642559000164101408421418</t>
  </si>
  <si>
    <t>ASCC, Subv Fitness, "Eurovital SARL", fact 19</t>
  </si>
  <si>
    <t>04973</t>
  </si>
  <si>
    <t>MERAD</t>
  </si>
  <si>
    <t>LAMIA</t>
  </si>
  <si>
    <t>FR7642559000054101600885976</t>
  </si>
  <si>
    <t>ASCC, Subv Fitness, "Magic Form", fact 106692</t>
  </si>
  <si>
    <t>ASCC, Subv Fitness, "Lady Moving", fact ANAX0152</t>
  </si>
  <si>
    <t>ASCC, Subv Jogging, "licence et courses"</t>
  </si>
  <si>
    <t>ASCC, Subv Gym, "ALB Billere"</t>
  </si>
  <si>
    <t>ASCC, Subv Natation, "Swimcenter Villeneuve d'Ascq", fact 971</t>
  </si>
  <si>
    <t>ASCC, Subv Fitness, "Forme Plus", fact 43</t>
  </si>
  <si>
    <t xml:space="preserve">NIORT </t>
  </si>
  <si>
    <t xml:space="preserve"> emission de 34 virements SEPA pour un montant de 4422 €</t>
  </si>
  <si>
    <t>GIBAUB-RIBARD</t>
  </si>
  <si>
    <t>GEENE</t>
  </si>
  <si>
    <t>VIGNES</t>
  </si>
  <si>
    <t>BURZYNSKI</t>
  </si>
  <si>
    <t>LISE</t>
  </si>
  <si>
    <t>ESTEVES</t>
  </si>
  <si>
    <t>MICAEL</t>
  </si>
  <si>
    <t>ASCC, Subv Aquagym, "Club Aquaforme"</t>
  </si>
  <si>
    <t>0643893403</t>
  </si>
  <si>
    <t>FR7642559000354101208119043</t>
  </si>
  <si>
    <t>ASCC, Subv Fitness, "L'Orange Bleue", fact 1374</t>
  </si>
  <si>
    <t>ASCC, Subv Fitness, "Moving Express"</t>
  </si>
  <si>
    <t>FR7610096180340004084960311</t>
  </si>
  <si>
    <t>ASCC, Subv Golf, "Licence FFGolf", fact 86168</t>
  </si>
  <si>
    <t>04483</t>
  </si>
  <si>
    <t>BAFFERT</t>
  </si>
  <si>
    <t>0611404028</t>
  </si>
  <si>
    <t>FR7642559000504101600743196</t>
  </si>
  <si>
    <t>ASCC, Subv Arts Martiaux, "Foulayronnes Arts Martiaux"</t>
  </si>
  <si>
    <t>ASCC, Subv Fitness, "Liberty Gym Toison d'Or", fact 100004800</t>
  </si>
  <si>
    <t>FR7642559000152101851510258</t>
  </si>
  <si>
    <t>ASCC, Subv Fitness, "Keep Cool", fact 20160002</t>
  </si>
  <si>
    <t>ASCC, Subv Danse, "Les bretons de Verneuil"</t>
  </si>
  <si>
    <t>ASCC, Subv Natation, "Aqualons 10 entrées", 160325</t>
  </si>
  <si>
    <t>0616802724</t>
  </si>
  <si>
    <t>ASCC, Subv Football, "Avenir Castries"</t>
  </si>
  <si>
    <t>ASCC, Subv Fitness, "Planet Form", fact 22022016090800</t>
  </si>
  <si>
    <t>14075</t>
  </si>
  <si>
    <t>TUFFIGOT</t>
  </si>
  <si>
    <t>0633181474</t>
  </si>
  <si>
    <t>FR7630003005470005000345915</t>
  </si>
  <si>
    <t>ASCC, Subv Triathlon, "Les 1000 Pattes"</t>
  </si>
  <si>
    <t>09590</t>
  </si>
  <si>
    <t>BAISSI</t>
  </si>
  <si>
    <t>NABILA</t>
  </si>
  <si>
    <t>0629797023</t>
  </si>
  <si>
    <t>FR7642559000244101306064473</t>
  </si>
  <si>
    <t>ASCC, Subv Gym, "ASCCm Gym Finess"</t>
  </si>
  <si>
    <t>ASCC, Subv Boxe, "Dialogue et culture"</t>
  </si>
  <si>
    <t>MERIGOUX</t>
  </si>
  <si>
    <t>ERWANN</t>
  </si>
  <si>
    <t xml:space="preserve"> emission de 16 virements SEPA pour un montant de 1873 €</t>
  </si>
  <si>
    <t>SEGOR</t>
  </si>
  <si>
    <t>AYACHE</t>
  </si>
  <si>
    <t>CANTAS</t>
  </si>
  <si>
    <t>DESFONTAINES</t>
  </si>
  <si>
    <t>ARBIOUENE-OUHAYOUN</t>
  </si>
  <si>
    <t>LLORENS</t>
  </si>
  <si>
    <t>MARIE-FLORINE</t>
  </si>
  <si>
    <t>ASCC, Subv Aquagym, "Aquarena"</t>
  </si>
  <si>
    <t>ASCC, Subv Yoga, "S.E.Z.A.M"</t>
  </si>
  <si>
    <t>BOREL</t>
  </si>
  <si>
    <t>05521</t>
  </si>
  <si>
    <t>0612903120</t>
  </si>
  <si>
    <t>FR7642559000124101507641226</t>
  </si>
  <si>
    <t>ASCC, Subv Fitness, "Jose Sanchez, Forme&amp;Vitalité"</t>
  </si>
  <si>
    <t>ASCC, Subv Badminton, "BC de Meylan"</t>
  </si>
  <si>
    <t>GUIU</t>
  </si>
  <si>
    <t>54858</t>
  </si>
  <si>
    <t>06661269721</t>
  </si>
  <si>
    <t>BP DU SUD</t>
  </si>
  <si>
    <t>FR7616607000400401834042948</t>
  </si>
  <si>
    <t>CCBPFRPPPPG</t>
  </si>
  <si>
    <t>ASCC, Subv Fitness, "Lady Moving"</t>
  </si>
  <si>
    <t>ASCC, Subv Danse, "TRAC L'école", fact 114</t>
  </si>
  <si>
    <t>ASCC, Subv Fitness, "Waff Studio", fact 2015-65</t>
  </si>
  <si>
    <t>11464</t>
  </si>
  <si>
    <t>BERRANGER</t>
  </si>
  <si>
    <t>0613364478</t>
  </si>
  <si>
    <t>FR7642559000764101406616609</t>
  </si>
  <si>
    <t>ASCC, Subv Fitness, "Acccrosport"</t>
  </si>
  <si>
    <t>ASCC, Subv Fitness, "Surf Club Rétais"</t>
  </si>
  <si>
    <t>ASCC, Subv Athlétisme, "Licence ASPTT Besancon"</t>
  </si>
  <si>
    <t>ASCC, Subv Aquqgym, "C'Tonique", fact 000562</t>
  </si>
  <si>
    <t>ARNOULT</t>
  </si>
  <si>
    <t>11917</t>
  </si>
  <si>
    <t>0646755535</t>
  </si>
  <si>
    <t>FR7640618802780004021179408</t>
  </si>
  <si>
    <t>ASCC, SUBV Fitness, "Liberty Gym Merignac", fact 50</t>
  </si>
  <si>
    <t>ASCC, Subv Tennis, "US Ramonville Tennis"</t>
  </si>
  <si>
    <t>05527</t>
  </si>
  <si>
    <t>FOURNY</t>
  </si>
  <si>
    <t>201217</t>
  </si>
  <si>
    <t>ASCC, Subv Danse, "KLAC Dance"</t>
  </si>
  <si>
    <t>FR7642559000124101406087464</t>
  </si>
  <si>
    <t>ASCC, Subv Natation, "Piscine Cotonne", fact 374</t>
  </si>
  <si>
    <t>ASCC, Subv Jogging, "Marathon de Londres"</t>
  </si>
  <si>
    <t>ASCC, Subv Fitness, "AS Forme et Bien Etre"</t>
  </si>
  <si>
    <t>0681613018</t>
  </si>
  <si>
    <t>67</t>
  </si>
  <si>
    <t>ASCC, Subv Tennis, "Cormontreuil TC"</t>
  </si>
  <si>
    <t>ASCC, Subv Fitness, "l'Orange Bleue", fact 49</t>
  </si>
  <si>
    <t>PERRON D'ARC</t>
  </si>
  <si>
    <t>GOSSELIN</t>
  </si>
  <si>
    <t>SANDRYNE</t>
  </si>
  <si>
    <t>GRENOBLE GAMBETTA</t>
  </si>
  <si>
    <t>BORDEAUX MERIGNAC</t>
  </si>
  <si>
    <t xml:space="preserve">POITIERS </t>
  </si>
  <si>
    <t xml:space="preserve">LE HAVRE </t>
  </si>
  <si>
    <t xml:space="preserve">LA ROCHELLE </t>
  </si>
  <si>
    <t xml:space="preserve">QUIMPER </t>
  </si>
  <si>
    <t xml:space="preserve">ST ETIENNE </t>
  </si>
  <si>
    <t>LYON LYAUTEY</t>
  </si>
  <si>
    <t>ESI 8162</t>
  </si>
  <si>
    <t xml:space="preserve">BESANCON </t>
  </si>
  <si>
    <t>LILLE EUROPE</t>
  </si>
  <si>
    <t xml:space="preserve">REIMS </t>
  </si>
  <si>
    <t xml:space="preserve">CARCASSONNE  </t>
  </si>
  <si>
    <t xml:space="preserve"> EN DATE DU 24/06/2016   13:43:16</t>
  </si>
  <si>
    <t>FR04 3000 2026 4400 0011 6707 R29</t>
  </si>
  <si>
    <t>FR76 4061 8802 7800 0402 1179 408</t>
  </si>
  <si>
    <t>FR76 4255 9000 4221 0185 1810 553</t>
  </si>
  <si>
    <t>FR76 4255 9000 7641 0140 6616 609</t>
  </si>
  <si>
    <t>FR76 4255 9000 4441 0150 6440 662</t>
  </si>
  <si>
    <t>FR76 4255 9000 4641 0130 6759 148</t>
  </si>
  <si>
    <t>FR76 4255 9000 1241 0150 7641 226</t>
  </si>
  <si>
    <t>FR76 4255 9000 6441 0170 2753 133</t>
  </si>
  <si>
    <t>FR76 4255 9000 7041 0120 7308 083</t>
  </si>
  <si>
    <t>FR76 4255 9000 5641 0100 0929 929</t>
  </si>
  <si>
    <t>FR76 1390 7000 0081 1949 1319 466</t>
  </si>
  <si>
    <t>FR76 4255 9000 1241 0140 6087 464</t>
  </si>
  <si>
    <t>FR76 3000 3040 6700 0511 4297 506</t>
  </si>
  <si>
    <t>FR76 1390 6000 4327 4029 3200 040</t>
  </si>
  <si>
    <t>FR76 1660 7000 4004 0183 4042 948</t>
  </si>
  <si>
    <t>FR76 4255 9000 2141 0160 1071 103</t>
  </si>
  <si>
    <t>FR76 4255 9000 8341 0120 0754 471</t>
  </si>
  <si>
    <t>FR76 4255 9000 2541 0190 1198 452</t>
  </si>
  <si>
    <t>FR76 4255 9000 8221 0185 8770 867</t>
  </si>
  <si>
    <t>FR76 4255 9000 2141 0110 1042 214</t>
  </si>
  <si>
    <t>FR76 4255 9000 4641 0120 0066 326</t>
  </si>
  <si>
    <t xml:space="preserve"> EN DATE DU 24/06/2016   13:43:30</t>
  </si>
  <si>
    <t xml:space="preserve"> emission de 21 virements SEPA pour un montant de 2803 €</t>
  </si>
  <si>
    <t>Subvention Forest hill</t>
  </si>
  <si>
    <t>BERETTA</t>
  </si>
  <si>
    <t>12121</t>
  </si>
  <si>
    <t>FR7618706000000002441412086</t>
  </si>
  <si>
    <t>AGRIFRPP887</t>
  </si>
  <si>
    <t>ASCC, Subv Fitness, "CAP TONIC", 2016-2017</t>
  </si>
  <si>
    <t xml:space="preserve">160 €        sur un total de </t>
  </si>
  <si>
    <t>ASCC, subv Tennis, "TC Pontonx"</t>
  </si>
  <si>
    <t>ASCC, Subv Golf, "GolfCompact Louvigny", fact F16-040</t>
  </si>
  <si>
    <t>12499</t>
  </si>
  <si>
    <t>FR4330002089900000007171E19</t>
  </si>
  <si>
    <t>ASCC, Subv Tennis, "AS Mantaise"</t>
  </si>
  <si>
    <t>0180</t>
  </si>
  <si>
    <t>FR7610057192530002006210180</t>
  </si>
  <si>
    <t>ASCC, Subv Fitness, "Run'UP"</t>
  </si>
  <si>
    <t>ASCC, Subv Natation, "Aqualons 10 entrées", 449999</t>
  </si>
  <si>
    <t>ASCC, Subv Fitness, "New Gym", fact 21</t>
  </si>
  <si>
    <t>13006</t>
  </si>
  <si>
    <t>ARBIYA</t>
  </si>
  <si>
    <t>229761</t>
  </si>
  <si>
    <t>FR7630003042630005015146404</t>
  </si>
  <si>
    <t>ASCC, Subv Fitness, "Le Cube"</t>
  </si>
  <si>
    <t>FR76  4255  9000  1141  0180  2410  467          CODE BIC :       CCOPFRPPXXX</t>
  </si>
  <si>
    <t>00011</t>
  </si>
  <si>
    <t>41018024104</t>
  </si>
  <si>
    <t>1141</t>
  </si>
  <si>
    <t>2410</t>
  </si>
  <si>
    <t>467</t>
  </si>
  <si>
    <t>Crédit Coopératif</t>
  </si>
  <si>
    <t>42559  00011  41018024104  67                        DETENU PAR : CRÉDIT COOPÉRATIF</t>
  </si>
  <si>
    <t>ASCC, Subv Fitness, "Fitness Park", fact 487</t>
  </si>
  <si>
    <t>Adhérent non concerné par la subvention Réseau</t>
  </si>
  <si>
    <t>IMMER</t>
  </si>
  <si>
    <t>TOUCHARD</t>
  </si>
  <si>
    <t>LEROUVILLOIS</t>
  </si>
  <si>
    <t>OHAYON</t>
  </si>
  <si>
    <t>RACHELE</t>
  </si>
  <si>
    <t>BILLARD</t>
  </si>
  <si>
    <t>GISELE-MARIS</t>
  </si>
  <si>
    <t>DJIENE-DEGOUE</t>
  </si>
  <si>
    <t>ALIX LAURENCE</t>
  </si>
  <si>
    <t>ALVES-MORTAGUA SYLVIE</t>
  </si>
  <si>
    <t>AMEIL DOMINIQUE</t>
  </si>
  <si>
    <t>ANGUY OLIVIER</t>
  </si>
  <si>
    <t>ARBIOUENE-OUHAYOUN CELINE</t>
  </si>
  <si>
    <t>AUDEBOURG NATACHA</t>
  </si>
  <si>
    <t>AYACHE DEBORAH</t>
  </si>
  <si>
    <t>BARNOLA MARIE ANDREE</t>
  </si>
  <si>
    <t>BARTOLO LAURENT</t>
  </si>
  <si>
    <t>BELQADYA DOUNIA</t>
  </si>
  <si>
    <t>BEN MAMAR AMAR</t>
  </si>
  <si>
    <t>BEN MAMAR VIVIANE</t>
  </si>
  <si>
    <t>BENHAMOUCHE NAIMA</t>
  </si>
  <si>
    <t>BERTHOD PASCALE</t>
  </si>
  <si>
    <t>BILLARD CELINE</t>
  </si>
  <si>
    <t>BOULONGNE KATHLEEN</t>
  </si>
  <si>
    <t>BOUVIER NICOLAS</t>
  </si>
  <si>
    <t>BOUYE NATHALIE</t>
  </si>
  <si>
    <t>BURZYNSKI LISE</t>
  </si>
  <si>
    <t>CANONNE ALEXANDRE</t>
  </si>
  <si>
    <t>CONSOL CHANCELLE</t>
  </si>
  <si>
    <t>COSTA JOSE</t>
  </si>
  <si>
    <t>COUDERCHER LAURENT</t>
  </si>
  <si>
    <t>DEFRENE ADRIEN</t>
  </si>
  <si>
    <t>DELFERIER CHRISTOPHE</t>
  </si>
  <si>
    <t>DEL-GALLO PETER</t>
  </si>
  <si>
    <t>DJIENE-DEGOUE GISELE-MARIS</t>
  </si>
  <si>
    <t>DUBO JIMMY</t>
  </si>
  <si>
    <t>FICHOUX JEAN-LUC</t>
  </si>
  <si>
    <t>FIORENTINO CELINE</t>
  </si>
  <si>
    <t>FRANCOIS CHRISTELLE</t>
  </si>
  <si>
    <t>GIBAUB-RIBARD GEENE</t>
  </si>
  <si>
    <t>GONCALVES CHRYSTELLE</t>
  </si>
  <si>
    <t>GOSSELIN SANDRYNE</t>
  </si>
  <si>
    <t>GRAU JULIEN</t>
  </si>
  <si>
    <t>HABCHI MARIANNE</t>
  </si>
  <si>
    <t>HUBLIN SEBASTIEN</t>
  </si>
  <si>
    <t>HUMBERT AUDREY</t>
  </si>
  <si>
    <t>IMMER NICOLAS</t>
  </si>
  <si>
    <t>JAMBUT LOLITA</t>
  </si>
  <si>
    <t>JOHN BAPTISTE NATHALIE</t>
  </si>
  <si>
    <t>LAFAY HELENE</t>
  </si>
  <si>
    <t>LAFAYE HELENE</t>
  </si>
  <si>
    <t>LAFAYETTE LUIS</t>
  </si>
  <si>
    <t>LAROCHELLE NATHALIE</t>
  </si>
  <si>
    <t>LASSAYS FREDERIC</t>
  </si>
  <si>
    <t>LE CLOAREC LAURENT</t>
  </si>
  <si>
    <t>LE-FAUCHEUR KARINE</t>
  </si>
  <si>
    <t>LLORENS NICOLAS</t>
  </si>
  <si>
    <t>LUIS MARIE</t>
  </si>
  <si>
    <t>MACIEN NATHALIE</t>
  </si>
  <si>
    <t>MAITRE LAURENT</t>
  </si>
  <si>
    <t>MALKA JULIE</t>
  </si>
  <si>
    <t>MARIE-FLORINE JENNIFER</t>
  </si>
  <si>
    <t>MATTIAS NATHALIE</t>
  </si>
  <si>
    <t>MERCADAL WENDLING JENNIFER</t>
  </si>
  <si>
    <t>MERCIER BRUNO</t>
  </si>
  <si>
    <t>MERIGOUT ERWAN</t>
  </si>
  <si>
    <t>MERIKHI LYNDA</t>
  </si>
  <si>
    <t>MOKHTARI SAMIR</t>
  </si>
  <si>
    <t>MORAILLON MARIANNE</t>
  </si>
  <si>
    <t>NGUYEN HUGO</t>
  </si>
  <si>
    <t>NGUYEN HUU HIEU</t>
  </si>
  <si>
    <t>PADONOU ORENS</t>
  </si>
  <si>
    <t>PASQUIER CHRISTELLE</t>
  </si>
  <si>
    <t>PEDRAZZINI PHILIPPE</t>
  </si>
  <si>
    <t>PELOSO JEAN-LUC</t>
  </si>
  <si>
    <t>PERRON D'ARC CELINE</t>
  </si>
  <si>
    <t>PREVOST JULIEN</t>
  </si>
  <si>
    <t>RAPINAT LUDOVIC</t>
  </si>
  <si>
    <t>REGURON FLORENCE</t>
  </si>
  <si>
    <t>SACCARDO GUIDO</t>
  </si>
  <si>
    <t>SADDI NEYSAR</t>
  </si>
  <si>
    <t>SAVARIT EMMANUEL</t>
  </si>
  <si>
    <t>SEGOR VANESSA</t>
  </si>
  <si>
    <t>SERA SYLVIE</t>
  </si>
  <si>
    <t>SERRERO NORBERT</t>
  </si>
  <si>
    <t>SIMAR HELENE</t>
  </si>
  <si>
    <t>SIMONET EMELINE</t>
  </si>
  <si>
    <t>SUARD ALAIN</t>
  </si>
  <si>
    <t>TEBOUL ANDRE</t>
  </si>
  <si>
    <t>TELUSSON ANGELA</t>
  </si>
  <si>
    <t>TOUCHARD AURELIE</t>
  </si>
  <si>
    <t>TRIQUET XAVIER</t>
  </si>
  <si>
    <t>VAVVA HELENE</t>
  </si>
  <si>
    <t>VAZQUEZ FLORA</t>
  </si>
  <si>
    <t>VIAL ANDRE</t>
  </si>
  <si>
    <t>VIALA MARTINE</t>
  </si>
  <si>
    <t>VIAUD SANDRA</t>
  </si>
  <si>
    <t>VIGIER VIRGINIE</t>
  </si>
  <si>
    <t>VIGNES CLEMENT</t>
  </si>
  <si>
    <t>VOLPE ROSINE</t>
  </si>
  <si>
    <t xml:space="preserve"> ATTENTION FILTRE ACTIF : 92 Adhérents pour cette section</t>
  </si>
  <si>
    <t>20  /  1073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</si>
</sst>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d\-mmm\-yyyy"/>
    <numFmt numFmtId="165" formatCode="#,##0.00\ [$€-1]"/>
    <numFmt numFmtId="166" formatCode="00000"/>
    <numFmt numFmtId="167" formatCode="#,##0.00\ &quot;€&quot;"/>
  </numFmts>
  <fonts count="49" x14ac:knownFonts="1">
    <font>
      <sz val="10"/>
      <name val="Arial"/>
    </font>
    <font>
      <sz val="20"/>
      <color indexed="58"/>
      <name val="Times New Roman"/>
      <family val="1"/>
    </font>
    <font>
      <b/>
      <sz val="10"/>
      <name val="Arial"/>
      <family val="2"/>
    </font>
    <font>
      <sz val="11"/>
      <name val="Arial Narrow"/>
      <family val="2"/>
    </font>
    <font>
      <sz val="18"/>
      <name val="Arial Narrow"/>
      <family val="2"/>
    </font>
    <font>
      <sz val="8"/>
      <name val="Arial Narrow"/>
      <family val="2"/>
    </font>
    <font>
      <b/>
      <sz val="16"/>
      <name val="Arial Narrow"/>
      <family val="2"/>
    </font>
    <font>
      <b/>
      <sz val="10"/>
      <name val="Arial Narrow"/>
      <family val="2"/>
    </font>
    <font>
      <b/>
      <sz val="14"/>
      <name val="Arial Narrow"/>
      <family val="2"/>
    </font>
    <font>
      <b/>
      <sz val="8"/>
      <name val="Arial Narrow"/>
      <family val="2"/>
    </font>
    <font>
      <sz val="20"/>
      <name val="Arial"/>
      <family val="2"/>
    </font>
    <font>
      <b/>
      <sz val="14"/>
      <name val="Arial"/>
      <family val="2"/>
    </font>
    <font>
      <sz val="10"/>
      <name val="Arial"/>
      <family val="2"/>
    </font>
    <font>
      <sz val="20"/>
      <name val="Arial"/>
      <family val="2"/>
    </font>
    <font>
      <sz val="10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8"/>
      <name val="Arial"/>
      <family val="2"/>
    </font>
    <font>
      <b/>
      <sz val="12"/>
      <color indexed="10"/>
      <name val="Arial"/>
      <family val="2"/>
    </font>
    <font>
      <sz val="8"/>
      <color indexed="10"/>
      <name val="Arial Narrow"/>
      <family val="2"/>
    </font>
    <font>
      <b/>
      <sz val="10"/>
      <color indexed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i/>
      <sz val="10"/>
      <name val="Arial"/>
      <family val="2"/>
    </font>
    <font>
      <i/>
      <sz val="8"/>
      <name val="Arial"/>
      <family val="2"/>
    </font>
    <font>
      <b/>
      <i/>
      <sz val="11"/>
      <name val="Arial"/>
      <family val="2"/>
    </font>
    <font>
      <b/>
      <i/>
      <sz val="10"/>
      <name val="Arial"/>
      <family val="2"/>
    </font>
    <font>
      <b/>
      <sz val="8"/>
      <name val="Arial"/>
      <family val="2"/>
    </font>
    <font>
      <sz val="9"/>
      <name val="Arial"/>
      <family val="2"/>
    </font>
    <font>
      <b/>
      <i/>
      <sz val="16"/>
      <name val="Arial"/>
      <family val="2"/>
    </font>
    <font>
      <sz val="16"/>
      <name val="Arial"/>
      <family val="2"/>
    </font>
    <font>
      <b/>
      <sz val="24"/>
      <name val="Arial"/>
      <family val="2"/>
    </font>
    <font>
      <b/>
      <sz val="7"/>
      <color indexed="10"/>
      <name val="Arial"/>
      <family val="2"/>
    </font>
    <font>
      <sz val="24"/>
      <name val="Arial"/>
      <family val="2"/>
    </font>
    <font>
      <sz val="10"/>
      <color indexed="17"/>
      <name val="Arial"/>
      <family val="2"/>
    </font>
    <font>
      <b/>
      <sz val="10"/>
      <color indexed="17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8"/>
      <color rgb="FF000000"/>
      <name val="Tahoma"/>
      <family val="2"/>
    </font>
    <font>
      <b/>
      <sz val="26"/>
      <color rgb="FF000000"/>
      <name val="Arial"/>
      <family val="2"/>
    </font>
    <font>
      <b/>
      <sz val="10"/>
      <color rgb="FFFF0000"/>
      <name val="Arial"/>
      <family val="2"/>
    </font>
    <font>
      <b/>
      <sz val="10"/>
      <color rgb="FFFF660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3" fillId="0" borderId="0"/>
    <xf numFmtId="0" fontId="12" fillId="0" borderId="0"/>
    <xf numFmtId="0" fontId="12" fillId="0" borderId="0"/>
  </cellStyleXfs>
  <cellXfs count="394">
    <xf numFmtId="0" fontId="0" fillId="0" borderId="0" xfId="0"/>
    <xf numFmtId="0" fontId="3" fillId="0" borderId="0" xfId="1"/>
    <xf numFmtId="0" fontId="4" fillId="2" borderId="0" xfId="0" applyFont="1" applyFill="1" applyAlignment="1">
      <alignment vertical="center"/>
    </xf>
    <xf numFmtId="49" fontId="4" fillId="2" borderId="0" xfId="0" applyNumberFormat="1" applyFont="1" applyFill="1" applyAlignment="1">
      <alignment horizontal="center" vertical="center"/>
    </xf>
    <xf numFmtId="14" fontId="4" fillId="2" borderId="0" xfId="0" applyNumberFormat="1" applyFont="1" applyFill="1" applyAlignment="1">
      <alignment vertical="center"/>
    </xf>
    <xf numFmtId="49" fontId="5" fillId="2" borderId="0" xfId="0" applyNumberFormat="1" applyFont="1" applyFill="1" applyAlignment="1">
      <alignment horizontal="center" vertical="center"/>
    </xf>
    <xf numFmtId="0" fontId="6" fillId="0" borderId="0" xfId="0" applyNumberFormat="1" applyFont="1" applyAlignment="1">
      <alignment horizontal="center" vertical="center"/>
    </xf>
    <xf numFmtId="0" fontId="8" fillId="0" borderId="0" xfId="0" applyFont="1" applyAlignment="1" applyProtection="1">
      <alignment horizontal="center" vertical="center"/>
      <protection locked="0"/>
    </xf>
    <xf numFmtId="0" fontId="5" fillId="0" borderId="0" xfId="0" applyFont="1"/>
    <xf numFmtId="0" fontId="5" fillId="0" borderId="0" xfId="0" applyFont="1" applyAlignment="1" applyProtection="1">
      <alignment horizontal="center" vertical="center" wrapText="1"/>
      <protection locked="0"/>
    </xf>
    <xf numFmtId="0" fontId="5" fillId="0" borderId="0" xfId="0" applyFont="1" applyAlignment="1">
      <alignment horizontal="center" vertical="center" wrapText="1"/>
    </xf>
    <xf numFmtId="0" fontId="5" fillId="0" borderId="0" xfId="0" applyFont="1" applyAlignment="1" applyProtection="1">
      <alignment horizontal="left" vertical="center" wrapText="1"/>
      <protection locked="0"/>
    </xf>
    <xf numFmtId="0" fontId="5" fillId="0" borderId="0" xfId="0" applyFont="1" applyAlignment="1" applyProtection="1">
      <protection locked="0"/>
    </xf>
    <xf numFmtId="49" fontId="5" fillId="0" borderId="0" xfId="0" applyNumberFormat="1" applyFont="1" applyAlignment="1" applyProtection="1">
      <alignment horizontal="center"/>
      <protection locked="0"/>
    </xf>
    <xf numFmtId="14" fontId="5" fillId="0" borderId="0" xfId="0" applyNumberFormat="1" applyFont="1" applyProtection="1">
      <protection locked="0"/>
    </xf>
    <xf numFmtId="14" fontId="5" fillId="0" borderId="0" xfId="0" applyNumberFormat="1" applyFont="1" applyAlignment="1" applyProtection="1">
      <alignment horizontal="center"/>
      <protection locked="0"/>
    </xf>
    <xf numFmtId="49" fontId="5" fillId="0" borderId="0" xfId="0" applyNumberFormat="1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5" fillId="0" borderId="0" xfId="0" applyFont="1" applyProtection="1">
      <protection locked="0"/>
    </xf>
    <xf numFmtId="0" fontId="5" fillId="0" borderId="0" xfId="0" applyNumberFormat="1" applyFont="1" applyAlignment="1" applyProtection="1">
      <alignment horizontal="center"/>
      <protection locked="0"/>
    </xf>
    <xf numFmtId="0" fontId="5" fillId="0" borderId="0" xfId="0" applyFont="1" applyAlignment="1" applyProtection="1">
      <alignment horizontal="center"/>
      <protection locked="0"/>
    </xf>
    <xf numFmtId="17" fontId="5" fillId="0" borderId="0" xfId="0" applyNumberFormat="1" applyFont="1" applyAlignment="1" applyProtection="1">
      <alignment horizontal="center"/>
      <protection locked="0"/>
    </xf>
    <xf numFmtId="16" fontId="5" fillId="0" borderId="0" xfId="0" applyNumberFormat="1" applyFont="1" applyAlignment="1" applyProtection="1">
      <alignment horizontal="center"/>
      <protection locked="0"/>
    </xf>
    <xf numFmtId="0" fontId="5" fillId="0" borderId="0" xfId="0" applyFont="1" applyAlignment="1"/>
    <xf numFmtId="49" fontId="5" fillId="0" borderId="0" xfId="0" applyNumberFormat="1" applyFont="1" applyAlignment="1">
      <alignment horizontal="center"/>
    </xf>
    <xf numFmtId="14" fontId="5" fillId="0" borderId="0" xfId="0" applyNumberFormat="1" applyFont="1"/>
    <xf numFmtId="0" fontId="5" fillId="0" borderId="0" xfId="0" applyNumberFormat="1" applyFont="1" applyAlignment="1">
      <alignment horizont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49" fontId="14" fillId="3" borderId="0" xfId="0" applyNumberFormat="1" applyFont="1" applyFill="1" applyBorder="1" applyProtection="1"/>
    <xf numFmtId="49" fontId="16" fillId="3" borderId="0" xfId="0" applyNumberFormat="1" applyFont="1" applyFill="1" applyBorder="1" applyProtection="1"/>
    <xf numFmtId="49" fontId="12" fillId="3" borderId="0" xfId="0" applyNumberFormat="1" applyFont="1" applyFill="1" applyBorder="1" applyProtection="1"/>
    <xf numFmtId="49" fontId="17" fillId="3" borderId="0" xfId="0" applyNumberFormat="1" applyFont="1" applyFill="1" applyBorder="1" applyAlignment="1" applyProtection="1"/>
    <xf numFmtId="49" fontId="17" fillId="3" borderId="0" xfId="0" applyNumberFormat="1" applyFont="1" applyFill="1" applyBorder="1" applyProtection="1"/>
    <xf numFmtId="49" fontId="2" fillId="3" borderId="0" xfId="0" applyNumberFormat="1" applyFont="1" applyFill="1" applyBorder="1" applyProtection="1"/>
    <xf numFmtId="49" fontId="19" fillId="3" borderId="0" xfId="0" applyNumberFormat="1" applyFont="1" applyFill="1" applyAlignment="1" applyProtection="1"/>
    <xf numFmtId="49" fontId="19" fillId="3" borderId="0" xfId="0" applyNumberFormat="1" applyFont="1" applyFill="1" applyProtection="1"/>
    <xf numFmtId="49" fontId="1" fillId="3" borderId="0" xfId="0" applyNumberFormat="1" applyFont="1" applyFill="1" applyBorder="1" applyAlignment="1" applyProtection="1">
      <alignment horizontal="center" vertical="center"/>
    </xf>
    <xf numFmtId="49" fontId="13" fillId="3" borderId="0" xfId="0" applyNumberFormat="1" applyFont="1" applyFill="1" applyBorder="1" applyAlignment="1" applyProtection="1">
      <alignment horizontal="center" vertical="center"/>
    </xf>
    <xf numFmtId="0" fontId="0" fillId="3" borderId="0" xfId="0" applyFill="1" applyAlignment="1" applyProtection="1">
      <alignment horizontal="center" vertical="center"/>
    </xf>
    <xf numFmtId="49" fontId="14" fillId="3" borderId="0" xfId="0" applyNumberFormat="1" applyFont="1" applyFill="1" applyProtection="1"/>
    <xf numFmtId="49" fontId="15" fillId="3" borderId="0" xfId="0" applyNumberFormat="1" applyFont="1" applyFill="1" applyBorder="1" applyAlignment="1" applyProtection="1"/>
    <xf numFmtId="49" fontId="16" fillId="3" borderId="0" xfId="0" applyNumberFormat="1" applyFont="1" applyFill="1" applyProtection="1"/>
    <xf numFmtId="49" fontId="14" fillId="3" borderId="0" xfId="0" applyNumberFormat="1" applyFont="1" applyFill="1" applyBorder="1" applyAlignment="1" applyProtection="1"/>
    <xf numFmtId="49" fontId="17" fillId="3" borderId="0" xfId="0" applyNumberFormat="1" applyFont="1" applyFill="1" applyBorder="1" applyAlignment="1" applyProtection="1">
      <alignment horizontal="center" vertical="center"/>
    </xf>
    <xf numFmtId="49" fontId="17" fillId="3" borderId="0" xfId="0" applyNumberFormat="1" applyFont="1" applyFill="1" applyProtection="1"/>
    <xf numFmtId="49" fontId="12" fillId="3" borderId="0" xfId="0" applyNumberFormat="1" applyFont="1" applyFill="1" applyProtection="1"/>
    <xf numFmtId="49" fontId="14" fillId="3" borderId="0" xfId="0" applyNumberFormat="1" applyFont="1" applyFill="1" applyAlignment="1" applyProtection="1"/>
    <xf numFmtId="0" fontId="14" fillId="3" borderId="0" xfId="0" applyFont="1" applyFill="1" applyAlignment="1" applyProtection="1"/>
    <xf numFmtId="49" fontId="18" fillId="3" borderId="0" xfId="0" applyNumberFormat="1" applyFont="1" applyFill="1" applyAlignment="1" applyProtection="1"/>
    <xf numFmtId="49" fontId="10" fillId="3" borderId="0" xfId="0" applyNumberFormat="1" applyFont="1" applyFill="1" applyAlignment="1" applyProtection="1">
      <alignment horizontal="center" vertical="center"/>
    </xf>
    <xf numFmtId="0" fontId="3" fillId="0" borderId="0" xfId="1" applyFont="1" applyAlignment="1">
      <alignment horizontal="center"/>
    </xf>
    <xf numFmtId="22" fontId="3" fillId="0" borderId="0" xfId="1" applyNumberFormat="1" applyFont="1" applyAlignment="1">
      <alignment horizontal="center"/>
    </xf>
    <xf numFmtId="49" fontId="3" fillId="0" borderId="0" xfId="1" applyNumberFormat="1" applyFont="1" applyAlignment="1">
      <alignment horizontal="center"/>
    </xf>
    <xf numFmtId="49" fontId="3" fillId="0" borderId="0" xfId="1" applyNumberFormat="1"/>
    <xf numFmtId="49" fontId="3" fillId="0" borderId="0" xfId="1" applyNumberFormat="1" applyFont="1"/>
    <xf numFmtId="0" fontId="3" fillId="0" borderId="0" xfId="1" applyFont="1"/>
    <xf numFmtId="0" fontId="25" fillId="0" borderId="0" xfId="0" applyFont="1"/>
    <xf numFmtId="1" fontId="25" fillId="0" borderId="0" xfId="0" applyNumberFormat="1" applyFont="1"/>
    <xf numFmtId="49" fontId="3" fillId="0" borderId="0" xfId="1" applyNumberFormat="1" applyAlignment="1">
      <alignment horizontal="center"/>
    </xf>
    <xf numFmtId="49" fontId="19" fillId="3" borderId="0" xfId="0" applyNumberFormat="1" applyFont="1" applyFill="1" applyBorder="1" applyProtection="1"/>
    <xf numFmtId="0" fontId="25" fillId="4" borderId="0" xfId="0" applyFont="1" applyFill="1"/>
    <xf numFmtId="49" fontId="14" fillId="5" borderId="0" xfId="0" applyNumberFormat="1" applyFont="1" applyFill="1" applyProtection="1"/>
    <xf numFmtId="49" fontId="14" fillId="5" borderId="0" xfId="0" applyNumberFormat="1" applyFont="1" applyFill="1" applyBorder="1" applyProtection="1"/>
    <xf numFmtId="49" fontId="16" fillId="5" borderId="0" xfId="0" applyNumberFormat="1" applyFont="1" applyFill="1" applyBorder="1" applyProtection="1"/>
    <xf numFmtId="49" fontId="16" fillId="5" borderId="0" xfId="0" applyNumberFormat="1" applyFont="1" applyFill="1" applyProtection="1"/>
    <xf numFmtId="0" fontId="0" fillId="3" borderId="0" xfId="0" applyFill="1" applyProtection="1"/>
    <xf numFmtId="0" fontId="0" fillId="3" borderId="0" xfId="0" applyFill="1" applyAlignment="1" applyProtection="1"/>
    <xf numFmtId="0" fontId="0" fillId="3" borderId="0" xfId="0" applyFill="1" applyAlignment="1" applyProtection="1">
      <alignment horizontal="center"/>
    </xf>
    <xf numFmtId="49" fontId="21" fillId="3" borderId="0" xfId="0" applyNumberFormat="1" applyFont="1" applyFill="1" applyAlignment="1" applyProtection="1">
      <alignment horizontal="center"/>
    </xf>
    <xf numFmtId="49" fontId="11" fillId="3" borderId="0" xfId="0" applyNumberFormat="1" applyFont="1" applyFill="1" applyAlignment="1" applyProtection="1">
      <alignment horizontal="right"/>
    </xf>
    <xf numFmtId="0" fontId="0" fillId="3" borderId="0" xfId="0" applyFill="1" applyAlignment="1" applyProtection="1">
      <alignment horizontal="left" vertical="center"/>
    </xf>
    <xf numFmtId="0" fontId="0" fillId="4" borderId="0" xfId="0" applyFill="1" applyAlignment="1" applyProtection="1">
      <alignment horizontal="left" vertical="center"/>
      <protection locked="0"/>
    </xf>
    <xf numFmtId="2" fontId="0" fillId="3" borderId="0" xfId="0" applyNumberFormat="1" applyFill="1" applyAlignment="1" applyProtection="1">
      <alignment horizontal="right"/>
    </xf>
    <xf numFmtId="2" fontId="0" fillId="4" borderId="0" xfId="0" applyNumberFormat="1" applyFill="1" applyAlignment="1" applyProtection="1">
      <alignment horizontal="right" vertical="center"/>
      <protection locked="0"/>
    </xf>
    <xf numFmtId="2" fontId="0" fillId="3" borderId="0" xfId="0" applyNumberFormat="1" applyFill="1" applyAlignment="1" applyProtection="1">
      <alignment horizontal="right" vertical="center"/>
    </xf>
    <xf numFmtId="0" fontId="3" fillId="0" borderId="0" xfId="1" applyNumberFormat="1" applyFont="1"/>
    <xf numFmtId="0" fontId="3" fillId="0" borderId="0" xfId="1" applyNumberFormat="1"/>
    <xf numFmtId="0" fontId="0" fillId="4" borderId="0" xfId="0" applyFill="1" applyAlignment="1" applyProtection="1">
      <alignment horizontal="left" vertical="center"/>
    </xf>
    <xf numFmtId="0" fontId="0" fillId="3" borderId="0" xfId="0" applyFill="1" applyAlignment="1" applyProtection="1">
      <alignment horizontal="right" vertical="center"/>
    </xf>
    <xf numFmtId="22" fontId="3" fillId="0" borderId="0" xfId="1" applyNumberFormat="1"/>
    <xf numFmtId="0" fontId="0" fillId="3" borderId="0" xfId="0" applyFill="1" applyAlignment="1" applyProtection="1">
      <alignment horizontal="center" vertical="top"/>
    </xf>
    <xf numFmtId="0" fontId="2" fillId="3" borderId="0" xfId="0" applyFont="1" applyFill="1" applyProtection="1"/>
    <xf numFmtId="49" fontId="5" fillId="0" borderId="0" xfId="0" applyNumberFormat="1" applyFont="1"/>
    <xf numFmtId="49" fontId="5" fillId="0" borderId="0" xfId="0" applyNumberFormat="1" applyFont="1" applyAlignment="1">
      <alignment horizontal="center" vertical="center" wrapText="1"/>
    </xf>
    <xf numFmtId="49" fontId="5" fillId="0" borderId="0" xfId="0" applyNumberFormat="1" applyFont="1" applyProtection="1">
      <protection locked="0"/>
    </xf>
    <xf numFmtId="0" fontId="0" fillId="3" borderId="0" xfId="0" applyFill="1"/>
    <xf numFmtId="0" fontId="0" fillId="3" borderId="0" xfId="0" applyNumberFormat="1" applyFill="1" applyAlignment="1">
      <alignment horizontal="center" vertical="center"/>
    </xf>
    <xf numFmtId="0" fontId="2" fillId="3" borderId="0" xfId="0" applyFont="1" applyFill="1"/>
    <xf numFmtId="0" fontId="24" fillId="3" borderId="0" xfId="0" applyFont="1" applyFill="1"/>
    <xf numFmtId="0" fontId="0" fillId="0" borderId="0" xfId="0" applyAlignment="1">
      <alignment horizontal="center" vertical="center"/>
    </xf>
    <xf numFmtId="167" fontId="0" fillId="0" borderId="0" xfId="0" applyNumberFormat="1" applyAlignment="1">
      <alignment horizontal="right"/>
    </xf>
    <xf numFmtId="167" fontId="5" fillId="0" borderId="0" xfId="0" applyNumberFormat="1" applyFont="1"/>
    <xf numFmtId="167" fontId="5" fillId="0" borderId="0" xfId="0" applyNumberFormat="1" applyFont="1" applyAlignment="1">
      <alignment horizontal="center" vertical="center" wrapText="1"/>
    </xf>
    <xf numFmtId="167" fontId="5" fillId="0" borderId="0" xfId="0" applyNumberFormat="1" applyFont="1" applyProtection="1">
      <protection locked="0"/>
    </xf>
    <xf numFmtId="0" fontId="20" fillId="3" borderId="0" xfId="0" applyFont="1" applyFill="1" applyAlignment="1" applyProtection="1">
      <alignment horizontal="center" vertical="center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vertical="center" wrapText="1"/>
    </xf>
    <xf numFmtId="0" fontId="0" fillId="0" borderId="2" xfId="0" applyBorder="1" applyAlignment="1">
      <alignment vertical="center" wrapText="1"/>
    </xf>
    <xf numFmtId="167" fontId="0" fillId="0" borderId="2" xfId="0" applyNumberFormat="1" applyBorder="1" applyAlignment="1">
      <alignment horizontal="right" vertical="center" wrapText="1"/>
    </xf>
    <xf numFmtId="0" fontId="0" fillId="0" borderId="2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9" fillId="0" borderId="4" xfId="0" applyFont="1" applyBorder="1" applyAlignment="1">
      <alignment horizontal="center" vertical="center" wrapText="1"/>
    </xf>
    <xf numFmtId="0" fontId="9" fillId="0" borderId="5" xfId="0" applyFont="1" applyBorder="1" applyAlignment="1">
      <alignment horizontal="center" vertical="center"/>
    </xf>
    <xf numFmtId="49" fontId="9" fillId="0" borderId="5" xfId="0" applyNumberFormat="1" applyFont="1" applyBorder="1" applyAlignment="1">
      <alignment horizontal="center" vertical="center" wrapText="1"/>
    </xf>
    <xf numFmtId="14" fontId="9" fillId="0" borderId="5" xfId="0" applyNumberFormat="1" applyFont="1" applyBorder="1" applyAlignment="1">
      <alignment horizontal="center" vertical="center" wrapText="1"/>
    </xf>
    <xf numFmtId="0" fontId="9" fillId="0" borderId="5" xfId="0" applyNumberFormat="1" applyFont="1" applyBorder="1" applyAlignment="1">
      <alignment horizontal="center" vertical="center" wrapText="1"/>
    </xf>
    <xf numFmtId="0" fontId="9" fillId="0" borderId="5" xfId="0" applyNumberFormat="1" applyFont="1" applyBorder="1" applyAlignment="1">
      <alignment horizontal="center" vertical="center" textRotation="180" wrapText="1"/>
    </xf>
    <xf numFmtId="0" fontId="9" fillId="0" borderId="6" xfId="0" applyFont="1" applyBorder="1" applyAlignment="1">
      <alignment horizontal="center" vertical="center"/>
    </xf>
    <xf numFmtId="0" fontId="0" fillId="0" borderId="0" xfId="0" applyAlignment="1"/>
    <xf numFmtId="0" fontId="28" fillId="0" borderId="0" xfId="0" applyFont="1" applyAlignment="1">
      <alignment horizontal="left" vertical="center"/>
    </xf>
    <xf numFmtId="0" fontId="26" fillId="0" borderId="0" xfId="0" applyFont="1" applyAlignment="1">
      <alignment horizontal="right" vertical="center"/>
    </xf>
    <xf numFmtId="0" fontId="29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167" fontId="2" fillId="0" borderId="0" xfId="0" applyNumberFormat="1" applyFont="1" applyAlignment="1">
      <alignment horizontal="left"/>
    </xf>
    <xf numFmtId="0" fontId="29" fillId="0" borderId="0" xfId="0" applyFont="1" applyAlignment="1"/>
    <xf numFmtId="167" fontId="25" fillId="0" borderId="0" xfId="0" applyNumberFormat="1" applyFont="1" applyAlignment="1">
      <alignment horizontal="right"/>
    </xf>
    <xf numFmtId="49" fontId="12" fillId="0" borderId="0" xfId="0" applyNumberFormat="1" applyFont="1" applyAlignment="1">
      <alignment horizontal="left" vertical="top" wrapText="1"/>
    </xf>
    <xf numFmtId="1" fontId="12" fillId="0" borderId="0" xfId="0" applyNumberFormat="1" applyFont="1"/>
    <xf numFmtId="49" fontId="12" fillId="0" borderId="0" xfId="0" applyNumberFormat="1" applyFont="1" applyAlignment="1">
      <alignment horizontal="center" vertical="top" wrapText="1"/>
    </xf>
    <xf numFmtId="1" fontId="12" fillId="0" borderId="0" xfId="0" applyNumberFormat="1" applyFont="1" applyAlignment="1">
      <alignment wrapText="1"/>
    </xf>
    <xf numFmtId="1" fontId="29" fillId="0" borderId="0" xfId="0" applyNumberFormat="1" applyFont="1"/>
    <xf numFmtId="14" fontId="12" fillId="0" borderId="0" xfId="0" applyNumberFormat="1" applyFont="1" applyAlignment="1">
      <alignment horizontal="center" vertical="top" wrapText="1"/>
    </xf>
    <xf numFmtId="167" fontId="2" fillId="0" borderId="0" xfId="0" applyNumberFormat="1" applyFont="1" applyAlignment="1">
      <alignment horizontal="right" vertical="top" wrapText="1"/>
    </xf>
    <xf numFmtId="167" fontId="2" fillId="0" borderId="0" xfId="0" applyNumberFormat="1" applyFont="1" applyAlignment="1">
      <alignment horizontal="left" vertical="center"/>
    </xf>
    <xf numFmtId="0" fontId="0" fillId="0" borderId="0" xfId="0" applyAlignment="1">
      <alignment horizontal="center" vertical="top" wrapText="1"/>
    </xf>
    <xf numFmtId="1" fontId="32" fillId="0" borderId="0" xfId="0" applyNumberFormat="1" applyFont="1" applyBorder="1" applyAlignment="1">
      <alignment horizontal="center" vertical="center" wrapText="1"/>
    </xf>
    <xf numFmtId="1" fontId="12" fillId="0" borderId="0" xfId="0" applyNumberFormat="1" applyFont="1" applyBorder="1"/>
    <xf numFmtId="1" fontId="2" fillId="0" borderId="0" xfId="0" applyNumberFormat="1" applyFont="1" applyBorder="1"/>
    <xf numFmtId="49" fontId="2" fillId="0" borderId="0" xfId="0" applyNumberFormat="1" applyFont="1" applyBorder="1" applyAlignment="1"/>
    <xf numFmtId="49" fontId="12" fillId="0" borderId="0" xfId="0" applyNumberFormat="1" applyFont="1" applyBorder="1" applyAlignment="1">
      <alignment horizontal="left" vertical="top" wrapText="1"/>
    </xf>
    <xf numFmtId="1" fontId="25" fillId="0" borderId="0" xfId="0" applyNumberFormat="1" applyFont="1" applyBorder="1"/>
    <xf numFmtId="1" fontId="25" fillId="0" borderId="7" xfId="0" applyNumberFormat="1" applyFont="1" applyBorder="1"/>
    <xf numFmtId="1" fontId="25" fillId="0" borderId="8" xfId="0" applyNumberFormat="1" applyFont="1" applyBorder="1"/>
    <xf numFmtId="49" fontId="12" fillId="0" borderId="0" xfId="0" applyNumberFormat="1" applyFont="1" applyBorder="1" applyAlignment="1">
      <alignment vertical="top" wrapText="1"/>
    </xf>
    <xf numFmtId="49" fontId="12" fillId="0" borderId="9" xfId="0" applyNumberFormat="1" applyFont="1" applyBorder="1" applyAlignment="1">
      <alignment horizontal="left" vertical="top" wrapText="1"/>
    </xf>
    <xf numFmtId="1" fontId="12" fillId="0" borderId="8" xfId="0" applyNumberFormat="1" applyFont="1" applyBorder="1"/>
    <xf numFmtId="49" fontId="12" fillId="0" borderId="0" xfId="0" applyNumberFormat="1" applyFont="1" applyBorder="1" applyAlignment="1">
      <alignment horizontal="center" vertical="top" wrapText="1"/>
    </xf>
    <xf numFmtId="0" fontId="12" fillId="0" borderId="0" xfId="0" applyFont="1" applyBorder="1" applyAlignment="1">
      <alignment horizontal="center" vertical="top" wrapText="1"/>
    </xf>
    <xf numFmtId="49" fontId="12" fillId="0" borderId="9" xfId="0" applyNumberFormat="1" applyFont="1" applyBorder="1" applyAlignment="1">
      <alignment horizontal="center" vertical="top" wrapText="1"/>
    </xf>
    <xf numFmtId="0" fontId="0" fillId="0" borderId="0" xfId="0" applyBorder="1" applyAlignment="1">
      <alignment horizontal="center" vertical="top" wrapText="1"/>
    </xf>
    <xf numFmtId="14" fontId="12" fillId="0" borderId="0" xfId="0" applyNumberFormat="1" applyFont="1" applyBorder="1" applyAlignment="1">
      <alignment vertical="top" wrapText="1"/>
    </xf>
    <xf numFmtId="167" fontId="2" fillId="0" borderId="9" xfId="0" applyNumberFormat="1" applyFont="1" applyBorder="1" applyAlignment="1">
      <alignment horizontal="right" vertical="top" wrapText="1"/>
    </xf>
    <xf numFmtId="14" fontId="12" fillId="0" borderId="0" xfId="0" applyNumberFormat="1" applyFont="1" applyBorder="1" applyAlignment="1">
      <alignment vertical="top"/>
    </xf>
    <xf numFmtId="49" fontId="12" fillId="0" borderId="0" xfId="0" applyNumberFormat="1" applyFont="1" applyBorder="1" applyAlignment="1">
      <alignment horizontal="center" vertical="top"/>
    </xf>
    <xf numFmtId="14" fontId="12" fillId="0" borderId="0" xfId="0" applyNumberFormat="1" applyFont="1" applyBorder="1" applyAlignment="1">
      <alignment horizontal="center" vertical="top" wrapText="1"/>
    </xf>
    <xf numFmtId="14" fontId="12" fillId="0" borderId="0" xfId="0" applyNumberFormat="1" applyFont="1" applyBorder="1" applyAlignment="1">
      <alignment horizontal="left" vertical="top" wrapText="1"/>
    </xf>
    <xf numFmtId="1" fontId="25" fillId="0" borderId="10" xfId="0" applyNumberFormat="1" applyFont="1" applyBorder="1"/>
    <xf numFmtId="14" fontId="12" fillId="0" borderId="11" xfId="0" applyNumberFormat="1" applyFont="1" applyBorder="1" applyAlignment="1">
      <alignment horizontal="center" vertical="top" wrapText="1"/>
    </xf>
    <xf numFmtId="49" fontId="12" fillId="0" borderId="11" xfId="0" applyNumberFormat="1" applyFont="1" applyBorder="1" applyAlignment="1">
      <alignment horizontal="center" vertical="top" wrapText="1"/>
    </xf>
    <xf numFmtId="0" fontId="0" fillId="0" borderId="11" xfId="0" applyBorder="1" applyAlignment="1">
      <alignment horizontal="center" vertical="top" wrapText="1"/>
    </xf>
    <xf numFmtId="167" fontId="2" fillId="0" borderId="12" xfId="0" applyNumberFormat="1" applyFont="1" applyBorder="1" applyAlignment="1">
      <alignment horizontal="right" vertical="top" wrapText="1"/>
    </xf>
    <xf numFmtId="1" fontId="12" fillId="0" borderId="13" xfId="0" applyNumberFormat="1" applyFont="1" applyBorder="1" applyAlignment="1">
      <alignment wrapText="1"/>
    </xf>
    <xf numFmtId="1" fontId="12" fillId="0" borderId="14" xfId="0" applyNumberFormat="1" applyFont="1" applyBorder="1" applyAlignment="1">
      <alignment wrapText="1"/>
    </xf>
    <xf numFmtId="1" fontId="12" fillId="0" borderId="9" xfId="0" applyNumberFormat="1" applyFont="1" applyBorder="1"/>
    <xf numFmtId="49" fontId="33" fillId="0" borderId="9" xfId="0" applyNumberFormat="1" applyFont="1" applyBorder="1" applyAlignment="1">
      <alignment horizontal="justify" vertical="top" wrapText="1"/>
    </xf>
    <xf numFmtId="49" fontId="33" fillId="0" borderId="11" xfId="0" applyNumberFormat="1" applyFont="1" applyBorder="1" applyAlignment="1">
      <alignment horizontal="justify" vertical="top" wrapText="1"/>
    </xf>
    <xf numFmtId="167" fontId="25" fillId="0" borderId="0" xfId="0" applyNumberFormat="1" applyFont="1" applyBorder="1" applyAlignment="1">
      <alignment horizontal="right"/>
    </xf>
    <xf numFmtId="1" fontId="25" fillId="0" borderId="11" xfId="0" applyNumberFormat="1" applyFont="1" applyBorder="1"/>
    <xf numFmtId="167" fontId="2" fillId="0" borderId="14" xfId="0" applyNumberFormat="1" applyFont="1" applyBorder="1" applyAlignment="1">
      <alignment horizontal="right" vertical="top" wrapText="1"/>
    </xf>
    <xf numFmtId="1" fontId="25" fillId="0" borderId="9" xfId="0" applyNumberFormat="1" applyFont="1" applyBorder="1"/>
    <xf numFmtId="1" fontId="25" fillId="0" borderId="12" xfId="0" applyNumberFormat="1" applyFont="1" applyBorder="1"/>
    <xf numFmtId="0" fontId="12" fillId="0" borderId="0" xfId="0" applyFont="1" applyBorder="1" applyAlignment="1">
      <alignment vertical="top" wrapText="1"/>
    </xf>
    <xf numFmtId="0" fontId="0" fillId="0" borderId="0" xfId="0" applyBorder="1" applyAlignment="1">
      <alignment vertical="top" wrapText="1"/>
    </xf>
    <xf numFmtId="1" fontId="34" fillId="0" borderId="0" xfId="0" applyNumberFormat="1" applyFont="1"/>
    <xf numFmtId="14" fontId="2" fillId="0" borderId="0" xfId="0" applyNumberFormat="1" applyFont="1" applyBorder="1" applyAlignment="1">
      <alignment vertical="top" wrapText="1"/>
    </xf>
    <xf numFmtId="49" fontId="2" fillId="0" borderId="0" xfId="0" applyNumberFormat="1" applyFont="1" applyBorder="1" applyAlignment="1">
      <alignment horizontal="right" vertical="top" wrapText="1"/>
    </xf>
    <xf numFmtId="2" fontId="2" fillId="0" borderId="0" xfId="0" applyNumberFormat="1" applyFont="1" applyBorder="1" applyAlignment="1">
      <alignment horizontal="right" vertical="top" wrapText="1"/>
    </xf>
    <xf numFmtId="1" fontId="34" fillId="0" borderId="0" xfId="0" applyNumberFormat="1" applyFont="1" applyBorder="1"/>
    <xf numFmtId="1" fontId="34" fillId="0" borderId="0" xfId="0" applyNumberFormat="1" applyFont="1" applyAlignment="1">
      <alignment horizontal="right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26" fillId="0" borderId="0" xfId="0" applyNumberFormat="1" applyFont="1" applyAlignment="1">
      <alignment horizontal="right" vertical="center"/>
    </xf>
    <xf numFmtId="49" fontId="0" fillId="0" borderId="0" xfId="0" applyNumberFormat="1" applyAlignment="1">
      <alignment horizontal="center" vertical="center"/>
    </xf>
    <xf numFmtId="0" fontId="8" fillId="0" borderId="0" xfId="0" applyNumberFormat="1" applyFont="1" applyAlignment="1">
      <alignment horizontal="left" vertical="center" shrinkToFit="1"/>
    </xf>
    <xf numFmtId="167" fontId="5" fillId="0" borderId="0" xfId="0" applyNumberFormat="1" applyFont="1" applyAlignment="1">
      <alignment shrinkToFit="1"/>
    </xf>
    <xf numFmtId="14" fontId="0" fillId="0" borderId="0" xfId="0" applyNumberFormat="1"/>
    <xf numFmtId="0" fontId="5" fillId="0" borderId="0" xfId="0" applyFont="1" applyBorder="1" applyAlignment="1">
      <alignment horizontal="center"/>
    </xf>
    <xf numFmtId="0" fontId="9" fillId="0" borderId="4" xfId="0" applyFont="1" applyBorder="1" applyAlignment="1">
      <alignment horizontal="center" vertical="center"/>
    </xf>
    <xf numFmtId="167" fontId="5" fillId="0" borderId="0" xfId="0" applyNumberFormat="1" applyFont="1" applyAlignment="1" applyProtection="1">
      <alignment horizontal="left" vertical="center" wrapText="1"/>
      <protection locked="0"/>
    </xf>
    <xf numFmtId="0" fontId="2" fillId="3" borderId="0" xfId="0" applyFont="1" applyFill="1" applyAlignment="1" applyProtection="1"/>
    <xf numFmtId="49" fontId="12" fillId="0" borderId="0" xfId="0" applyNumberFormat="1" applyFont="1" applyBorder="1" applyAlignment="1" applyProtection="1">
      <alignment horizontal="left" vertical="top" wrapText="1"/>
      <protection locked="0"/>
    </xf>
    <xf numFmtId="1" fontId="12" fillId="0" borderId="0" xfId="0" applyNumberFormat="1" applyFont="1" applyBorder="1" applyProtection="1">
      <protection locked="0"/>
    </xf>
    <xf numFmtId="11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center" vertical="center" shrinkToFit="1"/>
    </xf>
    <xf numFmtId="2" fontId="3" fillId="0" borderId="0" xfId="1" applyNumberFormat="1" applyFont="1" applyAlignment="1">
      <alignment horizontal="right"/>
    </xf>
    <xf numFmtId="2" fontId="3" fillId="0" borderId="0" xfId="1" applyNumberFormat="1" applyAlignment="1">
      <alignment horizontal="right"/>
    </xf>
    <xf numFmtId="0" fontId="20" fillId="0" borderId="0" xfId="0" applyFont="1" applyFill="1" applyBorder="1" applyAlignment="1">
      <alignment horizontal="center" vertical="center" shrinkToFit="1"/>
    </xf>
    <xf numFmtId="0" fontId="20" fillId="0" borderId="0" xfId="0" applyFont="1"/>
    <xf numFmtId="2" fontId="0" fillId="0" borderId="0" xfId="0" applyNumberFormat="1" applyAlignment="1">
      <alignment horizontal="right"/>
    </xf>
    <xf numFmtId="2" fontId="20" fillId="3" borderId="0" xfId="0" applyNumberFormat="1" applyFont="1" applyFill="1" applyAlignment="1" applyProtection="1">
      <alignment horizontal="left" vertical="center"/>
    </xf>
    <xf numFmtId="1" fontId="25" fillId="0" borderId="0" xfId="0" applyNumberFormat="1" applyFont="1" applyAlignment="1">
      <alignment horizontal="left"/>
    </xf>
    <xf numFmtId="1" fontId="2" fillId="0" borderId="0" xfId="0" applyNumberFormat="1" applyFont="1" applyAlignment="1">
      <alignment horizontal="right"/>
    </xf>
    <xf numFmtId="1" fontId="2" fillId="0" borderId="0" xfId="0" applyNumberFormat="1" applyFont="1"/>
    <xf numFmtId="1" fontId="30" fillId="0" borderId="0" xfId="0" applyNumberFormat="1" applyFont="1"/>
    <xf numFmtId="49" fontId="4" fillId="2" borderId="0" xfId="0" applyNumberFormat="1" applyFont="1" applyFill="1" applyAlignment="1">
      <alignment horizontal="center" vertical="center" shrinkToFit="1"/>
    </xf>
    <xf numFmtId="49" fontId="9" fillId="0" borderId="5" xfId="0" applyNumberFormat="1" applyFon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shrinkToFit="1"/>
    </xf>
    <xf numFmtId="49" fontId="5" fillId="0" borderId="0" xfId="0" applyNumberFormat="1" applyFont="1" applyAlignment="1" applyProtection="1">
      <alignment horizontal="center" shrinkToFit="1"/>
      <protection locked="0"/>
    </xf>
    <xf numFmtId="14" fontId="5" fillId="0" borderId="0" xfId="0" applyNumberFormat="1" applyFont="1" applyAlignment="1" applyProtection="1">
      <alignment horizontal="center" shrinkToFit="1"/>
      <protection locked="0"/>
    </xf>
    <xf numFmtId="49" fontId="9" fillId="0" borderId="5" xfId="0" applyNumberFormat="1" applyFont="1" applyBorder="1" applyAlignment="1">
      <alignment horizontal="center" vertical="center" wrapText="1" shrinkToFit="1"/>
    </xf>
    <xf numFmtId="49" fontId="4" fillId="2" borderId="0" xfId="0" applyNumberFormat="1" applyFont="1" applyFill="1" applyAlignment="1">
      <alignment vertical="center"/>
    </xf>
    <xf numFmtId="49" fontId="17" fillId="6" borderId="0" xfId="0" applyNumberFormat="1" applyFont="1" applyFill="1" applyBorder="1" applyProtection="1"/>
    <xf numFmtId="49" fontId="14" fillId="6" borderId="0" xfId="0" applyNumberFormat="1" applyFont="1" applyFill="1" applyBorder="1" applyAlignment="1" applyProtection="1"/>
    <xf numFmtId="49" fontId="14" fillId="6" borderId="0" xfId="0" applyNumberFormat="1" applyFont="1" applyFill="1" applyBorder="1" applyProtection="1"/>
    <xf numFmtId="49" fontId="17" fillId="7" borderId="0" xfId="0" applyNumberFormat="1" applyFont="1" applyFill="1" applyBorder="1" applyProtection="1"/>
    <xf numFmtId="49" fontId="14" fillId="7" borderId="0" xfId="0" applyNumberFormat="1" applyFont="1" applyFill="1" applyBorder="1" applyProtection="1"/>
    <xf numFmtId="2" fontId="2" fillId="0" borderId="0" xfId="0" applyNumberFormat="1" applyFont="1" applyAlignment="1">
      <alignment horizontal="left"/>
    </xf>
    <xf numFmtId="2" fontId="2" fillId="0" borderId="0" xfId="0" applyNumberFormat="1" applyFont="1" applyAlignment="1">
      <alignment horizontal="right"/>
    </xf>
    <xf numFmtId="0" fontId="2" fillId="0" borderId="0" xfId="0" applyFont="1" applyAlignment="1">
      <alignment horizontal="center"/>
    </xf>
    <xf numFmtId="0" fontId="20" fillId="0" borderId="0" xfId="0" applyFont="1" applyAlignment="1">
      <alignment vertical="top"/>
    </xf>
    <xf numFmtId="0" fontId="20" fillId="3" borderId="0" xfId="0" applyFont="1" applyFill="1" applyProtection="1"/>
    <xf numFmtId="0" fontId="20" fillId="3" borderId="0" xfId="0" applyFont="1" applyFill="1"/>
    <xf numFmtId="49" fontId="39" fillId="6" borderId="0" xfId="0" applyNumberFormat="1" applyFont="1" applyFill="1" applyBorder="1" applyAlignment="1" applyProtection="1"/>
    <xf numFmtId="0" fontId="2" fillId="3" borderId="0" xfId="0" applyNumberFormat="1" applyFont="1" applyFill="1" applyAlignment="1" applyProtection="1">
      <alignment horizontal="left" vertical="center"/>
    </xf>
    <xf numFmtId="0" fontId="2" fillId="3" borderId="0" xfId="0" applyNumberFormat="1" applyFont="1" applyFill="1" applyAlignment="1" applyProtection="1">
      <alignment horizontal="left"/>
    </xf>
    <xf numFmtId="0" fontId="0" fillId="3" borderId="0" xfId="0" applyNumberFormat="1" applyFill="1" applyProtection="1"/>
    <xf numFmtId="0" fontId="0" fillId="3" borderId="0" xfId="0" applyNumberFormat="1" applyFill="1" applyAlignment="1" applyProtection="1">
      <alignment horizontal="center" vertical="center"/>
    </xf>
    <xf numFmtId="0" fontId="24" fillId="3" borderId="0" xfId="0" applyFont="1" applyFill="1" applyProtection="1"/>
    <xf numFmtId="0" fontId="24" fillId="3" borderId="0" xfId="0" applyNumberFormat="1" applyFont="1" applyFill="1" applyAlignment="1" applyProtection="1">
      <alignment horizontal="center" vertical="center"/>
    </xf>
    <xf numFmtId="49" fontId="2" fillId="3" borderId="0" xfId="0" applyNumberFormat="1" applyFont="1" applyFill="1" applyAlignment="1" applyProtection="1">
      <alignment horizontal="left"/>
    </xf>
    <xf numFmtId="49" fontId="0" fillId="3" borderId="0" xfId="0" applyNumberFormat="1" applyFill="1"/>
    <xf numFmtId="0" fontId="40" fillId="3" borderId="0" xfId="0" applyFont="1" applyFill="1"/>
    <xf numFmtId="0" fontId="0" fillId="3" borderId="0" xfId="0" applyFill="1" applyAlignment="1">
      <alignment horizontal="center" vertical="center" shrinkToFit="1"/>
    </xf>
    <xf numFmtId="0" fontId="0" fillId="3" borderId="1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shrinkToFit="1"/>
    </xf>
    <xf numFmtId="0" fontId="0" fillId="3" borderId="15" xfId="0" applyFill="1" applyBorder="1" applyAlignment="1">
      <alignment horizontal="center" vertical="center"/>
    </xf>
    <xf numFmtId="0" fontId="0" fillId="3" borderId="16" xfId="0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 shrinkToFit="1"/>
    </xf>
    <xf numFmtId="0" fontId="0" fillId="3" borderId="0" xfId="0" applyFill="1" applyProtection="1">
      <protection locked="0"/>
    </xf>
    <xf numFmtId="0" fontId="0" fillId="3" borderId="0" xfId="0" applyNumberFormat="1" applyFill="1"/>
    <xf numFmtId="0" fontId="0" fillId="3" borderId="0" xfId="0" applyNumberFormat="1" applyFill="1" applyAlignment="1">
      <alignment horizontal="right"/>
    </xf>
    <xf numFmtId="0" fontId="27" fillId="3" borderId="0" xfId="0" applyFont="1" applyFill="1"/>
    <xf numFmtId="0" fontId="27" fillId="3" borderId="0" xfId="0" applyNumberFormat="1" applyFont="1" applyFill="1"/>
    <xf numFmtId="0" fontId="27" fillId="3" borderId="0" xfId="0" applyFont="1" applyFill="1" applyAlignment="1">
      <alignment horizontal="center"/>
    </xf>
    <xf numFmtId="0" fontId="27" fillId="2" borderId="0" xfId="0" applyFont="1" applyFill="1"/>
    <xf numFmtId="0" fontId="27" fillId="2" borderId="0" xfId="0" applyNumberFormat="1" applyFont="1" applyFill="1"/>
    <xf numFmtId="0" fontId="27" fillId="2" borderId="0" xfId="0" applyFont="1" applyFill="1" applyAlignment="1">
      <alignment horizontal="center"/>
    </xf>
    <xf numFmtId="0" fontId="41" fillId="3" borderId="0" xfId="0" applyFont="1" applyFill="1"/>
    <xf numFmtId="0" fontId="42" fillId="3" borderId="0" xfId="0" applyFont="1" applyFill="1"/>
    <xf numFmtId="0" fontId="0" fillId="3" borderId="0" xfId="0" applyFill="1" applyProtection="1">
      <protection locked="0" hidden="1"/>
    </xf>
    <xf numFmtId="0" fontId="35" fillId="3" borderId="2" xfId="0" applyNumberFormat="1" applyFont="1" applyFill="1" applyBorder="1" applyAlignment="1">
      <alignment horizontal="center" vertical="center" wrapText="1"/>
    </xf>
    <xf numFmtId="0" fontId="12" fillId="4" borderId="0" xfId="0" applyFont="1" applyFill="1" applyAlignment="1" applyProtection="1">
      <alignment horizontal="left" vertical="center"/>
      <protection locked="0"/>
    </xf>
    <xf numFmtId="49" fontId="12" fillId="0" borderId="0" xfId="0" applyNumberFormat="1" applyFont="1" applyAlignment="1" applyProtection="1">
      <protection locked="0"/>
    </xf>
    <xf numFmtId="0" fontId="0" fillId="9" borderId="0" xfId="0" applyFill="1" applyProtection="1"/>
    <xf numFmtId="2" fontId="20" fillId="3" borderId="0" xfId="0" applyNumberFormat="1" applyFont="1" applyFill="1" applyAlignment="1" applyProtection="1">
      <alignment horizontal="center" vertical="center"/>
    </xf>
    <xf numFmtId="0" fontId="20" fillId="3" borderId="0" xfId="0" applyFont="1" applyFill="1" applyAlignment="1" applyProtection="1">
      <alignment horizontal="center"/>
    </xf>
    <xf numFmtId="0" fontId="0" fillId="9" borderId="0" xfId="0" applyFill="1" applyAlignment="1" applyProtection="1">
      <alignment shrinkToFit="1"/>
    </xf>
    <xf numFmtId="14" fontId="0" fillId="10" borderId="0" xfId="0" applyNumberFormat="1" applyFill="1" applyAlignment="1" applyProtection="1">
      <alignment horizontal="right" vertical="center"/>
    </xf>
    <xf numFmtId="0" fontId="0" fillId="10" borderId="0" xfId="0" applyFill="1" applyProtection="1"/>
    <xf numFmtId="0" fontId="0" fillId="10" borderId="0" xfId="0" applyFill="1" applyAlignment="1" applyProtection="1">
      <alignment shrinkToFit="1"/>
    </xf>
    <xf numFmtId="2" fontId="0" fillId="10" borderId="0" xfId="0" applyNumberFormat="1" applyFill="1" applyProtection="1"/>
    <xf numFmtId="0" fontId="0" fillId="10" borderId="0" xfId="0" applyFill="1" applyAlignment="1" applyProtection="1"/>
    <xf numFmtId="14" fontId="5" fillId="0" borderId="0" xfId="2" applyNumberFormat="1" applyFont="1"/>
    <xf numFmtId="0" fontId="5" fillId="0" borderId="0" xfId="2" applyFont="1"/>
    <xf numFmtId="0" fontId="5" fillId="0" borderId="0" xfId="2" applyFont="1" applyProtection="1">
      <protection locked="0"/>
    </xf>
    <xf numFmtId="0" fontId="12" fillId="0" borderId="0" xfId="2"/>
    <xf numFmtId="14" fontId="0" fillId="4" borderId="0" xfId="0" applyNumberFormat="1" applyFill="1" applyAlignment="1" applyProtection="1">
      <alignment horizontal="right" vertical="center" shrinkToFit="1"/>
    </xf>
    <xf numFmtId="0" fontId="0" fillId="3" borderId="0" xfId="0" applyFill="1" applyBorder="1" applyProtection="1"/>
    <xf numFmtId="0" fontId="0" fillId="3" borderId="0" xfId="0" applyFill="1" applyBorder="1" applyAlignment="1" applyProtection="1"/>
    <xf numFmtId="14" fontId="12" fillId="4" borderId="0" xfId="0" applyNumberFormat="1" applyFont="1" applyFill="1" applyBorder="1" applyAlignment="1" applyProtection="1">
      <alignment shrinkToFit="1"/>
      <protection locked="0"/>
    </xf>
    <xf numFmtId="0" fontId="12" fillId="4" borderId="0" xfId="0" applyFont="1" applyFill="1" applyBorder="1" applyAlignment="1" applyProtection="1">
      <alignment horizontal="left" vertical="center"/>
      <protection locked="0"/>
    </xf>
    <xf numFmtId="2" fontId="0" fillId="4" borderId="0" xfId="0" applyNumberFormat="1" applyFill="1" applyBorder="1" applyAlignment="1" applyProtection="1">
      <alignment horizontal="right" vertical="center"/>
      <protection locked="0"/>
    </xf>
    <xf numFmtId="0" fontId="20" fillId="0" borderId="0" xfId="0" applyFont="1" applyAlignment="1">
      <alignment horizontal="center" vertical="center"/>
    </xf>
    <xf numFmtId="167" fontId="2" fillId="0" borderId="0" xfId="0" applyNumberFormat="1" applyFont="1" applyAlignment="1">
      <alignment horizontal="right" indent="2"/>
    </xf>
    <xf numFmtId="2" fontId="2" fillId="0" borderId="0" xfId="0" applyNumberFormat="1" applyFont="1" applyAlignment="1">
      <alignment horizontal="right" indent="2"/>
    </xf>
    <xf numFmtId="0" fontId="2" fillId="0" borderId="0" xfId="0" applyFont="1" applyAlignment="1">
      <alignment horizontal="left" vertical="center"/>
    </xf>
    <xf numFmtId="0" fontId="25" fillId="3" borderId="0" xfId="0" applyFont="1" applyFill="1" applyAlignment="1">
      <alignment horizontal="center"/>
    </xf>
    <xf numFmtId="2" fontId="25" fillId="2" borderId="0" xfId="0" applyNumberFormat="1" applyFont="1" applyFill="1" applyAlignment="1">
      <alignment horizontal="right" indent="1"/>
    </xf>
    <xf numFmtId="2" fontId="34" fillId="3" borderId="0" xfId="0" applyNumberFormat="1" applyFont="1" applyFill="1" applyAlignment="1">
      <alignment horizontal="right" indent="1"/>
    </xf>
    <xf numFmtId="2" fontId="25" fillId="3" borderId="0" xfId="0" applyNumberFormat="1" applyFont="1" applyFill="1" applyAlignment="1">
      <alignment horizontal="right" indent="1"/>
    </xf>
    <xf numFmtId="0" fontId="12" fillId="3" borderId="3" xfId="0" applyFont="1" applyFill="1" applyBorder="1" applyAlignment="1">
      <alignment horizontal="center" vertical="center" shrinkToFit="1"/>
    </xf>
    <xf numFmtId="2" fontId="34" fillId="2" borderId="0" xfId="0" applyNumberFormat="1" applyFont="1" applyFill="1" applyAlignment="1">
      <alignment horizontal="right" indent="1"/>
    </xf>
    <xf numFmtId="167" fontId="5" fillId="0" borderId="0" xfId="0" applyNumberFormat="1" applyFont="1" applyAlignment="1">
      <alignment horizontal="center" vertical="center" wrapText="1" shrinkToFit="1"/>
    </xf>
    <xf numFmtId="0" fontId="12" fillId="0" borderId="0" xfId="3"/>
    <xf numFmtId="14" fontId="5" fillId="0" borderId="0" xfId="3" applyNumberFormat="1" applyFont="1"/>
    <xf numFmtId="14" fontId="5" fillId="0" borderId="0" xfId="2" applyNumberFormat="1" applyFont="1"/>
    <xf numFmtId="0" fontId="5" fillId="0" borderId="0" xfId="2" applyFont="1"/>
    <xf numFmtId="0" fontId="0" fillId="3" borderId="18" xfId="0" applyFill="1" applyBorder="1" applyProtection="1"/>
    <xf numFmtId="0" fontId="2" fillId="3" borderId="19" xfId="0" applyFont="1" applyFill="1" applyBorder="1" applyAlignment="1" applyProtection="1">
      <alignment horizontal="center"/>
    </xf>
    <xf numFmtId="0" fontId="0" fillId="3" borderId="19" xfId="0" applyFill="1" applyBorder="1" applyProtection="1"/>
    <xf numFmtId="0" fontId="2" fillId="3" borderId="19" xfId="0" applyFont="1" applyFill="1" applyBorder="1" applyProtection="1"/>
    <xf numFmtId="0" fontId="0" fillId="3" borderId="20" xfId="0" applyFill="1" applyBorder="1" applyProtection="1"/>
    <xf numFmtId="0" fontId="0" fillId="3" borderId="21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Protection="1"/>
    <xf numFmtId="0" fontId="0" fillId="3" borderId="24" xfId="0" applyFill="1" applyBorder="1" applyProtection="1"/>
    <xf numFmtId="2" fontId="0" fillId="3" borderId="24" xfId="0" applyNumberFormat="1" applyFill="1" applyBorder="1" applyAlignment="1" applyProtection="1">
      <alignment horizontal="right"/>
    </xf>
    <xf numFmtId="0" fontId="0" fillId="3" borderId="25" xfId="0" applyFill="1" applyBorder="1" applyProtection="1"/>
    <xf numFmtId="0" fontId="12" fillId="3" borderId="0" xfId="0" applyFont="1" applyFill="1" applyBorder="1" applyAlignment="1" applyProtection="1">
      <alignment horizontal="right"/>
    </xf>
    <xf numFmtId="14" fontId="0" fillId="4" borderId="0" xfId="0" applyNumberFormat="1" applyFill="1" applyBorder="1" applyAlignment="1" applyProtection="1">
      <alignment horizontal="right" vertical="center" shrinkToFit="1"/>
      <protection locked="0"/>
    </xf>
    <xf numFmtId="2" fontId="12" fillId="4" borderId="0" xfId="0" applyNumberFormat="1" applyFont="1" applyFill="1" applyBorder="1" applyAlignment="1" applyProtection="1">
      <alignment horizontal="right" vertical="center"/>
      <protection locked="0"/>
    </xf>
    <xf numFmtId="0" fontId="0" fillId="3" borderId="0" xfId="0" applyFill="1" applyAlignment="1" applyProtection="1"/>
    <xf numFmtId="0" fontId="20" fillId="3" borderId="0" xfId="0" applyFont="1" applyFill="1" applyAlignment="1" applyProtection="1">
      <alignment horizontal="center" vertical="center"/>
    </xf>
    <xf numFmtId="0" fontId="12" fillId="3" borderId="0" xfId="0" applyFont="1" applyFill="1" applyProtection="1"/>
    <xf numFmtId="0" fontId="12" fillId="3" borderId="20" xfId="0" applyFont="1" applyFill="1" applyBorder="1" applyProtection="1"/>
    <xf numFmtId="0" fontId="20" fillId="3" borderId="22" xfId="0" applyFont="1" applyFill="1" applyBorder="1" applyAlignment="1" applyProtection="1">
      <alignment horizontal="center"/>
    </xf>
    <xf numFmtId="2" fontId="12" fillId="4" borderId="0" xfId="0" applyNumberFormat="1" applyFont="1" applyFill="1" applyAlignment="1" applyProtection="1">
      <alignment horizontal="right" vertical="center"/>
      <protection locked="0"/>
    </xf>
    <xf numFmtId="49" fontId="12" fillId="0" borderId="0" xfId="0" applyNumberFormat="1" applyFont="1" applyAlignment="1">
      <alignment horizontal="center" vertical="top" wrapText="1"/>
    </xf>
    <xf numFmtId="49" fontId="13" fillId="8" borderId="0" xfId="0" applyNumberFormat="1" applyFont="1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Alignment="1">
      <alignment horizontal="center" vertical="center"/>
    </xf>
    <xf numFmtId="49" fontId="20" fillId="3" borderId="0" xfId="0" applyNumberFormat="1" applyFont="1" applyFill="1" applyBorder="1" applyAlignment="1" applyProtection="1">
      <alignment horizontal="center"/>
    </xf>
    <xf numFmtId="49" fontId="14" fillId="3" borderId="0" xfId="0" applyNumberFormat="1" applyFont="1" applyFill="1" applyAlignment="1" applyProtection="1"/>
    <xf numFmtId="0" fontId="0" fillId="0" borderId="0" xfId="0" applyAlignment="1"/>
    <xf numFmtId="49" fontId="19" fillId="3" borderId="0" xfId="0" applyNumberFormat="1" applyFont="1" applyFill="1" applyAlignment="1" applyProtection="1"/>
    <xf numFmtId="49" fontId="11" fillId="3" borderId="0" xfId="0" applyNumberFormat="1" applyFont="1" applyFill="1" applyBorder="1" applyAlignment="1" applyProtection="1">
      <alignment horizontal="center"/>
    </xf>
    <xf numFmtId="49" fontId="12" fillId="3" borderId="0" xfId="0" applyNumberFormat="1" applyFont="1" applyFill="1" applyAlignment="1" applyProtection="1">
      <alignment horizontal="center"/>
    </xf>
    <xf numFmtId="49" fontId="14" fillId="3" borderId="0" xfId="0" applyNumberFormat="1" applyFont="1" applyFill="1" applyBorder="1" applyAlignment="1" applyProtection="1">
      <alignment horizontal="center"/>
    </xf>
    <xf numFmtId="49" fontId="20" fillId="4" borderId="0" xfId="0" applyNumberFormat="1" applyFont="1" applyFill="1" applyBorder="1" applyAlignment="1" applyProtection="1">
      <alignment horizontal="center" vertical="center"/>
      <protection locked="0"/>
    </xf>
    <xf numFmtId="49" fontId="38" fillId="4" borderId="0" xfId="0" applyNumberFormat="1" applyFont="1" applyFill="1" applyBorder="1" applyAlignment="1" applyProtection="1">
      <alignment horizontal="center" vertical="center" shrinkToFit="1"/>
      <protection locked="0"/>
    </xf>
    <xf numFmtId="49" fontId="38" fillId="0" borderId="0" xfId="0" applyNumberFormat="1" applyFont="1" applyBorder="1" applyAlignment="1" applyProtection="1">
      <alignment shrinkToFit="1"/>
      <protection locked="0"/>
    </xf>
    <xf numFmtId="164" fontId="12" fillId="4" borderId="0" xfId="1" applyNumberFormat="1" applyFont="1" applyFill="1" applyBorder="1" applyAlignment="1" applyProtection="1">
      <alignment horizontal="center" vertical="center"/>
      <protection locked="0"/>
    </xf>
    <xf numFmtId="164" fontId="12" fillId="0" borderId="0" xfId="0" applyNumberFormat="1" applyFont="1" applyAlignment="1" applyProtection="1">
      <protection locked="0"/>
    </xf>
    <xf numFmtId="0" fontId="24" fillId="3" borderId="0" xfId="0" applyFont="1" applyFill="1" applyBorder="1" applyAlignment="1" applyProtection="1">
      <alignment horizontal="center" vertical="top"/>
    </xf>
    <xf numFmtId="49" fontId="11" fillId="4" borderId="0" xfId="0" applyNumberFormat="1" applyFont="1" applyFill="1" applyBorder="1" applyAlignment="1" applyProtection="1">
      <alignment horizontal="center"/>
      <protection locked="0"/>
    </xf>
    <xf numFmtId="49" fontId="2" fillId="4" borderId="0" xfId="0" applyNumberFormat="1" applyFont="1" applyFill="1" applyBorder="1" applyAlignment="1" applyProtection="1">
      <alignment horizontal="center" vertical="center"/>
      <protection locked="0"/>
    </xf>
    <xf numFmtId="49" fontId="2" fillId="4" borderId="0" xfId="0" applyNumberFormat="1" applyFont="1" applyFill="1" applyBorder="1" applyAlignment="1" applyProtection="1">
      <protection locked="0"/>
    </xf>
    <xf numFmtId="0" fontId="22" fillId="3" borderId="0" xfId="0" applyFont="1" applyFill="1" applyBorder="1" applyAlignment="1" applyProtection="1">
      <alignment horizontal="center" vertical="center"/>
    </xf>
    <xf numFmtId="0" fontId="35" fillId="0" borderId="0" xfId="0" applyFont="1" applyAlignment="1" applyProtection="1"/>
    <xf numFmtId="49" fontId="35" fillId="0" borderId="0" xfId="0" applyNumberFormat="1" applyFont="1" applyFill="1" applyAlignment="1" applyProtection="1"/>
    <xf numFmtId="0" fontId="7" fillId="0" borderId="0" xfId="0" applyFont="1" applyAlignment="1">
      <alignment vertical="center"/>
    </xf>
    <xf numFmtId="0" fontId="0" fillId="0" borderId="0" xfId="0" applyAlignment="1">
      <alignment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0" fillId="3" borderId="0" xfId="0" applyFill="1" applyAlignment="1" applyProtection="1"/>
    <xf numFmtId="165" fontId="20" fillId="4" borderId="0" xfId="0" applyNumberFormat="1" applyFont="1" applyFill="1" applyAlignment="1" applyProtection="1">
      <alignment horizontal="center" vertical="center"/>
    </xf>
    <xf numFmtId="165" fontId="20" fillId="0" borderId="0" xfId="0" applyNumberFormat="1" applyFont="1" applyAlignment="1">
      <alignment horizontal="center" vertical="center"/>
    </xf>
    <xf numFmtId="0" fontId="22" fillId="3" borderId="0" xfId="0" applyFont="1" applyFill="1" applyAlignment="1" applyProtection="1">
      <alignment horizontal="center" vertical="center" wrapText="1"/>
    </xf>
    <xf numFmtId="0" fontId="26" fillId="3" borderId="0" xfId="0" applyFont="1" applyFill="1" applyAlignment="1" applyProtection="1"/>
    <xf numFmtId="0" fontId="26" fillId="0" borderId="0" xfId="0" applyFont="1" applyAlignment="1"/>
    <xf numFmtId="0" fontId="20" fillId="3" borderId="0" xfId="0" applyFont="1" applyFill="1" applyAlignment="1" applyProtection="1">
      <alignment horizontal="center" vertical="center"/>
    </xf>
    <xf numFmtId="0" fontId="2" fillId="3" borderId="0" xfId="0" applyFont="1" applyFill="1" applyBorder="1" applyAlignment="1" applyProtection="1">
      <alignment horizontal="center" vertical="center"/>
    </xf>
    <xf numFmtId="0" fontId="0" fillId="0" borderId="0" xfId="0" applyBorder="1" applyAlignment="1">
      <alignment horizontal="center" vertical="center"/>
    </xf>
    <xf numFmtId="49" fontId="12" fillId="4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12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protection locked="0"/>
    </xf>
    <xf numFmtId="0" fontId="0" fillId="0" borderId="0" xfId="0" applyAlignment="1" applyProtection="1">
      <protection locked="0"/>
    </xf>
    <xf numFmtId="166" fontId="2" fillId="3" borderId="0" xfId="0" applyNumberFormat="1" applyFont="1" applyFill="1" applyAlignment="1" applyProtection="1">
      <alignment horizontal="left"/>
    </xf>
    <xf numFmtId="166" fontId="0" fillId="0" borderId="0" xfId="0" applyNumberFormat="1" applyAlignment="1" applyProtection="1"/>
    <xf numFmtId="49" fontId="2" fillId="3" borderId="0" xfId="0" applyNumberFormat="1" applyFont="1" applyFill="1" applyAlignment="1" applyProtection="1">
      <alignment horizontal="left"/>
    </xf>
    <xf numFmtId="49" fontId="0" fillId="0" borderId="0" xfId="0" applyNumberFormat="1" applyAlignment="1" applyProtection="1"/>
    <xf numFmtId="0" fontId="2" fillId="3" borderId="0" xfId="0" applyNumberFormat="1" applyFont="1" applyFill="1" applyAlignment="1" applyProtection="1">
      <alignment horizontal="left" vertical="center"/>
    </xf>
    <xf numFmtId="0" fontId="2" fillId="3" borderId="0" xfId="0" applyFont="1" applyFill="1" applyAlignment="1" applyProtection="1">
      <alignment horizontal="left"/>
    </xf>
    <xf numFmtId="0" fontId="12" fillId="4" borderId="0" xfId="0" applyFont="1" applyFill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20" fillId="0" borderId="0" xfId="0" applyFont="1" applyAlignment="1">
      <alignment horizontal="left" vertical="center"/>
    </xf>
    <xf numFmtId="0" fontId="26" fillId="0" borderId="0" xfId="0" applyFont="1" applyAlignment="1">
      <alignment horizontal="right" vertical="center"/>
    </xf>
    <xf numFmtId="0" fontId="28" fillId="0" borderId="0" xfId="0" applyFont="1" applyAlignment="1">
      <alignment horizontal="left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49" fontId="12" fillId="0" borderId="0" xfId="0" applyNumberFormat="1" applyFont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1" fontId="25" fillId="0" borderId="0" xfId="0" applyNumberFormat="1" applyFont="1" applyAlignment="1">
      <alignment wrapText="1"/>
    </xf>
    <xf numFmtId="1" fontId="30" fillId="0" borderId="0" xfId="0" applyNumberFormat="1" applyFont="1" applyAlignment="1">
      <alignment horizontal="justify" vertical="top" wrapText="1"/>
    </xf>
    <xf numFmtId="1" fontId="31" fillId="0" borderId="0" xfId="0" applyNumberFormat="1" applyFont="1" applyAlignment="1">
      <alignment horizontal="justify" vertical="top" wrapText="1"/>
    </xf>
    <xf numFmtId="1" fontId="30" fillId="0" borderId="0" xfId="0" applyNumberFormat="1" applyFont="1" applyAlignment="1">
      <alignment wrapText="1"/>
    </xf>
    <xf numFmtId="49" fontId="12" fillId="0" borderId="0" xfId="0" applyNumberFormat="1" applyFont="1" applyBorder="1" applyAlignment="1">
      <alignment horizontal="center" vertical="top" wrapText="1"/>
    </xf>
    <xf numFmtId="0" fontId="0" fillId="0" borderId="0" xfId="0" applyBorder="1" applyAlignment="1">
      <alignment horizontal="center" vertical="top" wrapText="1"/>
    </xf>
    <xf numFmtId="14" fontId="12" fillId="0" borderId="13" xfId="0" applyNumberFormat="1" applyFont="1" applyBorder="1" applyAlignment="1">
      <alignment horizontal="center" vertical="top" wrapText="1"/>
    </xf>
    <xf numFmtId="0" fontId="0" fillId="0" borderId="13" xfId="0" applyBorder="1" applyAlignment="1">
      <alignment horizontal="center" vertical="top" wrapText="1"/>
    </xf>
    <xf numFmtId="1" fontId="29" fillId="0" borderId="0" xfId="0" applyNumberFormat="1" applyFont="1" applyBorder="1" applyAlignment="1"/>
    <xf numFmtId="0" fontId="0" fillId="0" borderId="0" xfId="0" applyBorder="1" applyAlignment="1"/>
    <xf numFmtId="0" fontId="0" fillId="0" borderId="9" xfId="0" applyBorder="1" applyAlignment="1"/>
    <xf numFmtId="49" fontId="2" fillId="0" borderId="0" xfId="0" applyNumberFormat="1" applyFont="1" applyBorder="1" applyAlignment="1"/>
    <xf numFmtId="49" fontId="2" fillId="0" borderId="0" xfId="0" applyNumberFormat="1" applyFont="1" applyBorder="1" applyAlignment="1">
      <alignment horizontal="left" vertical="top" wrapText="1"/>
    </xf>
    <xf numFmtId="0" fontId="2" fillId="0" borderId="0" xfId="0" applyFont="1" applyBorder="1" applyAlignment="1">
      <alignment horizontal="left" vertical="top" wrapText="1"/>
    </xf>
    <xf numFmtId="0" fontId="2" fillId="0" borderId="9" xfId="0" applyFont="1" applyBorder="1" applyAlignment="1">
      <alignment horizontal="left" vertical="top" wrapText="1"/>
    </xf>
    <xf numFmtId="49" fontId="12" fillId="0" borderId="11" xfId="0" applyNumberFormat="1" applyFont="1" applyBorder="1" applyAlignment="1">
      <alignment horizontal="center" vertical="top" wrapText="1"/>
    </xf>
    <xf numFmtId="0" fontId="0" fillId="0" borderId="11" xfId="0" applyBorder="1" applyAlignment="1">
      <alignment horizontal="center" vertical="top" wrapText="1"/>
    </xf>
    <xf numFmtId="1" fontId="12" fillId="0" borderId="0" xfId="0" applyNumberFormat="1" applyFont="1" applyAlignment="1">
      <alignment horizontal="right"/>
    </xf>
    <xf numFmtId="1" fontId="12" fillId="0" borderId="0" xfId="0" applyNumberFormat="1" applyFont="1" applyAlignment="1">
      <alignment shrinkToFit="1"/>
    </xf>
    <xf numFmtId="1" fontId="32" fillId="0" borderId="7" xfId="0" applyNumberFormat="1" applyFont="1" applyBorder="1" applyAlignment="1">
      <alignment horizontal="center" vertical="center" wrapText="1"/>
    </xf>
    <xf numFmtId="0" fontId="0" fillId="0" borderId="13" xfId="0" applyBorder="1" applyAlignment="1"/>
    <xf numFmtId="0" fontId="0" fillId="0" borderId="14" xfId="0" applyBorder="1" applyAlignment="1"/>
    <xf numFmtId="1" fontId="36" fillId="0" borderId="10" xfId="0" applyNumberFormat="1" applyFont="1" applyBorder="1" applyAlignment="1">
      <alignment horizontal="center" vertical="top" wrapText="1"/>
    </xf>
    <xf numFmtId="0" fontId="37" fillId="0" borderId="11" xfId="0" applyFont="1" applyBorder="1" applyAlignment="1">
      <alignment horizontal="center" vertical="top"/>
    </xf>
    <xf numFmtId="0" fontId="37" fillId="0" borderId="12" xfId="0" applyFont="1" applyBorder="1" applyAlignment="1">
      <alignment horizontal="center" vertical="top"/>
    </xf>
    <xf numFmtId="49" fontId="2" fillId="0" borderId="0" xfId="0" applyNumberFormat="1" applyFont="1" applyBorder="1" applyAlignment="1" applyProtection="1">
      <protection locked="0"/>
    </xf>
    <xf numFmtId="49" fontId="2" fillId="0" borderId="0" xfId="0" applyNumberFormat="1" applyFont="1" applyBorder="1" applyAlignment="1" applyProtection="1">
      <alignment horizontal="left" vertical="top" wrapText="1"/>
      <protection locked="0"/>
    </xf>
    <xf numFmtId="0" fontId="0" fillId="0" borderId="0" xfId="0" applyAlignment="1">
      <alignment horizontal="left" vertical="top" wrapText="1"/>
    </xf>
    <xf numFmtId="49" fontId="2" fillId="0" borderId="0" xfId="0" applyNumberFormat="1" applyFont="1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1" fontId="29" fillId="0" borderId="0" xfId="0" applyNumberFormat="1" applyFont="1" applyAlignment="1"/>
    <xf numFmtId="0" fontId="12" fillId="0" borderId="0" xfId="0" applyFont="1" applyAlignment="1">
      <alignment horizontal="center" vertical="top" wrapText="1"/>
    </xf>
    <xf numFmtId="1" fontId="32" fillId="0" borderId="0" xfId="0" applyNumberFormat="1" applyFont="1" applyBorder="1" applyAlignment="1">
      <alignment horizontal="justify" vertical="center" wrapText="1"/>
    </xf>
    <xf numFmtId="49" fontId="12" fillId="0" borderId="0" xfId="0" applyNumberFormat="1" applyFont="1" applyAlignment="1">
      <alignment horizontal="justify" vertical="top" wrapText="1"/>
    </xf>
    <xf numFmtId="49" fontId="33" fillId="0" borderId="0" xfId="0" applyNumberFormat="1" applyFont="1" applyAlignment="1">
      <alignment horizontal="justify" vertical="top" wrapText="1"/>
    </xf>
    <xf numFmtId="0" fontId="0" fillId="3" borderId="0" xfId="0" applyFill="1" applyBorder="1" applyAlignment="1">
      <alignment horizontal="center" vertical="center"/>
    </xf>
  </cellXfs>
  <cellStyles count="4">
    <cellStyle name="Normal" xfId="0" builtinId="0"/>
    <cellStyle name="Normal 2" xfId="3"/>
    <cellStyle name="Normal_cotisations_ascc2" xfId="1"/>
    <cellStyle name="Normal_Feuil1" xfId="2"/>
  </cellStyles>
  <dxfs count="3"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12"/>
      </font>
    </dxf>
    <dxf>
      <font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Drop" dropStyle="combo" dx="16" fmlaLink="section!$G$3" fmlaRange="section!$A$1:$A$35" sel="6" val="8"/>
</file>

<file path=xl/ctrlProps/ctrlProp36.xml><?xml version="1.0" encoding="utf-8"?>
<formControlPr xmlns="http://schemas.microsoft.com/office/spreadsheetml/2009/9/main" objectType="Drop" dropStyle="combo" dx="16" fmlaLink="section!$G$4" fmlaRange="section!$A1:$A35" val="0"/>
</file>

<file path=xl/ctrlProps/ctrlProp37.xml><?xml version="1.0" encoding="utf-8"?>
<formControlPr xmlns="http://schemas.microsoft.com/office/spreadsheetml/2009/9/main" objectType="Drop" dropStyle="combo" dx="16" fmlaLink="section!$G$5" fmlaRange="section!$A1:$A35" val="8"/>
</file>

<file path=xl/ctrlProps/ctrlProp38.xml><?xml version="1.0" encoding="utf-8"?>
<formControlPr xmlns="http://schemas.microsoft.com/office/spreadsheetml/2009/9/main" objectType="Drop" dropStyle="combo" dx="16" fmlaLink="section!$G$6" fmlaRange="section!$A$1:$A$35" val="0"/>
</file>

<file path=xl/ctrlProps/ctrlProp39.xml><?xml version="1.0" encoding="utf-8"?>
<formControlPr xmlns="http://schemas.microsoft.com/office/spreadsheetml/2009/9/main" objectType="Drop" dropStyle="combo" dx="16" fmlaLink="section!$G$7" fmlaRange="section!$A$1:$A$35" val="21"/>
</file>

<file path=xl/ctrlProps/ctrlProp40.xml><?xml version="1.0" encoding="utf-8"?>
<formControlPr xmlns="http://schemas.microsoft.com/office/spreadsheetml/2009/9/main" objectType="Drop" dropStyle="combo" dx="16" fmlaLink="section!$G$2" fmlaRange="section!$C1:$C13" sel="10" val="4"/>
</file>

<file path=xl/ctrlProps/ctrlProp41.xml><?xml version="1.0" encoding="utf-8"?>
<formControlPr xmlns="http://schemas.microsoft.com/office/spreadsheetml/2009/9/main" objectType="Drop" dropStyle="combo" dx="16" fmlaLink="section!$G$8" fmlaRange="section!$C$1:$C$13" val="0"/>
</file>

<file path=xl/ctrlProps/ctrlProp42.xml><?xml version="1.0" encoding="utf-8"?>
<formControlPr xmlns="http://schemas.microsoft.com/office/spreadsheetml/2009/9/main" objectType="Radio" firstButton="1" lockText="1"/>
</file>

<file path=xl/ctrlProps/ctrlProp43.xml><?xml version="1.0" encoding="utf-8"?>
<formControlPr xmlns="http://schemas.microsoft.com/office/spreadsheetml/2009/9/main" objectType="Drop" dropStyle="combo" dx="16" fmlaLink="section!$G$9" fmlaRange="section!$A$1:$A$35" val="0"/>
</file>

<file path=xl/ctrlProps/ctrlProp44.xml><?xml version="1.0" encoding="utf-8"?>
<formControlPr xmlns="http://schemas.microsoft.com/office/spreadsheetml/2009/9/main" objectType="Radio" checked="Checked" lockText="1" noThreeD="1"/>
</file>

<file path=xl/ctrlProps/ctrlProp45.xml><?xml version="1.0" encoding="utf-8"?>
<formControlPr xmlns="http://schemas.microsoft.com/office/spreadsheetml/2009/9/main" objectType="Label" lockText="1"/>
</file>

<file path=xl/ctrlProps/ctrlProp46.xml><?xml version="1.0" encoding="utf-8"?>
<formControlPr xmlns="http://schemas.microsoft.com/office/spreadsheetml/2009/9/main" objectType="Label" lockText="1"/>
</file>

<file path=xl/ctrlProps/ctrlProp47.xml><?xml version="1.0" encoding="utf-8"?>
<formControlPr xmlns="http://schemas.microsoft.com/office/spreadsheetml/2009/9/main" objectType="Label" lockText="1"/>
</file>

<file path=xl/ctrlProps/ctrlProp48.xml><?xml version="1.0" encoding="utf-8"?>
<formControlPr xmlns="http://schemas.microsoft.com/office/spreadsheetml/2009/9/main" objectType="Label" lockText="1"/>
</file>

<file path=xl/ctrlProps/ctrlProp49.xml><?xml version="1.0" encoding="utf-8"?>
<formControlPr xmlns="http://schemas.microsoft.com/office/spreadsheetml/2009/9/main" objectType="Label" lockText="1"/>
</file>

<file path=xl/ctrlProps/ctrlProp50.xml><?xml version="1.0" encoding="utf-8"?>
<formControlPr xmlns="http://schemas.microsoft.com/office/spreadsheetml/2009/9/main" objectType="Label" lockText="1"/>
</file>

<file path=xl/ctrlProps/ctrlProp51.xml><?xml version="1.0" encoding="utf-8"?>
<formControlPr xmlns="http://schemas.microsoft.com/office/spreadsheetml/2009/9/main" objectType="Label" lockText="1"/>
</file>

<file path=xl/ctrlProps/ctrlProp52.xml><?xml version="1.0" encoding="utf-8"?>
<formControlPr xmlns="http://schemas.microsoft.com/office/spreadsheetml/2009/9/main" objectType="Label" lockText="1"/>
</file>

<file path=xl/ctrlProps/ctrlProp53.xml><?xml version="1.0" encoding="utf-8"?>
<formControlPr xmlns="http://schemas.microsoft.com/office/spreadsheetml/2009/9/main" objectType="Label" lockText="1"/>
</file>

<file path=xl/ctrlProps/ctrlProp54.xml><?xml version="1.0" encoding="utf-8"?>
<formControlPr xmlns="http://schemas.microsoft.com/office/spreadsheetml/2009/9/main" objectType="Label" lockText="1"/>
</file>

<file path=xl/ctrlProps/ctrlProp55.xml><?xml version="1.0" encoding="utf-8"?>
<formControlPr xmlns="http://schemas.microsoft.com/office/spreadsheetml/2009/9/main" objectType="Label" lockText="1"/>
</file>

<file path=xl/ctrlProps/ctrlProp56.xml><?xml version="1.0" encoding="utf-8"?>
<formControlPr xmlns="http://schemas.microsoft.com/office/spreadsheetml/2009/9/main" objectType="Label" lockText="1"/>
</file>

<file path=xl/ctrlProps/ctrlProp57.xml><?xml version="1.0" encoding="utf-8"?>
<formControlPr xmlns="http://schemas.microsoft.com/office/spreadsheetml/2009/9/main" objectType="Label" lockText="1"/>
</file>

<file path=xl/ctrlProps/ctrlProp58.xml><?xml version="1.0" encoding="utf-8"?>
<formControlPr xmlns="http://schemas.microsoft.com/office/spreadsheetml/2009/9/main" objectType="Label" lockText="1"/>
</file>

<file path=xl/ctrlProps/ctrlProp59.xml><?xml version="1.0" encoding="utf-8"?>
<formControlPr xmlns="http://schemas.microsoft.com/office/spreadsheetml/2009/9/main" objectType="Label" lockText="1"/>
</file>

<file path=xl/ctrlProps/ctrlProp60.xml><?xml version="1.0" encoding="utf-8"?>
<formControlPr xmlns="http://schemas.microsoft.com/office/spreadsheetml/2009/9/main" objectType="Label" lockText="1"/>
</file>

<file path=xl/ctrlProps/ctrlProp61.xml><?xml version="1.0" encoding="utf-8"?>
<formControlPr xmlns="http://schemas.microsoft.com/office/spreadsheetml/2009/9/main" objectType="GBox"/>
</file>

<file path=xl/ctrlProps/ctrlProp62.xml><?xml version="1.0" encoding="utf-8"?>
<formControlPr xmlns="http://schemas.microsoft.com/office/spreadsheetml/2009/9/main" objectType="Drop" dropStyle="combo" dx="16" fmlaLink="section!$G$11" fmlaRange="section!$A$1:$A$35" sel="6" val="0"/>
</file>

<file path=xl/ctrlProps/ctrlProp63.xml><?xml version="1.0" encoding="utf-8"?>
<formControlPr xmlns="http://schemas.microsoft.com/office/spreadsheetml/2009/9/main" objectType="Label" lockText="1"/>
</file>

<file path=xl/ctrlProps/ctrlProp64.xml><?xml version="1.0" encoding="utf-8"?>
<formControlPr xmlns="http://schemas.microsoft.com/office/spreadsheetml/2009/9/main" objectType="Label" lockText="1"/>
</file>

<file path=xl/ctrlProps/ctrlProp65.xml><?xml version="1.0" encoding="utf-8"?>
<formControlPr xmlns="http://schemas.microsoft.com/office/spreadsheetml/2009/9/main" objectType="Drop" dropStyle="combo" dx="16" fmlaLink="section!$G$10" fmlaRange="section!$I$1:$I$8" sel="3" val="0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List" dx="16" fmlaLink="section!$G$12" fmlaRange="resultat!$A:$A" noThreeD="1" val="0"/>
</file>

<file path=xl/ctrlProps/ctrlProp68.xml><?xml version="1.0" encoding="utf-8"?>
<formControlPr xmlns="http://schemas.microsoft.com/office/spreadsheetml/2009/9/main" objectType="List" dx="16" fmlaLink="section!$G$12" fmlaRange="resultat!$A$1:$A$1000" val="0"/>
</file>

<file path=xl/ctrlProps/ctrlProp69.xml><?xml version="1.0" encoding="utf-8"?>
<formControlPr xmlns="http://schemas.microsoft.com/office/spreadsheetml/2009/9/main" objectType="GBox"/>
</file>

<file path=xl/ctrlProps/ctrlProp70.xml><?xml version="1.0" encoding="utf-8"?>
<formControlPr xmlns="http://schemas.microsoft.com/office/spreadsheetml/2009/9/main" objectType="GBox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GBox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Drop" dropStyle="combo" dx="16" fmlaLink="section!$G$3" fmlaRange="section!$A$1:$A$35" sel="6" val="0"/>
</file>

<file path=xl/ctrlProps/ctrlProp77.xml><?xml version="1.0" encoding="utf-8"?>
<formControlPr xmlns="http://schemas.microsoft.com/office/spreadsheetml/2009/9/main" objectType="Label" lockText="1"/>
</file>

<file path=xl/ctrlProps/ctrlProp78.xml><?xml version="1.0" encoding="utf-8"?>
<formControlPr xmlns="http://schemas.microsoft.com/office/spreadsheetml/2009/9/main" objectType="Drop" dropStyle="combo" dx="16" fmlaLink="section!$G$13" fmlaRange="section!$A$1:$A$35" val="16"/>
</file>

<file path=xl/ctrlProps/ctrlProp79.xml><?xml version="1.0" encoding="utf-8"?>
<formControlPr xmlns="http://schemas.microsoft.com/office/spreadsheetml/2009/9/main" objectType="Label" lockText="1"/>
</file>

<file path=xl/ctrlProps/ctrlProp80.xml><?xml version="1.0" encoding="utf-8"?>
<formControlPr xmlns="http://schemas.microsoft.com/office/spreadsheetml/2009/9/main" objectType="Radio" checked="Checked" firstButton="1" fmlaLink="section!$G$15" lockText="1"/>
</file>

<file path=xl/ctrlProps/ctrlProp81.xml><?xml version="1.0" encoding="utf-8"?>
<formControlPr xmlns="http://schemas.microsoft.com/office/spreadsheetml/2009/9/main" objectType="Radio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Radio" lockText="1"/>
</file>

<file path=xl/ctrlProps/ctrlProp85.xml><?xml version="1.0" encoding="utf-8"?>
<formControlPr xmlns="http://schemas.microsoft.com/office/spreadsheetml/2009/9/main" objectType="GBox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CheckBox" fmlaLink="section!$F$15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CheckBox" fmlaLink="section!$F$1" lockText="1"/>
</file>

<file path=xl/ctrlProps/ctrlProp95.xml><?xml version="1.0" encoding="utf-8"?>
<formControlPr xmlns="http://schemas.microsoft.com/office/spreadsheetml/2009/9/main" objectType="CheckBox" fmlaLink="section!$F$3" lockText="1"/>
</file>

<file path=xl/ctrlProps/ctrlProp96.xml><?xml version="1.0" encoding="utf-8"?>
<formControlPr xmlns="http://schemas.microsoft.com/office/spreadsheetml/2009/9/main" objectType="CheckBox" fmlaLink="section!$F$2" lockText="1"/>
</file>

<file path=xl/ctrlProps/ctrlProp97.xml><?xml version="1.0" encoding="utf-8"?>
<formControlPr xmlns="http://schemas.microsoft.com/office/spreadsheetml/2009/9/main" objectType="CheckBox" fmlaLink="section!$F$6" lockText="1"/>
</file>

<file path=xl/ctrlProps/ctrlProp98.xml><?xml version="1.0" encoding="utf-8"?>
<formControlPr xmlns="http://schemas.microsoft.com/office/spreadsheetml/2009/9/main" objectType="CheckBox" fmlaLink="section!$F$7" lockText="1"/>
</file>

<file path=xl/ctrlProps/ctrlProp99.xml><?xml version="1.0" encoding="utf-8"?>
<formControlPr xmlns="http://schemas.microsoft.com/office/spreadsheetml/2009/9/main" objectType="CheckBox" fmlaLink="section!$F$4" lockText="1"/>
</file>

<file path=xl/ctrlProps/ctrlProp100.xml><?xml version="1.0" encoding="utf-8"?>
<formControlPr xmlns="http://schemas.microsoft.com/office/spreadsheetml/2009/9/main" objectType="CheckBox" fmlaLink="section!$F$5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Drop" dropStyle="combo" dx="16" fmlaLink="section!$F$11" fmlaRange="section!$A$1:$A$35" sel="6" val="10"/>
</file>

<file path=xl/ctrlProps/ctrlProp105.xml><?xml version="1.0" encoding="utf-8"?>
<formControlPr xmlns="http://schemas.microsoft.com/office/spreadsheetml/2009/9/main" objectType="CheckBox" fmlaLink="section!$F$8" lockText="1"/>
</file>

<file path=xl/ctrlProps/ctrlProp106.xml><?xml version="1.0" encoding="utf-8"?>
<formControlPr xmlns="http://schemas.microsoft.com/office/spreadsheetml/2009/9/main" objectType="CheckBox" fmlaLink="section!$F$9" lockText="1"/>
</file>

<file path=xl/ctrlProps/ctrlProp107.xml><?xml version="1.0" encoding="utf-8"?>
<formControlPr xmlns="http://schemas.microsoft.com/office/spreadsheetml/2009/9/main" objectType="CheckBox" fmlaLink="section!$F$10" lockText="1"/>
</file>

<file path=xl/ctrlProps/ctrlProp108.xml><?xml version="1.0" encoding="utf-8"?>
<formControlPr xmlns="http://schemas.microsoft.com/office/spreadsheetml/2009/9/main" objectType="CheckBox" checked="Checked" fmlaLink="section!$F$14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/>
</file>

<file path=xl/ctrlProps/ctrlProp114.xml><?xml version="1.0" encoding="utf-8"?>
<formControlPr xmlns="http://schemas.microsoft.com/office/spreadsheetml/2009/9/main" objectType="Button"/>
</file>

<file path=xl/ctrlProps/ctrlProp115.xml><?xml version="1.0" encoding="utf-8"?>
<formControlPr xmlns="http://schemas.microsoft.com/office/spreadsheetml/2009/9/main" objectType="CheckBox" fmlaLink="section!$F$1" lockText="1"/>
</file>

<file path=xl/ctrlProps/ctrlProp116.xml><?xml version="1.0" encoding="utf-8"?>
<formControlPr xmlns="http://schemas.microsoft.com/office/spreadsheetml/2009/9/main" objectType="CheckBox" fmlaLink="section!$F$3" lockText="1"/>
</file>

<file path=xl/ctrlProps/ctrlProp117.xml><?xml version="1.0" encoding="utf-8"?>
<formControlPr xmlns="http://schemas.microsoft.com/office/spreadsheetml/2009/9/main" objectType="CheckBox" fmlaLink="section!$F$2" lockText="1"/>
</file>

<file path=xl/ctrlProps/ctrlProp118.xml><?xml version="1.0" encoding="utf-8"?>
<formControlPr xmlns="http://schemas.microsoft.com/office/spreadsheetml/2009/9/main" objectType="CheckBox" fmlaLink="section!$F$4" lockText="1"/>
</file>

<file path=xl/ctrlProps/ctrlProp119.xml><?xml version="1.0" encoding="utf-8"?>
<formControlPr xmlns="http://schemas.microsoft.com/office/spreadsheetml/2009/9/main" objectType="CheckBox" fmlaLink="section!$F$5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Drop" dropStyle="combo" dx="16" fmlaLink="section!$F$11" fmlaRange="section!$A$1:$A$35" sel="6" val="0"/>
</file>

<file path=xl/ctrlProps/ctrlProp122.xml><?xml version="1.0" encoding="utf-8"?>
<formControlPr xmlns="http://schemas.microsoft.com/office/spreadsheetml/2009/9/main" objectType="CheckBox" checked="Checked" fmlaLink="section!$F$14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CheckBox" fmlaLink="section!$F$6" lockText="1"/>
</file>

<file path=xl/ctrlProps/ctrlProp127.xml><?xml version="1.0" encoding="utf-8"?>
<formControlPr xmlns="http://schemas.microsoft.com/office/spreadsheetml/2009/9/main" objectType="CheckBox" fmlaLink="section!$F$7" lockText="1"/>
</file>

<file path=xl/ctrlProps/ctrlProp128.xml><?xml version="1.0" encoding="utf-8"?>
<formControlPr xmlns="http://schemas.microsoft.com/office/spreadsheetml/2009/9/main" objectType="CheckBox" fmlaLink="section!$F$8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Radio" firstButton="1" fmlaLink="section!$G$16" lockText="1"/>
</file>

<file path=xl/ctrlProps/ctrlProp135.xml><?xml version="1.0" encoding="utf-8"?>
<formControlPr xmlns="http://schemas.microsoft.com/office/spreadsheetml/2009/9/main" objectType="Radio" checked="Checked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Radio" firstButton="1" fmlaLink="$L$1" lockText="1"/>
</file>

<file path=xl/ctrlProps/ctrlProp144.xml><?xml version="1.0" encoding="utf-8"?>
<formControlPr xmlns="http://schemas.microsoft.com/office/spreadsheetml/2009/9/main" objectType="Radio" lockText="1"/>
</file>

<file path=xl/ctrlProps/ctrlProp145.xml><?xml version="1.0" encoding="utf-8"?>
<formControlPr xmlns="http://schemas.microsoft.com/office/spreadsheetml/2009/9/main" objectType="Radio" checked="Checked" lockText="1"/>
</file>

<file path=xl/ctrlProps/ctrlProp14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47625</xdr:rowOff>
        </xdr:from>
        <xdr:to>
          <xdr:col>44</xdr:col>
          <xdr:colOff>76200</xdr:colOff>
          <xdr:row>13</xdr:row>
          <xdr:rowOff>266700</xdr:rowOff>
        </xdr:to>
        <xdr:sp macro="" textlink="">
          <xdr:nvSpPr>
            <xdr:cNvPr id="8307" name="Group Box 115" hidden="1">
              <a:extLst>
                <a:ext uri="{63B3BB69-23CF-44E3-9099-C40C66FF867C}">
                  <a14:compatExt spid="_x0000_s83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15</xdr:row>
          <xdr:rowOff>152400</xdr:rowOff>
        </xdr:from>
        <xdr:to>
          <xdr:col>4</xdr:col>
          <xdr:colOff>152400</xdr:colOff>
          <xdr:row>20</xdr:row>
          <xdr:rowOff>104775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15</xdr:row>
          <xdr:rowOff>133350</xdr:rowOff>
        </xdr:from>
        <xdr:to>
          <xdr:col>11</xdr:col>
          <xdr:colOff>66675</xdr:colOff>
          <xdr:row>17</xdr:row>
          <xdr:rowOff>114300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Nouvel Adhérent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104775</xdr:colOff>
          <xdr:row>15</xdr:row>
          <xdr:rowOff>152400</xdr:rowOff>
        </xdr:from>
        <xdr:to>
          <xdr:col>13</xdr:col>
          <xdr:colOff>152400</xdr:colOff>
          <xdr:row>20</xdr:row>
          <xdr:rowOff>114300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142875</xdr:colOff>
          <xdr:row>16</xdr:row>
          <xdr:rowOff>57150</xdr:rowOff>
        </xdr:from>
        <xdr:to>
          <xdr:col>18</xdr:col>
          <xdr:colOff>0</xdr:colOff>
          <xdr:row>17</xdr:row>
          <xdr:rowOff>104775</xdr:rowOff>
        </xdr:to>
        <xdr:sp macro="" textlink="">
          <xdr:nvSpPr>
            <xdr:cNvPr id="8209" name="Button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57150</xdr:colOff>
          <xdr:row>16</xdr:row>
          <xdr:rowOff>57150</xdr:rowOff>
        </xdr:from>
        <xdr:to>
          <xdr:col>19</xdr:col>
          <xdr:colOff>104775</xdr:colOff>
          <xdr:row>17</xdr:row>
          <xdr:rowOff>104775</xdr:rowOff>
        </xdr:to>
        <xdr:sp macro="" textlink="">
          <xdr:nvSpPr>
            <xdr:cNvPr id="8210" name="Button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142875</xdr:colOff>
          <xdr:row>16</xdr:row>
          <xdr:rowOff>57150</xdr:rowOff>
        </xdr:from>
        <xdr:to>
          <xdr:col>21</xdr:col>
          <xdr:colOff>0</xdr:colOff>
          <xdr:row>17</xdr:row>
          <xdr:rowOff>104775</xdr:rowOff>
        </xdr:to>
        <xdr:sp macro="" textlink="">
          <xdr:nvSpPr>
            <xdr:cNvPr id="8211" name="Button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66675</xdr:colOff>
          <xdr:row>16</xdr:row>
          <xdr:rowOff>57150</xdr:rowOff>
        </xdr:from>
        <xdr:to>
          <xdr:col>22</xdr:col>
          <xdr:colOff>114300</xdr:colOff>
          <xdr:row>17</xdr:row>
          <xdr:rowOff>104775</xdr:rowOff>
        </xdr:to>
        <xdr:sp macro="" textlink="">
          <xdr:nvSpPr>
            <xdr:cNvPr id="8212" name="Button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66675</xdr:colOff>
          <xdr:row>16</xdr:row>
          <xdr:rowOff>57150</xdr:rowOff>
        </xdr:from>
        <xdr:to>
          <xdr:col>25</xdr:col>
          <xdr:colOff>114300</xdr:colOff>
          <xdr:row>17</xdr:row>
          <xdr:rowOff>104775</xdr:rowOff>
        </xdr:to>
        <xdr:sp macro="" textlink="">
          <xdr:nvSpPr>
            <xdr:cNvPr id="8213" name="Button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38100</xdr:colOff>
          <xdr:row>16</xdr:row>
          <xdr:rowOff>57150</xdr:rowOff>
        </xdr:from>
        <xdr:to>
          <xdr:col>34</xdr:col>
          <xdr:colOff>85725</xdr:colOff>
          <xdr:row>17</xdr:row>
          <xdr:rowOff>104775</xdr:rowOff>
        </xdr:to>
        <xdr:sp macro="" textlink="">
          <xdr:nvSpPr>
            <xdr:cNvPr id="8214" name="Button 22" hidden="1">
              <a:extLst>
                <a:ext uri="{63B3BB69-23CF-44E3-9099-C40C66FF867C}">
                  <a14:compatExt spid="_x0000_s82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114300</xdr:colOff>
          <xdr:row>16</xdr:row>
          <xdr:rowOff>57150</xdr:rowOff>
        </xdr:from>
        <xdr:to>
          <xdr:col>35</xdr:col>
          <xdr:colOff>161925</xdr:colOff>
          <xdr:row>17</xdr:row>
          <xdr:rowOff>104775</xdr:rowOff>
        </xdr:to>
        <xdr:sp macro="" textlink="">
          <xdr:nvSpPr>
            <xdr:cNvPr id="8215" name="Button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161925</xdr:colOff>
          <xdr:row>16</xdr:row>
          <xdr:rowOff>57150</xdr:rowOff>
        </xdr:from>
        <xdr:to>
          <xdr:col>24</xdr:col>
          <xdr:colOff>19050</xdr:colOff>
          <xdr:row>17</xdr:row>
          <xdr:rowOff>104775</xdr:rowOff>
        </xdr:to>
        <xdr:sp macro="" textlink="">
          <xdr:nvSpPr>
            <xdr:cNvPr id="8216" name="Button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16</xdr:row>
          <xdr:rowOff>57150</xdr:rowOff>
        </xdr:from>
        <xdr:to>
          <xdr:col>28</xdr:col>
          <xdr:colOff>85725</xdr:colOff>
          <xdr:row>17</xdr:row>
          <xdr:rowOff>104775</xdr:rowOff>
        </xdr:to>
        <xdr:sp macro="" textlink="">
          <xdr:nvSpPr>
            <xdr:cNvPr id="8217" name="Button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133350</xdr:colOff>
          <xdr:row>16</xdr:row>
          <xdr:rowOff>57150</xdr:rowOff>
        </xdr:from>
        <xdr:to>
          <xdr:col>29</xdr:col>
          <xdr:colOff>180975</xdr:colOff>
          <xdr:row>17</xdr:row>
          <xdr:rowOff>104775</xdr:rowOff>
        </xdr:to>
        <xdr:sp macro="" textlink="">
          <xdr:nvSpPr>
            <xdr:cNvPr id="8219" name="Butto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38100</xdr:colOff>
          <xdr:row>16</xdr:row>
          <xdr:rowOff>57150</xdr:rowOff>
        </xdr:from>
        <xdr:to>
          <xdr:col>31</xdr:col>
          <xdr:colOff>85725</xdr:colOff>
          <xdr:row>17</xdr:row>
          <xdr:rowOff>104775</xdr:rowOff>
        </xdr:to>
        <xdr:sp macro="" textlink="">
          <xdr:nvSpPr>
            <xdr:cNvPr id="8220" name="Button 28" hidden="1">
              <a:extLst>
                <a:ext uri="{63B3BB69-23CF-44E3-9099-C40C66FF867C}">
                  <a14:compatExt spid="_x0000_s8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133350</xdr:colOff>
          <xdr:row>16</xdr:row>
          <xdr:rowOff>57150</xdr:rowOff>
        </xdr:from>
        <xdr:to>
          <xdr:col>32</xdr:col>
          <xdr:colOff>180975</xdr:colOff>
          <xdr:row>17</xdr:row>
          <xdr:rowOff>104775</xdr:rowOff>
        </xdr:to>
        <xdr:sp macro="" textlink="">
          <xdr:nvSpPr>
            <xdr:cNvPr id="8221" name="Button 29" hidden="1">
              <a:extLst>
                <a:ext uri="{63B3BB69-23CF-44E3-9099-C40C66FF867C}">
                  <a14:compatExt spid="_x0000_s8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142875</xdr:colOff>
          <xdr:row>17</xdr:row>
          <xdr:rowOff>142875</xdr:rowOff>
        </xdr:from>
        <xdr:to>
          <xdr:col>18</xdr:col>
          <xdr:colOff>0</xdr:colOff>
          <xdr:row>19</xdr:row>
          <xdr:rowOff>28575</xdr:rowOff>
        </xdr:to>
        <xdr:sp macro="" textlink="">
          <xdr:nvSpPr>
            <xdr:cNvPr id="8223" name="Button 31" hidden="1">
              <a:extLst>
                <a:ext uri="{63B3BB69-23CF-44E3-9099-C40C66FF867C}">
                  <a14:compatExt spid="_x0000_s8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142875</xdr:colOff>
          <xdr:row>16</xdr:row>
          <xdr:rowOff>57150</xdr:rowOff>
        </xdr:from>
        <xdr:to>
          <xdr:col>27</xdr:col>
          <xdr:colOff>0</xdr:colOff>
          <xdr:row>17</xdr:row>
          <xdr:rowOff>104775</xdr:rowOff>
        </xdr:to>
        <xdr:sp macro="" textlink="">
          <xdr:nvSpPr>
            <xdr:cNvPr id="8224" name="Button 32" hidden="1">
              <a:extLst>
                <a:ext uri="{63B3BB69-23CF-44E3-9099-C40C66FF867C}">
                  <a14:compatExt spid="_x0000_s8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142875</xdr:colOff>
          <xdr:row>17</xdr:row>
          <xdr:rowOff>142875</xdr:rowOff>
        </xdr:from>
        <xdr:to>
          <xdr:col>21</xdr:col>
          <xdr:colOff>0</xdr:colOff>
          <xdr:row>19</xdr:row>
          <xdr:rowOff>28575</xdr:rowOff>
        </xdr:to>
        <xdr:sp macro="" textlink="">
          <xdr:nvSpPr>
            <xdr:cNvPr id="8225" name="Button 33" hidden="1">
              <a:extLst>
                <a:ext uri="{63B3BB69-23CF-44E3-9099-C40C66FF867C}">
                  <a14:compatExt spid="_x0000_s8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57150</xdr:colOff>
          <xdr:row>17</xdr:row>
          <xdr:rowOff>142875</xdr:rowOff>
        </xdr:from>
        <xdr:to>
          <xdr:col>22</xdr:col>
          <xdr:colOff>104775</xdr:colOff>
          <xdr:row>19</xdr:row>
          <xdr:rowOff>28575</xdr:rowOff>
        </xdr:to>
        <xdr:sp macro="" textlink="">
          <xdr:nvSpPr>
            <xdr:cNvPr id="8226" name="Button 34" hidden="1">
              <a:extLst>
                <a:ext uri="{63B3BB69-23CF-44E3-9099-C40C66FF867C}">
                  <a14:compatExt spid="_x0000_s82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Q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152400</xdr:colOff>
          <xdr:row>17</xdr:row>
          <xdr:rowOff>142875</xdr:rowOff>
        </xdr:from>
        <xdr:to>
          <xdr:col>24</xdr:col>
          <xdr:colOff>9525</xdr:colOff>
          <xdr:row>19</xdr:row>
          <xdr:rowOff>28575</xdr:rowOff>
        </xdr:to>
        <xdr:sp macro="" textlink="">
          <xdr:nvSpPr>
            <xdr:cNvPr id="8227" name="Button 35" hidden="1">
              <a:extLst>
                <a:ext uri="{63B3BB69-23CF-44E3-9099-C40C66FF867C}">
                  <a14:compatExt spid="_x0000_s8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66675</xdr:colOff>
          <xdr:row>17</xdr:row>
          <xdr:rowOff>142875</xdr:rowOff>
        </xdr:from>
        <xdr:to>
          <xdr:col>25</xdr:col>
          <xdr:colOff>114300</xdr:colOff>
          <xdr:row>19</xdr:row>
          <xdr:rowOff>28575</xdr:rowOff>
        </xdr:to>
        <xdr:sp macro="" textlink="">
          <xdr:nvSpPr>
            <xdr:cNvPr id="8228" name="Button 36" hidden="1">
              <a:extLst>
                <a:ext uri="{63B3BB69-23CF-44E3-9099-C40C66FF867C}">
                  <a14:compatExt spid="_x0000_s8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38100</xdr:colOff>
          <xdr:row>17</xdr:row>
          <xdr:rowOff>152400</xdr:rowOff>
        </xdr:from>
        <xdr:to>
          <xdr:col>19</xdr:col>
          <xdr:colOff>85725</xdr:colOff>
          <xdr:row>19</xdr:row>
          <xdr:rowOff>28575</xdr:rowOff>
        </xdr:to>
        <xdr:sp macro="" textlink="">
          <xdr:nvSpPr>
            <xdr:cNvPr id="8229" name="Button 37" hidden="1">
              <a:extLst>
                <a:ext uri="{63B3BB69-23CF-44E3-9099-C40C66FF867C}">
                  <a14:compatExt spid="_x0000_s82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152400</xdr:colOff>
          <xdr:row>17</xdr:row>
          <xdr:rowOff>152400</xdr:rowOff>
        </xdr:from>
        <xdr:to>
          <xdr:col>27</xdr:col>
          <xdr:colOff>9525</xdr:colOff>
          <xdr:row>19</xdr:row>
          <xdr:rowOff>28575</xdr:rowOff>
        </xdr:to>
        <xdr:sp macro="" textlink="">
          <xdr:nvSpPr>
            <xdr:cNvPr id="8230" name="Button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38100</xdr:colOff>
          <xdr:row>17</xdr:row>
          <xdr:rowOff>142875</xdr:rowOff>
        </xdr:from>
        <xdr:to>
          <xdr:col>31</xdr:col>
          <xdr:colOff>85725</xdr:colOff>
          <xdr:row>19</xdr:row>
          <xdr:rowOff>28575</xdr:rowOff>
        </xdr:to>
        <xdr:sp macro="" textlink="">
          <xdr:nvSpPr>
            <xdr:cNvPr id="8231" name="Button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133350</xdr:colOff>
          <xdr:row>17</xdr:row>
          <xdr:rowOff>152400</xdr:rowOff>
        </xdr:from>
        <xdr:to>
          <xdr:col>29</xdr:col>
          <xdr:colOff>180975</xdr:colOff>
          <xdr:row>19</xdr:row>
          <xdr:rowOff>28575</xdr:rowOff>
        </xdr:to>
        <xdr:sp macro="" textlink="">
          <xdr:nvSpPr>
            <xdr:cNvPr id="8232" name="Button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17</xdr:row>
          <xdr:rowOff>152400</xdr:rowOff>
        </xdr:from>
        <xdr:to>
          <xdr:col>28</xdr:col>
          <xdr:colOff>85725</xdr:colOff>
          <xdr:row>19</xdr:row>
          <xdr:rowOff>28575</xdr:rowOff>
        </xdr:to>
        <xdr:sp macro="" textlink="">
          <xdr:nvSpPr>
            <xdr:cNvPr id="8233" name="Button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123825</xdr:colOff>
          <xdr:row>17</xdr:row>
          <xdr:rowOff>152400</xdr:rowOff>
        </xdr:from>
        <xdr:to>
          <xdr:col>32</xdr:col>
          <xdr:colOff>180975</xdr:colOff>
          <xdr:row>19</xdr:row>
          <xdr:rowOff>28575</xdr:rowOff>
        </xdr:to>
        <xdr:sp macro="" textlink="">
          <xdr:nvSpPr>
            <xdr:cNvPr id="8234" name="Button 42" hidden="1">
              <a:extLst>
                <a:ext uri="{63B3BB69-23CF-44E3-9099-C40C66FF867C}">
                  <a14:compatExt spid="_x0000_s82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38100</xdr:colOff>
          <xdr:row>17</xdr:row>
          <xdr:rowOff>142875</xdr:rowOff>
        </xdr:from>
        <xdr:to>
          <xdr:col>34</xdr:col>
          <xdr:colOff>85725</xdr:colOff>
          <xdr:row>19</xdr:row>
          <xdr:rowOff>28575</xdr:rowOff>
        </xdr:to>
        <xdr:sp macro="" textlink="">
          <xdr:nvSpPr>
            <xdr:cNvPr id="8235" name="Button 43" hidden="1">
              <a:extLst>
                <a:ext uri="{63B3BB69-23CF-44E3-9099-C40C66FF867C}">
                  <a14:compatExt spid="_x0000_s82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114300</xdr:colOff>
          <xdr:row>17</xdr:row>
          <xdr:rowOff>142875</xdr:rowOff>
        </xdr:from>
        <xdr:to>
          <xdr:col>35</xdr:col>
          <xdr:colOff>161925</xdr:colOff>
          <xdr:row>19</xdr:row>
          <xdr:rowOff>28575</xdr:rowOff>
        </xdr:to>
        <xdr:sp macro="" textlink="">
          <xdr:nvSpPr>
            <xdr:cNvPr id="8236" name="Button 44" hidden="1">
              <a:extLst>
                <a:ext uri="{63B3BB69-23CF-44E3-9099-C40C66FF867C}">
                  <a14:compatExt spid="_x0000_s82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152400</xdr:colOff>
          <xdr:row>18</xdr:row>
          <xdr:rowOff>9525</xdr:rowOff>
        </xdr:from>
        <xdr:to>
          <xdr:col>40</xdr:col>
          <xdr:colOff>152400</xdr:colOff>
          <xdr:row>19</xdr:row>
          <xdr:rowOff>28575</xdr:rowOff>
        </xdr:to>
        <xdr:sp macro="" textlink="">
          <xdr:nvSpPr>
            <xdr:cNvPr id="8242" name="Button 50" hidden="1">
              <a:extLst>
                <a:ext uri="{63B3BB69-23CF-44E3-9099-C40C66FF867C}">
                  <a14:compatExt spid="_x0000_s8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NOM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19</xdr:row>
          <xdr:rowOff>47625</xdr:rowOff>
        </xdr:from>
        <xdr:to>
          <xdr:col>11</xdr:col>
          <xdr:colOff>28575</xdr:colOff>
          <xdr:row>20</xdr:row>
          <xdr:rowOff>114300</xdr:rowOff>
        </xdr:to>
        <xdr:sp macro="" textlink="">
          <xdr:nvSpPr>
            <xdr:cNvPr id="8272" name="Button 80" hidden="1">
              <a:extLst>
                <a:ext uri="{63B3BB69-23CF-44E3-9099-C40C66FF867C}">
                  <a14:compatExt spid="_x0000_s8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Suppression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133350</xdr:colOff>
          <xdr:row>25</xdr:row>
          <xdr:rowOff>66675</xdr:rowOff>
        </xdr:from>
        <xdr:to>
          <xdr:col>44</xdr:col>
          <xdr:colOff>76200</xdr:colOff>
          <xdr:row>28</xdr:row>
          <xdr:rowOff>19050</xdr:rowOff>
        </xdr:to>
        <xdr:sp macro="" textlink="">
          <xdr:nvSpPr>
            <xdr:cNvPr id="8273" name="Button 81" hidden="1">
              <a:extLst>
                <a:ext uri="{63B3BB69-23CF-44E3-9099-C40C66FF867C}">
                  <a14:compatExt spid="_x0000_s82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Enregistrer le fichier Cotis.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142875</xdr:colOff>
          <xdr:row>16</xdr:row>
          <xdr:rowOff>38100</xdr:rowOff>
        </xdr:from>
        <xdr:to>
          <xdr:col>40</xdr:col>
          <xdr:colOff>142875</xdr:colOff>
          <xdr:row>17</xdr:row>
          <xdr:rowOff>85725</xdr:rowOff>
        </xdr:to>
        <xdr:sp macro="" textlink="">
          <xdr:nvSpPr>
            <xdr:cNvPr id="8279" name="Button 87" hidden="1">
              <a:extLst>
                <a:ext uri="{63B3BB69-23CF-44E3-9099-C40C66FF867C}">
                  <a14:compatExt spid="_x0000_s82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Matricule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12</xdr:row>
          <xdr:rowOff>85725</xdr:rowOff>
        </xdr:from>
        <xdr:to>
          <xdr:col>8</xdr:col>
          <xdr:colOff>76200</xdr:colOff>
          <xdr:row>13</xdr:row>
          <xdr:rowOff>133350</xdr:rowOff>
        </xdr:to>
        <xdr:sp macro="" textlink="">
          <xdr:nvSpPr>
            <xdr:cNvPr id="8292" name="Drop Down 100" hidden="1">
              <a:extLst>
                <a:ext uri="{63B3BB69-23CF-44E3-9099-C40C66FF867C}">
                  <a14:compatExt spid="_x0000_s8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12</xdr:row>
          <xdr:rowOff>85725</xdr:rowOff>
        </xdr:from>
        <xdr:to>
          <xdr:col>16</xdr:col>
          <xdr:colOff>123825</xdr:colOff>
          <xdr:row>13</xdr:row>
          <xdr:rowOff>133350</xdr:rowOff>
        </xdr:to>
        <xdr:sp macro="" textlink="">
          <xdr:nvSpPr>
            <xdr:cNvPr id="8293" name="Drop Down 101" hidden="1">
              <a:extLst>
                <a:ext uri="{63B3BB69-23CF-44E3-9099-C40C66FF867C}">
                  <a14:compatExt spid="_x0000_s8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12</xdr:row>
          <xdr:rowOff>76200</xdr:rowOff>
        </xdr:from>
        <xdr:to>
          <xdr:col>25</xdr:col>
          <xdr:colOff>95250</xdr:colOff>
          <xdr:row>13</xdr:row>
          <xdr:rowOff>123825</xdr:rowOff>
        </xdr:to>
        <xdr:sp macro="" textlink="">
          <xdr:nvSpPr>
            <xdr:cNvPr id="8294" name="Drop Down 102" hidden="1">
              <a:extLst>
                <a:ext uri="{63B3BB69-23CF-44E3-9099-C40C66FF867C}">
                  <a14:compatExt spid="_x0000_s8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12</xdr:row>
          <xdr:rowOff>66675</xdr:rowOff>
        </xdr:from>
        <xdr:to>
          <xdr:col>34</xdr:col>
          <xdr:colOff>38100</xdr:colOff>
          <xdr:row>13</xdr:row>
          <xdr:rowOff>114300</xdr:rowOff>
        </xdr:to>
        <xdr:sp macro="" textlink="">
          <xdr:nvSpPr>
            <xdr:cNvPr id="8295" name="Drop Down 103" hidden="1">
              <a:extLst>
                <a:ext uri="{63B3BB69-23CF-44E3-9099-C40C66FF867C}">
                  <a14:compatExt spid="_x0000_s82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85725</xdr:colOff>
          <xdr:row>12</xdr:row>
          <xdr:rowOff>66675</xdr:rowOff>
        </xdr:from>
        <xdr:to>
          <xdr:col>42</xdr:col>
          <xdr:colOff>66675</xdr:colOff>
          <xdr:row>13</xdr:row>
          <xdr:rowOff>114300</xdr:rowOff>
        </xdr:to>
        <xdr:sp macro="" textlink="">
          <xdr:nvSpPr>
            <xdr:cNvPr id="8296" name="Drop Down 104" hidden="1">
              <a:extLst>
                <a:ext uri="{63B3BB69-23CF-44E3-9099-C40C66FF867C}">
                  <a14:compatExt spid="_x0000_s82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10</xdr:row>
          <xdr:rowOff>0</xdr:rowOff>
        </xdr:from>
        <xdr:to>
          <xdr:col>21</xdr:col>
          <xdr:colOff>66675</xdr:colOff>
          <xdr:row>10</xdr:row>
          <xdr:rowOff>190500</xdr:rowOff>
        </xdr:to>
        <xdr:sp macro="" textlink="">
          <xdr:nvSpPr>
            <xdr:cNvPr id="8297" name="Drop Down 105" hidden="1">
              <a:extLst>
                <a:ext uri="{63B3BB69-23CF-44E3-9099-C40C66FF867C}">
                  <a14:compatExt spid="_x0000_s82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133350</xdr:colOff>
          <xdr:row>22</xdr:row>
          <xdr:rowOff>28575</xdr:rowOff>
        </xdr:from>
        <xdr:to>
          <xdr:col>41</xdr:col>
          <xdr:colOff>85725</xdr:colOff>
          <xdr:row>23</xdr:row>
          <xdr:rowOff>76200</xdr:rowOff>
        </xdr:to>
        <xdr:sp macro="" textlink="">
          <xdr:nvSpPr>
            <xdr:cNvPr id="8298" name="Drop Down 106" hidden="1">
              <a:extLst>
                <a:ext uri="{63B3BB69-23CF-44E3-9099-C40C66FF867C}">
                  <a14:compatExt spid="_x0000_s82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9525</xdr:colOff>
          <xdr:row>10</xdr:row>
          <xdr:rowOff>95250</xdr:rowOff>
        </xdr:from>
        <xdr:to>
          <xdr:col>43</xdr:col>
          <xdr:colOff>85725</xdr:colOff>
          <xdr:row>10</xdr:row>
          <xdr:rowOff>323850</xdr:rowOff>
        </xdr:to>
        <xdr:sp macro="" textlink="">
          <xdr:nvSpPr>
            <xdr:cNvPr id="8305" name="Option Button 113" hidden="1">
              <a:extLst>
                <a:ext uri="{63B3BB69-23CF-44E3-9099-C40C66FF867C}">
                  <a14:compatExt spid="_x0000_s83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OUI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114300</xdr:colOff>
          <xdr:row>22</xdr:row>
          <xdr:rowOff>19050</xdr:rowOff>
        </xdr:from>
        <xdr:to>
          <xdr:col>35</xdr:col>
          <xdr:colOff>161925</xdr:colOff>
          <xdr:row>23</xdr:row>
          <xdr:rowOff>66675</xdr:rowOff>
        </xdr:to>
        <xdr:sp macro="" textlink="">
          <xdr:nvSpPr>
            <xdr:cNvPr id="8306" name="Drop Down 114" hidden="1">
              <a:extLst>
                <a:ext uri="{63B3BB69-23CF-44E3-9099-C40C66FF867C}">
                  <a14:compatExt spid="_x0000_s83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66675</xdr:colOff>
          <xdr:row>10</xdr:row>
          <xdr:rowOff>95250</xdr:rowOff>
        </xdr:from>
        <xdr:to>
          <xdr:col>35</xdr:col>
          <xdr:colOff>133350</xdr:colOff>
          <xdr:row>10</xdr:row>
          <xdr:rowOff>314325</xdr:rowOff>
        </xdr:to>
        <xdr:sp macro="" textlink="">
          <xdr:nvSpPr>
            <xdr:cNvPr id="8304" name="Option Button 112" hidden="1">
              <a:extLst>
                <a:ext uri="{63B3BB69-23CF-44E3-9099-C40C66FF867C}">
                  <a14:compatExt spid="_x0000_s83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200025</xdr:rowOff>
        </xdr:from>
        <xdr:to>
          <xdr:col>3</xdr:col>
          <xdr:colOff>66675</xdr:colOff>
          <xdr:row>5</xdr:row>
          <xdr:rowOff>152400</xdr:rowOff>
        </xdr:to>
        <xdr:sp macro="" textlink="">
          <xdr:nvSpPr>
            <xdr:cNvPr id="8308" name="Label 116" hidden="1">
              <a:extLst>
                <a:ext uri="{63B3BB69-23CF-44E3-9099-C40C66FF867C}">
                  <a14:compatExt spid="_x0000_s83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95250</xdr:colOff>
          <xdr:row>5</xdr:row>
          <xdr:rowOff>38100</xdr:rowOff>
        </xdr:from>
        <xdr:to>
          <xdr:col>22</xdr:col>
          <xdr:colOff>19050</xdr:colOff>
          <xdr:row>6</xdr:row>
          <xdr:rowOff>0</xdr:rowOff>
        </xdr:to>
        <xdr:sp macro="" textlink="">
          <xdr:nvSpPr>
            <xdr:cNvPr id="8309" name="Label 117" hidden="1">
              <a:extLst>
                <a:ext uri="{63B3BB69-23CF-44E3-9099-C40C66FF867C}">
                  <a14:compatExt spid="_x0000_s83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Prénom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133350</xdr:colOff>
          <xdr:row>5</xdr:row>
          <xdr:rowOff>38100</xdr:rowOff>
        </xdr:from>
        <xdr:to>
          <xdr:col>36</xdr:col>
          <xdr:colOff>152400</xdr:colOff>
          <xdr:row>5</xdr:row>
          <xdr:rowOff>219075</xdr:rowOff>
        </xdr:to>
        <xdr:sp macro="" textlink="">
          <xdr:nvSpPr>
            <xdr:cNvPr id="8310" name="Label 118" hidden="1">
              <a:extLst>
                <a:ext uri="{63B3BB69-23CF-44E3-9099-C40C66FF867C}">
                  <a14:compatExt spid="_x0000_s83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Matricule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6</xdr:row>
          <xdr:rowOff>152400</xdr:rowOff>
        </xdr:from>
        <xdr:to>
          <xdr:col>4</xdr:col>
          <xdr:colOff>123825</xdr:colOff>
          <xdr:row>8</xdr:row>
          <xdr:rowOff>19050</xdr:rowOff>
        </xdr:to>
        <xdr:sp macro="" textlink="">
          <xdr:nvSpPr>
            <xdr:cNvPr id="8311" name="Label 119" hidden="1">
              <a:extLst>
                <a:ext uri="{63B3BB69-23CF-44E3-9099-C40C66FF867C}">
                  <a14:compatExt spid="_x0000_s83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Né(e) 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6</xdr:row>
          <xdr:rowOff>142875</xdr:rowOff>
        </xdr:from>
        <xdr:to>
          <xdr:col>14</xdr:col>
          <xdr:colOff>66675</xdr:colOff>
          <xdr:row>7</xdr:row>
          <xdr:rowOff>133350</xdr:rowOff>
        </xdr:to>
        <xdr:sp macro="" textlink="">
          <xdr:nvSpPr>
            <xdr:cNvPr id="8312" name="Label 120" hidden="1">
              <a:extLst>
                <a:ext uri="{63B3BB69-23CF-44E3-9099-C40C66FF867C}">
                  <a14:compatExt spid="_x0000_s83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Service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152400</xdr:colOff>
          <xdr:row>6</xdr:row>
          <xdr:rowOff>152400</xdr:rowOff>
        </xdr:from>
        <xdr:to>
          <xdr:col>25</xdr:col>
          <xdr:colOff>47625</xdr:colOff>
          <xdr:row>8</xdr:row>
          <xdr:rowOff>9525</xdr:rowOff>
        </xdr:to>
        <xdr:sp macro="" textlink="">
          <xdr:nvSpPr>
            <xdr:cNvPr id="8313" name="Label 121" hidden="1">
              <a:extLst>
                <a:ext uri="{63B3BB69-23CF-44E3-9099-C40C66FF867C}">
                  <a14:compatExt spid="_x0000_s8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Bureau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19050</xdr:colOff>
          <xdr:row>7</xdr:row>
          <xdr:rowOff>19050</xdr:rowOff>
        </xdr:from>
        <xdr:to>
          <xdr:col>36</xdr:col>
          <xdr:colOff>57150</xdr:colOff>
          <xdr:row>8</xdr:row>
          <xdr:rowOff>0</xdr:rowOff>
        </xdr:to>
        <xdr:sp macro="" textlink="">
          <xdr:nvSpPr>
            <xdr:cNvPr id="8314" name="Label 122" hidden="1">
              <a:extLst>
                <a:ext uri="{63B3BB69-23CF-44E3-9099-C40C66FF867C}">
                  <a14:compatExt spid="_x0000_s8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Téléphone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10</xdr:row>
          <xdr:rowOff>0</xdr:rowOff>
        </xdr:from>
        <xdr:to>
          <xdr:col>17</xdr:col>
          <xdr:colOff>38100</xdr:colOff>
          <xdr:row>10</xdr:row>
          <xdr:rowOff>238125</xdr:rowOff>
        </xdr:to>
        <xdr:sp macro="" textlink="">
          <xdr:nvSpPr>
            <xdr:cNvPr id="8315" name="Label 123" hidden="1">
              <a:extLst>
                <a:ext uri="{63B3BB69-23CF-44E3-9099-C40C66FF867C}">
                  <a14:compatExt spid="_x0000_s8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Date de Cotisation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152400</xdr:colOff>
          <xdr:row>9</xdr:row>
          <xdr:rowOff>19050</xdr:rowOff>
        </xdr:from>
        <xdr:to>
          <xdr:col>42</xdr:col>
          <xdr:colOff>28575</xdr:colOff>
          <xdr:row>10</xdr:row>
          <xdr:rowOff>133350</xdr:rowOff>
        </xdr:to>
        <xdr:sp macro="" textlink="">
          <xdr:nvSpPr>
            <xdr:cNvPr id="8316" name="Label 124" hidden="1">
              <a:extLst>
                <a:ext uri="{63B3BB69-23CF-44E3-9099-C40C66FF867C}">
                  <a14:compatExt spid="_x0000_s8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CERTIFICAT MEDICAL  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11</xdr:row>
          <xdr:rowOff>9525</xdr:rowOff>
        </xdr:from>
        <xdr:to>
          <xdr:col>8</xdr:col>
          <xdr:colOff>38100</xdr:colOff>
          <xdr:row>12</xdr:row>
          <xdr:rowOff>38100</xdr:rowOff>
        </xdr:to>
        <xdr:sp macro="" textlink="">
          <xdr:nvSpPr>
            <xdr:cNvPr id="8317" name="Label 125" hidden="1">
              <a:extLst>
                <a:ext uri="{63B3BB69-23CF-44E3-9099-C40C66FF867C}">
                  <a14:compatExt spid="_x0000_s83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1ere activité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104775</xdr:colOff>
          <xdr:row>11</xdr:row>
          <xdr:rowOff>19050</xdr:rowOff>
        </xdr:from>
        <xdr:to>
          <xdr:col>15</xdr:col>
          <xdr:colOff>152400</xdr:colOff>
          <xdr:row>12</xdr:row>
          <xdr:rowOff>66675</xdr:rowOff>
        </xdr:to>
        <xdr:sp macro="" textlink="">
          <xdr:nvSpPr>
            <xdr:cNvPr id="8318" name="Label 126" hidden="1">
              <a:extLst>
                <a:ext uri="{63B3BB69-23CF-44E3-9099-C40C66FF867C}">
                  <a14:compatExt spid="_x0000_s83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2eme activité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85725</xdr:colOff>
          <xdr:row>11</xdr:row>
          <xdr:rowOff>9525</xdr:rowOff>
        </xdr:from>
        <xdr:to>
          <xdr:col>24</xdr:col>
          <xdr:colOff>133350</xdr:colOff>
          <xdr:row>12</xdr:row>
          <xdr:rowOff>47625</xdr:rowOff>
        </xdr:to>
        <xdr:sp macro="" textlink="">
          <xdr:nvSpPr>
            <xdr:cNvPr id="8319" name="Label 127" hidden="1">
              <a:extLst>
                <a:ext uri="{63B3BB69-23CF-44E3-9099-C40C66FF867C}">
                  <a14:compatExt spid="_x0000_s83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3eme activité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19050</xdr:colOff>
          <xdr:row>11</xdr:row>
          <xdr:rowOff>9525</xdr:rowOff>
        </xdr:from>
        <xdr:to>
          <xdr:col>33</xdr:col>
          <xdr:colOff>66675</xdr:colOff>
          <xdr:row>12</xdr:row>
          <xdr:rowOff>47625</xdr:rowOff>
        </xdr:to>
        <xdr:sp macro="" textlink="">
          <xdr:nvSpPr>
            <xdr:cNvPr id="8320" name="Label 128" hidden="1">
              <a:extLst>
                <a:ext uri="{63B3BB69-23CF-44E3-9099-C40C66FF867C}">
                  <a14:compatExt spid="_x0000_s8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4eme activité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0</xdr:colOff>
          <xdr:row>11</xdr:row>
          <xdr:rowOff>9525</xdr:rowOff>
        </xdr:from>
        <xdr:to>
          <xdr:col>42</xdr:col>
          <xdr:colOff>47625</xdr:colOff>
          <xdr:row>12</xdr:row>
          <xdr:rowOff>57150</xdr:rowOff>
        </xdr:to>
        <xdr:sp macro="" textlink="">
          <xdr:nvSpPr>
            <xdr:cNvPr id="8321" name="Label 129" hidden="1">
              <a:extLst>
                <a:ext uri="{63B3BB69-23CF-44E3-9099-C40C66FF867C}">
                  <a14:compatExt spid="_x0000_s8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5eme activité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152400</xdr:colOff>
          <xdr:row>21</xdr:row>
          <xdr:rowOff>66675</xdr:rowOff>
        </xdr:from>
        <xdr:to>
          <xdr:col>36</xdr:col>
          <xdr:colOff>9525</xdr:colOff>
          <xdr:row>21</xdr:row>
          <xdr:rowOff>228600</xdr:rowOff>
        </xdr:to>
        <xdr:sp macro="" textlink="">
          <xdr:nvSpPr>
            <xdr:cNvPr id="8322" name="Label 130" hidden="1">
              <a:extLst>
                <a:ext uri="{63B3BB69-23CF-44E3-9099-C40C66FF867C}">
                  <a14:compatExt spid="_x0000_s83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par section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104775</xdr:colOff>
          <xdr:row>21</xdr:row>
          <xdr:rowOff>95250</xdr:rowOff>
        </xdr:from>
        <xdr:to>
          <xdr:col>42</xdr:col>
          <xdr:colOff>104775</xdr:colOff>
          <xdr:row>22</xdr:row>
          <xdr:rowOff>0</xdr:rowOff>
        </xdr:to>
        <xdr:sp macro="" textlink="">
          <xdr:nvSpPr>
            <xdr:cNvPr id="8323" name="Label 131" hidden="1">
              <a:extLst>
                <a:ext uri="{63B3BB69-23CF-44E3-9099-C40C66FF867C}">
                  <a14:compatExt spid="_x0000_s83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 DATE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114300</xdr:colOff>
          <xdr:row>20</xdr:row>
          <xdr:rowOff>0</xdr:rowOff>
        </xdr:from>
        <xdr:to>
          <xdr:col>44</xdr:col>
          <xdr:colOff>66675</xdr:colOff>
          <xdr:row>24</xdr:row>
          <xdr:rowOff>85725</xdr:rowOff>
        </xdr:to>
        <xdr:sp macro="" textlink="">
          <xdr:nvSpPr>
            <xdr:cNvPr id="8325" name="Group Box 133" hidden="1">
              <a:extLst>
                <a:ext uri="{63B3BB69-23CF-44E3-9099-C40C66FF867C}">
                  <a14:compatExt spid="_x0000_s83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66675</xdr:colOff>
          <xdr:row>4</xdr:row>
          <xdr:rowOff>104775</xdr:rowOff>
        </xdr:from>
        <xdr:to>
          <xdr:col>47</xdr:col>
          <xdr:colOff>714375</xdr:colOff>
          <xdr:row>5</xdr:row>
          <xdr:rowOff>85725</xdr:rowOff>
        </xdr:to>
        <xdr:sp macro="" textlink="">
          <xdr:nvSpPr>
            <xdr:cNvPr id="8326" name="Drop Down 134" hidden="1">
              <a:extLst>
                <a:ext uri="{63B3BB69-23CF-44E3-9099-C40C66FF867C}">
                  <a14:compatExt spid="_x0000_s83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66675</xdr:colOff>
          <xdr:row>3</xdr:row>
          <xdr:rowOff>0</xdr:rowOff>
        </xdr:from>
        <xdr:to>
          <xdr:col>47</xdr:col>
          <xdr:colOff>466725</xdr:colOff>
          <xdr:row>4</xdr:row>
          <xdr:rowOff>66675</xdr:rowOff>
        </xdr:to>
        <xdr:sp macro="" textlink="">
          <xdr:nvSpPr>
            <xdr:cNvPr id="8327" name="Label 135" hidden="1">
              <a:extLst>
                <a:ext uri="{63B3BB69-23CF-44E3-9099-C40C66FF867C}">
                  <a14:compatExt spid="_x0000_s83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FILTRE  par Section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9</xdr:row>
          <xdr:rowOff>85725</xdr:rowOff>
        </xdr:from>
        <xdr:to>
          <xdr:col>4</xdr:col>
          <xdr:colOff>114300</xdr:colOff>
          <xdr:row>10</xdr:row>
          <xdr:rowOff>209550</xdr:rowOff>
        </xdr:to>
        <xdr:sp macro="" textlink="">
          <xdr:nvSpPr>
            <xdr:cNvPr id="8328" name="Label 136" hidden="1">
              <a:extLst>
                <a:ext uri="{63B3BB69-23CF-44E3-9099-C40C66FF867C}">
                  <a14:compatExt spid="_x0000_s8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Société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9</xdr:row>
          <xdr:rowOff>85725</xdr:rowOff>
        </xdr:from>
        <xdr:to>
          <xdr:col>9</xdr:col>
          <xdr:colOff>152400</xdr:colOff>
          <xdr:row>10</xdr:row>
          <xdr:rowOff>209550</xdr:rowOff>
        </xdr:to>
        <xdr:sp macro="" textlink="">
          <xdr:nvSpPr>
            <xdr:cNvPr id="8329" name="Drop Down 137" hidden="1">
              <a:extLst>
                <a:ext uri="{63B3BB69-23CF-44E3-9099-C40C66FF867C}">
                  <a14:compatExt spid="_x0000_s8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152400</xdr:colOff>
          <xdr:row>29</xdr:row>
          <xdr:rowOff>38100</xdr:rowOff>
        </xdr:from>
        <xdr:to>
          <xdr:col>44</xdr:col>
          <xdr:colOff>76200</xdr:colOff>
          <xdr:row>31</xdr:row>
          <xdr:rowOff>161925</xdr:rowOff>
        </xdr:to>
        <xdr:sp macro="" textlink="">
          <xdr:nvSpPr>
            <xdr:cNvPr id="8330" name="Button 138" hidden="1">
              <a:extLst>
                <a:ext uri="{63B3BB69-23CF-44E3-9099-C40C66FF867C}">
                  <a14:compatExt spid="_x0000_s8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Anomalies de cotisation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57150</xdr:colOff>
          <xdr:row>15</xdr:row>
          <xdr:rowOff>66675</xdr:rowOff>
        </xdr:from>
        <xdr:to>
          <xdr:col>43</xdr:col>
          <xdr:colOff>57150</xdr:colOff>
          <xdr:row>19</xdr:row>
          <xdr:rowOff>38100</xdr:rowOff>
        </xdr:to>
        <xdr:sp macro="" textlink="">
          <xdr:nvSpPr>
            <xdr:cNvPr id="8332" name="List Box 140" hidden="1">
              <a:extLst>
                <a:ext uri="{63B3BB69-23CF-44E3-9099-C40C66FF867C}">
                  <a14:compatExt spid="_x0000_s8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19050</xdr:colOff>
          <xdr:row>6</xdr:row>
          <xdr:rowOff>38100</xdr:rowOff>
        </xdr:from>
        <xdr:to>
          <xdr:col>47</xdr:col>
          <xdr:colOff>752475</xdr:colOff>
          <xdr:row>35</xdr:row>
          <xdr:rowOff>38100</xdr:rowOff>
        </xdr:to>
        <xdr:sp macro="" textlink="">
          <xdr:nvSpPr>
            <xdr:cNvPr id="8333" name="List Box 141" hidden="1">
              <a:extLst>
                <a:ext uri="{63B3BB69-23CF-44E3-9099-C40C66FF867C}">
                  <a14:compatExt spid="_x0000_s8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26</xdr:row>
          <xdr:rowOff>57150</xdr:rowOff>
        </xdr:from>
        <xdr:to>
          <xdr:col>37</xdr:col>
          <xdr:colOff>171450</xdr:colOff>
          <xdr:row>31</xdr:row>
          <xdr:rowOff>161925</xdr:rowOff>
        </xdr:to>
        <xdr:sp macro="" textlink="">
          <xdr:nvSpPr>
            <xdr:cNvPr id="8334" name="Group Box 142" hidden="1">
              <a:extLst>
                <a:ext uri="{63B3BB69-23CF-44E3-9099-C40C66FF867C}">
                  <a14:compatExt spid="_x0000_s83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15</xdr:row>
          <xdr:rowOff>152400</xdr:rowOff>
        </xdr:from>
        <xdr:to>
          <xdr:col>44</xdr:col>
          <xdr:colOff>85725</xdr:colOff>
          <xdr:row>19</xdr:row>
          <xdr:rowOff>123825</xdr:rowOff>
        </xdr:to>
        <xdr:sp macro="" textlink="">
          <xdr:nvSpPr>
            <xdr:cNvPr id="8335" name="Group Box 143" hidden="1">
              <a:extLst>
                <a:ext uri="{63B3BB69-23CF-44E3-9099-C40C66FF867C}">
                  <a14:compatExt spid="_x0000_s83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85725</xdr:colOff>
          <xdr:row>16</xdr:row>
          <xdr:rowOff>66675</xdr:rowOff>
        </xdr:from>
        <xdr:to>
          <xdr:col>43</xdr:col>
          <xdr:colOff>114300</xdr:colOff>
          <xdr:row>19</xdr:row>
          <xdr:rowOff>28575</xdr:rowOff>
        </xdr:to>
        <xdr:sp macro="" textlink="">
          <xdr:nvSpPr>
            <xdr:cNvPr id="8338" name="Button 146" hidden="1">
              <a:extLst>
                <a:ext uri="{63B3BB69-23CF-44E3-9099-C40C66FF867C}">
                  <a14:compatExt spid="_x0000_s83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26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123825</xdr:colOff>
          <xdr:row>14</xdr:row>
          <xdr:rowOff>28575</xdr:rowOff>
        </xdr:from>
        <xdr:to>
          <xdr:col>8</xdr:col>
          <xdr:colOff>76200</xdr:colOff>
          <xdr:row>15</xdr:row>
          <xdr:rowOff>38100</xdr:rowOff>
        </xdr:to>
        <xdr:sp macro="" textlink="">
          <xdr:nvSpPr>
            <xdr:cNvPr id="8346" name="Button 154" hidden="1">
              <a:extLst>
                <a:ext uri="{63B3BB69-23CF-44E3-9099-C40C66FF867C}">
                  <a14:compatExt spid="_x0000_s83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Subventions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361950</xdr:rowOff>
        </xdr:from>
        <xdr:to>
          <xdr:col>41</xdr:col>
          <xdr:colOff>9525</xdr:colOff>
          <xdr:row>15</xdr:row>
          <xdr:rowOff>85725</xdr:rowOff>
        </xdr:to>
        <xdr:sp macro="" textlink="">
          <xdr:nvSpPr>
            <xdr:cNvPr id="8348" name="Group Box 156" hidden="1">
              <a:extLst>
                <a:ext uri="{63B3BB69-23CF-44E3-9099-C40C66FF867C}">
                  <a14:compatExt spid="_x0000_s83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28575</xdr:colOff>
          <xdr:row>32</xdr:row>
          <xdr:rowOff>76200</xdr:rowOff>
        </xdr:from>
        <xdr:to>
          <xdr:col>27</xdr:col>
          <xdr:colOff>57150</xdr:colOff>
          <xdr:row>35</xdr:row>
          <xdr:rowOff>66675</xdr:rowOff>
        </xdr:to>
        <xdr:sp macro="" textlink="">
          <xdr:nvSpPr>
            <xdr:cNvPr id="8349" name="Button 157" hidden="1">
              <a:extLst>
                <a:ext uri="{63B3BB69-23CF-44E3-9099-C40C66FF867C}">
                  <a14:compatExt spid="_x0000_s83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recherche de paiement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85725</xdr:colOff>
          <xdr:row>1</xdr:row>
          <xdr:rowOff>38100</xdr:rowOff>
        </xdr:from>
        <xdr:to>
          <xdr:col>47</xdr:col>
          <xdr:colOff>733425</xdr:colOff>
          <xdr:row>1</xdr:row>
          <xdr:rowOff>228600</xdr:rowOff>
        </xdr:to>
        <xdr:sp macro="" textlink="">
          <xdr:nvSpPr>
            <xdr:cNvPr id="8350" name="Button 158" hidden="1">
              <a:extLst>
                <a:ext uri="{63B3BB69-23CF-44E3-9099-C40C66FF867C}">
                  <a14:compatExt spid="_x0000_s83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ASCC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10</xdr:row>
          <xdr:rowOff>0</xdr:rowOff>
        </xdr:from>
        <xdr:to>
          <xdr:col>31</xdr:col>
          <xdr:colOff>47625</xdr:colOff>
          <xdr:row>10</xdr:row>
          <xdr:rowOff>209550</xdr:rowOff>
        </xdr:to>
        <xdr:sp macro="" textlink="">
          <xdr:nvSpPr>
            <xdr:cNvPr id="8352" name="Drop Down 160" hidden="1">
              <a:extLst>
                <a:ext uri="{63B3BB69-23CF-44E3-9099-C40C66FF867C}">
                  <a14:compatExt spid="_x0000_s83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38100</xdr:colOff>
          <xdr:row>10</xdr:row>
          <xdr:rowOff>19050</xdr:rowOff>
        </xdr:from>
        <xdr:to>
          <xdr:col>24</xdr:col>
          <xdr:colOff>38100</xdr:colOff>
          <xdr:row>10</xdr:row>
          <xdr:rowOff>200025</xdr:rowOff>
        </xdr:to>
        <xdr:sp macro="" textlink="">
          <xdr:nvSpPr>
            <xdr:cNvPr id="8353" name="Label 161" hidden="1">
              <a:extLst>
                <a:ext uri="{63B3BB69-23CF-44E3-9099-C40C66FF867C}">
                  <a14:compatExt spid="_x0000_s83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 qui 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104775</xdr:colOff>
          <xdr:row>22</xdr:row>
          <xdr:rowOff>19050</xdr:rowOff>
        </xdr:from>
        <xdr:to>
          <xdr:col>29</xdr:col>
          <xdr:colOff>152400</xdr:colOff>
          <xdr:row>23</xdr:row>
          <xdr:rowOff>66675</xdr:rowOff>
        </xdr:to>
        <xdr:sp macro="" textlink="">
          <xdr:nvSpPr>
            <xdr:cNvPr id="8355" name="Drop Down 163" hidden="1">
              <a:extLst>
                <a:ext uri="{63B3BB69-23CF-44E3-9099-C40C66FF867C}">
                  <a14:compatExt spid="_x0000_s83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21</xdr:row>
          <xdr:rowOff>57150</xdr:rowOff>
        </xdr:from>
        <xdr:to>
          <xdr:col>29</xdr:col>
          <xdr:colOff>152400</xdr:colOff>
          <xdr:row>21</xdr:row>
          <xdr:rowOff>219075</xdr:rowOff>
        </xdr:to>
        <xdr:sp macro="" textlink="">
          <xdr:nvSpPr>
            <xdr:cNvPr id="8356" name="Label 164" hidden="1">
              <a:extLst>
                <a:ext uri="{63B3BB69-23CF-44E3-9099-C40C66FF867C}">
                  <a14:compatExt spid="_x0000_s83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non-réinscrits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20</xdr:row>
          <xdr:rowOff>38100</xdr:rowOff>
        </xdr:from>
        <xdr:to>
          <xdr:col>38</xdr:col>
          <xdr:colOff>161925</xdr:colOff>
          <xdr:row>21</xdr:row>
          <xdr:rowOff>95250</xdr:rowOff>
        </xdr:to>
        <xdr:sp macro="" textlink="">
          <xdr:nvSpPr>
            <xdr:cNvPr id="8357" name="Option Button 165" hidden="1">
              <a:extLst>
                <a:ext uri="{63B3BB69-23CF-44E3-9099-C40C66FF867C}">
                  <a14:compatExt spid="_x0000_s83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MAILLING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57150</xdr:colOff>
          <xdr:row>20</xdr:row>
          <xdr:rowOff>19050</xdr:rowOff>
        </xdr:from>
        <xdr:to>
          <xdr:col>33</xdr:col>
          <xdr:colOff>152400</xdr:colOff>
          <xdr:row>21</xdr:row>
          <xdr:rowOff>123825</xdr:rowOff>
        </xdr:to>
        <xdr:sp macro="" textlink="">
          <xdr:nvSpPr>
            <xdr:cNvPr id="8358" name="Option Button 166" hidden="1">
              <a:extLst>
                <a:ext uri="{63B3BB69-23CF-44E3-9099-C40C66FF867C}">
                  <a14:compatExt spid="_x0000_s83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LISTE PAPIER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114300</xdr:colOff>
          <xdr:row>32</xdr:row>
          <xdr:rowOff>76200</xdr:rowOff>
        </xdr:from>
        <xdr:to>
          <xdr:col>32</xdr:col>
          <xdr:colOff>123825</xdr:colOff>
          <xdr:row>35</xdr:row>
          <xdr:rowOff>66675</xdr:rowOff>
        </xdr:to>
        <xdr:sp macro="" textlink="">
          <xdr:nvSpPr>
            <xdr:cNvPr id="8359" name="Button 167" hidden="1">
              <a:extLst>
                <a:ext uri="{63B3BB69-23CF-44E3-9099-C40C66FF867C}">
                  <a14:compatExt spid="_x0000_s83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réédition des courriers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133350</xdr:colOff>
          <xdr:row>32</xdr:row>
          <xdr:rowOff>66675</xdr:rowOff>
        </xdr:from>
        <xdr:to>
          <xdr:col>44</xdr:col>
          <xdr:colOff>47625</xdr:colOff>
          <xdr:row>35</xdr:row>
          <xdr:rowOff>57150</xdr:rowOff>
        </xdr:to>
        <xdr:sp macro="" textlink="">
          <xdr:nvSpPr>
            <xdr:cNvPr id="8360" name="Button 168" hidden="1">
              <a:extLst>
                <a:ext uri="{63B3BB69-23CF-44E3-9099-C40C66FF867C}">
                  <a14:compatExt spid="_x0000_s83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liste des virements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76200</xdr:colOff>
          <xdr:row>10</xdr:row>
          <xdr:rowOff>85725</xdr:rowOff>
        </xdr:from>
        <xdr:to>
          <xdr:col>40</xdr:col>
          <xdr:colOff>123825</xdr:colOff>
          <xdr:row>10</xdr:row>
          <xdr:rowOff>314325</xdr:rowOff>
        </xdr:to>
        <xdr:sp macro="" textlink="">
          <xdr:nvSpPr>
            <xdr:cNvPr id="8361" name="Option Button 169" hidden="1">
              <a:extLst>
                <a:ext uri="{63B3BB69-23CF-44E3-9099-C40C66FF867C}">
                  <a14:compatExt spid="_x0000_s8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RESTREINT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161925</xdr:colOff>
          <xdr:row>8</xdr:row>
          <xdr:rowOff>76200</xdr:rowOff>
        </xdr:from>
        <xdr:to>
          <xdr:col>43</xdr:col>
          <xdr:colOff>180975</xdr:colOff>
          <xdr:row>10</xdr:row>
          <xdr:rowOff>342900</xdr:rowOff>
        </xdr:to>
        <xdr:sp macro="" textlink="">
          <xdr:nvSpPr>
            <xdr:cNvPr id="8363" name="Group Box 171" hidden="1">
              <a:extLst>
                <a:ext uri="{63B3BB69-23CF-44E3-9099-C40C66FF867C}">
                  <a14:compatExt spid="_x0000_s83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76200</xdr:colOff>
          <xdr:row>32</xdr:row>
          <xdr:rowOff>76200</xdr:rowOff>
        </xdr:from>
        <xdr:to>
          <xdr:col>21</xdr:col>
          <xdr:colOff>180975</xdr:colOff>
          <xdr:row>35</xdr:row>
          <xdr:rowOff>66675</xdr:rowOff>
        </xdr:to>
        <xdr:sp macro="" textlink="">
          <xdr:nvSpPr>
            <xdr:cNvPr id="8365" name="Button 173" hidden="1">
              <a:extLst>
                <a:ext uri="{63B3BB69-23CF-44E3-9099-C40C66FF867C}">
                  <a14:compatExt spid="_x0000_s83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réémission des virements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180975</xdr:colOff>
          <xdr:row>32</xdr:row>
          <xdr:rowOff>76200</xdr:rowOff>
        </xdr:from>
        <xdr:to>
          <xdr:col>16</xdr:col>
          <xdr:colOff>28575</xdr:colOff>
          <xdr:row>35</xdr:row>
          <xdr:rowOff>66675</xdr:rowOff>
        </xdr:to>
        <xdr:sp macro="" textlink="">
          <xdr:nvSpPr>
            <xdr:cNvPr id="8366" name="Button 174" hidden="1">
              <a:extLst>
                <a:ext uri="{63B3BB69-23CF-44E3-9099-C40C66FF867C}">
                  <a14:compatExt spid="_x0000_s83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Filtre sur date virements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32</xdr:row>
          <xdr:rowOff>66675</xdr:rowOff>
        </xdr:from>
        <xdr:to>
          <xdr:col>10</xdr:col>
          <xdr:colOff>133350</xdr:colOff>
          <xdr:row>35</xdr:row>
          <xdr:rowOff>47625</xdr:rowOff>
        </xdr:to>
        <xdr:sp macro="" textlink="">
          <xdr:nvSpPr>
            <xdr:cNvPr id="8367" name="Button 175" hidden="1">
              <a:extLst>
                <a:ext uri="{63B3BB69-23CF-44E3-9099-C40C66FF867C}">
                  <a14:compatExt spid="_x0000_s83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Annulation de saisie sur page en cours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57150</xdr:colOff>
          <xdr:row>22</xdr:row>
          <xdr:rowOff>28575</xdr:rowOff>
        </xdr:from>
        <xdr:to>
          <xdr:col>43</xdr:col>
          <xdr:colOff>171450</xdr:colOff>
          <xdr:row>23</xdr:row>
          <xdr:rowOff>85725</xdr:rowOff>
        </xdr:to>
        <xdr:sp macro="" textlink="">
          <xdr:nvSpPr>
            <xdr:cNvPr id="8368" name="Check Box 176" hidden="1">
              <a:extLst>
                <a:ext uri="{63B3BB69-23CF-44E3-9099-C40C66FF867C}">
                  <a14:compatExt spid="_x0000_s83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0</xdr:colOff>
          <xdr:row>32</xdr:row>
          <xdr:rowOff>66675</xdr:rowOff>
        </xdr:from>
        <xdr:to>
          <xdr:col>38</xdr:col>
          <xdr:colOff>9525</xdr:colOff>
          <xdr:row>35</xdr:row>
          <xdr:rowOff>57150</xdr:rowOff>
        </xdr:to>
        <xdr:sp macro="" textlink="">
          <xdr:nvSpPr>
            <xdr:cNvPr id="8369" name="Button 177" hidden="1">
              <a:extLst>
                <a:ext uri="{63B3BB69-23CF-44E3-9099-C40C66FF867C}">
                  <a14:compatExt spid="_x0000_s8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liste pour assurance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41</xdr:col>
      <xdr:colOff>121227</xdr:colOff>
      <xdr:row>14</xdr:row>
      <xdr:rowOff>146906</xdr:rowOff>
    </xdr:from>
    <xdr:to>
      <xdr:col>43</xdr:col>
      <xdr:colOff>147204</xdr:colOff>
      <xdr:row>15</xdr:row>
      <xdr:rowOff>121227</xdr:rowOff>
    </xdr:to>
    <xdr:pic macro="[0]!test_mail">
      <xdr:nvPicPr>
        <xdr:cNvPr id="8390" name="Picture 181" descr="26-08-2013 19-53-0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09659" y="2727315"/>
          <a:ext cx="406977" cy="2860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104775</xdr:colOff>
          <xdr:row>14</xdr:row>
          <xdr:rowOff>28575</xdr:rowOff>
        </xdr:from>
        <xdr:to>
          <xdr:col>40</xdr:col>
          <xdr:colOff>152400</xdr:colOff>
          <xdr:row>15</xdr:row>
          <xdr:rowOff>38100</xdr:rowOff>
        </xdr:to>
        <xdr:sp macro="" textlink="">
          <xdr:nvSpPr>
            <xdr:cNvPr id="8372" name="Button 180" hidden="1">
              <a:extLst>
                <a:ext uri="{63B3BB69-23CF-44E3-9099-C40C66FF867C}">
                  <a14:compatExt spid="_x0000_s83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Prélèvements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104775</xdr:colOff>
          <xdr:row>13</xdr:row>
          <xdr:rowOff>390525</xdr:rowOff>
        </xdr:from>
        <xdr:to>
          <xdr:col>43</xdr:col>
          <xdr:colOff>142875</xdr:colOff>
          <xdr:row>14</xdr:row>
          <xdr:rowOff>152400</xdr:rowOff>
        </xdr:to>
        <xdr:sp macro="" textlink="">
          <xdr:nvSpPr>
            <xdr:cNvPr id="8374" name="Button 182" hidden="1">
              <a:extLst>
                <a:ext uri="{63B3BB69-23CF-44E3-9099-C40C66FF867C}">
                  <a14:compatExt spid="_x0000_s83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Rib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66675</xdr:colOff>
          <xdr:row>3</xdr:row>
          <xdr:rowOff>133350</xdr:rowOff>
        </xdr:from>
        <xdr:to>
          <xdr:col>11</xdr:col>
          <xdr:colOff>447675</xdr:colOff>
          <xdr:row>5</xdr:row>
          <xdr:rowOff>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Ajouter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6</xdr:row>
          <xdr:rowOff>228600</xdr:rowOff>
        </xdr:from>
        <xdr:to>
          <xdr:col>10</xdr:col>
          <xdr:colOff>47625</xdr:colOff>
          <xdr:row>8</xdr:row>
          <xdr:rowOff>47625</xdr:rowOff>
        </xdr:to>
        <xdr:sp macro="" textlink="">
          <xdr:nvSpPr>
            <xdr:cNvPr id="15369" name="Check Box 9" hidden="1">
              <a:extLst>
                <a:ext uri="{63B3BB69-23CF-44E3-9099-C40C66FF867C}">
                  <a14:compatExt spid="_x0000_s15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10</xdr:row>
          <xdr:rowOff>104775</xdr:rowOff>
        </xdr:from>
        <xdr:to>
          <xdr:col>10</xdr:col>
          <xdr:colOff>47625</xdr:colOff>
          <xdr:row>12</xdr:row>
          <xdr:rowOff>0</xdr:rowOff>
        </xdr:to>
        <xdr:sp macro="" textlink="">
          <xdr:nvSpPr>
            <xdr:cNvPr id="15370" name="Check Box 10" hidden="1">
              <a:extLst>
                <a:ext uri="{63B3BB69-23CF-44E3-9099-C40C66FF867C}">
                  <a14:compatExt spid="_x0000_s153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8</xdr:row>
          <xdr:rowOff>123825</xdr:rowOff>
        </xdr:from>
        <xdr:to>
          <xdr:col>10</xdr:col>
          <xdr:colOff>47625</xdr:colOff>
          <xdr:row>10</xdr:row>
          <xdr:rowOff>19050</xdr:rowOff>
        </xdr:to>
        <xdr:sp macro="" textlink="">
          <xdr:nvSpPr>
            <xdr:cNvPr id="15371" name="Check Box 11" hidden="1">
              <a:extLst>
                <a:ext uri="{63B3BB69-23CF-44E3-9099-C40C66FF867C}">
                  <a14:compatExt spid="_x0000_s153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16</xdr:row>
          <xdr:rowOff>123825</xdr:rowOff>
        </xdr:from>
        <xdr:to>
          <xdr:col>10</xdr:col>
          <xdr:colOff>47625</xdr:colOff>
          <xdr:row>18</xdr:row>
          <xdr:rowOff>19050</xdr:rowOff>
        </xdr:to>
        <xdr:sp macro="" textlink="">
          <xdr:nvSpPr>
            <xdr:cNvPr id="15372" name="Check Box 12" hidden="1">
              <a:extLst>
                <a:ext uri="{63B3BB69-23CF-44E3-9099-C40C66FF867C}">
                  <a14:compatExt spid="_x0000_s153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18</xdr:row>
          <xdr:rowOff>133350</xdr:rowOff>
        </xdr:from>
        <xdr:to>
          <xdr:col>10</xdr:col>
          <xdr:colOff>57150</xdr:colOff>
          <xdr:row>20</xdr:row>
          <xdr:rowOff>28575</xdr:rowOff>
        </xdr:to>
        <xdr:sp macro="" textlink="">
          <xdr:nvSpPr>
            <xdr:cNvPr id="15373" name="Check Box 13" hidden="1">
              <a:extLst>
                <a:ext uri="{63B3BB69-23CF-44E3-9099-C40C66FF867C}">
                  <a14:compatExt spid="_x0000_s153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12</xdr:row>
          <xdr:rowOff>123825</xdr:rowOff>
        </xdr:from>
        <xdr:to>
          <xdr:col>10</xdr:col>
          <xdr:colOff>47625</xdr:colOff>
          <xdr:row>14</xdr:row>
          <xdr:rowOff>19050</xdr:rowOff>
        </xdr:to>
        <xdr:sp macro="" textlink="">
          <xdr:nvSpPr>
            <xdr:cNvPr id="15374" name="Check Box 14" hidden="1">
              <a:extLst>
                <a:ext uri="{63B3BB69-23CF-44E3-9099-C40C66FF867C}">
                  <a14:compatExt spid="_x0000_s153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14</xdr:row>
          <xdr:rowOff>123825</xdr:rowOff>
        </xdr:from>
        <xdr:to>
          <xdr:col>10</xdr:col>
          <xdr:colOff>47625</xdr:colOff>
          <xdr:row>16</xdr:row>
          <xdr:rowOff>19050</xdr:rowOff>
        </xdr:to>
        <xdr:sp macro="" textlink="">
          <xdr:nvSpPr>
            <xdr:cNvPr id="15375" name="Check Box 15" hidden="1">
              <a:extLst>
                <a:ext uri="{63B3BB69-23CF-44E3-9099-C40C66FF867C}">
                  <a14:compatExt spid="_x0000_s153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123825</xdr:colOff>
          <xdr:row>6</xdr:row>
          <xdr:rowOff>219075</xdr:rowOff>
        </xdr:from>
        <xdr:to>
          <xdr:col>11</xdr:col>
          <xdr:colOff>561975</xdr:colOff>
          <xdr:row>8</xdr:row>
          <xdr:rowOff>85725</xdr:rowOff>
        </xdr:to>
        <xdr:sp macro="" textlink="">
          <xdr:nvSpPr>
            <xdr:cNvPr id="15376" name="Button 16" hidden="1">
              <a:extLst>
                <a:ext uri="{63B3BB69-23CF-44E3-9099-C40C66FF867C}">
                  <a14:compatExt spid="_x0000_s153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Modifier Selection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104775</xdr:colOff>
          <xdr:row>9</xdr:row>
          <xdr:rowOff>76200</xdr:rowOff>
        </xdr:from>
        <xdr:to>
          <xdr:col>11</xdr:col>
          <xdr:colOff>561975</xdr:colOff>
          <xdr:row>11</xdr:row>
          <xdr:rowOff>9525</xdr:rowOff>
        </xdr:to>
        <xdr:sp macro="" textlink="">
          <xdr:nvSpPr>
            <xdr:cNvPr id="15377" name="Button 17" hidden="1">
              <a:extLst>
                <a:ext uri="{63B3BB69-23CF-44E3-9099-C40C66FF867C}">
                  <a14:compatExt spid="_x0000_s153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 Selection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133350</xdr:colOff>
          <xdr:row>13</xdr:row>
          <xdr:rowOff>152400</xdr:rowOff>
        </xdr:from>
        <xdr:to>
          <xdr:col>11</xdr:col>
          <xdr:colOff>342900</xdr:colOff>
          <xdr:row>17</xdr:row>
          <xdr:rowOff>0</xdr:rowOff>
        </xdr:to>
        <xdr:sp macro="" textlink="">
          <xdr:nvSpPr>
            <xdr:cNvPr id="15378" name="Button 18" hidden="1">
              <a:extLst>
                <a:ext uri="{63B3BB69-23CF-44E3-9099-C40C66FF867C}">
                  <a14:compatExt spid="_x0000_s153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retour gestion adhérent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4</xdr:col>
          <xdr:colOff>0</xdr:colOff>
          <xdr:row>4</xdr:row>
          <xdr:rowOff>171450</xdr:rowOff>
        </xdr:to>
        <xdr:sp macro="" textlink="">
          <xdr:nvSpPr>
            <xdr:cNvPr id="15379" name="Drop Down 19" hidden="1">
              <a:extLst>
                <a:ext uri="{63B3BB69-23CF-44E3-9099-C40C66FF867C}">
                  <a14:compatExt spid="_x0000_s153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20</xdr:row>
          <xdr:rowOff>133350</xdr:rowOff>
        </xdr:from>
        <xdr:to>
          <xdr:col>10</xdr:col>
          <xdr:colOff>57150</xdr:colOff>
          <xdr:row>22</xdr:row>
          <xdr:rowOff>28575</xdr:rowOff>
        </xdr:to>
        <xdr:sp macro="" textlink="">
          <xdr:nvSpPr>
            <xdr:cNvPr id="15382" name="Check Box 22" hidden="1">
              <a:extLst>
                <a:ext uri="{63B3BB69-23CF-44E3-9099-C40C66FF867C}">
                  <a14:compatExt spid="_x0000_s153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22</xdr:row>
          <xdr:rowOff>133350</xdr:rowOff>
        </xdr:from>
        <xdr:to>
          <xdr:col>10</xdr:col>
          <xdr:colOff>57150</xdr:colOff>
          <xdr:row>24</xdr:row>
          <xdr:rowOff>28575</xdr:rowOff>
        </xdr:to>
        <xdr:sp macro="" textlink="">
          <xdr:nvSpPr>
            <xdr:cNvPr id="15383" name="Check Box 23" hidden="1">
              <a:extLst>
                <a:ext uri="{63B3BB69-23CF-44E3-9099-C40C66FF867C}">
                  <a14:compatExt spid="_x0000_s153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24</xdr:row>
          <xdr:rowOff>133350</xdr:rowOff>
        </xdr:from>
        <xdr:to>
          <xdr:col>10</xdr:col>
          <xdr:colOff>57150</xdr:colOff>
          <xdr:row>26</xdr:row>
          <xdr:rowOff>28575</xdr:rowOff>
        </xdr:to>
        <xdr:sp macro="" textlink="">
          <xdr:nvSpPr>
            <xdr:cNvPr id="15384" name="Check Box 24" hidden="1">
              <a:extLst>
                <a:ext uri="{63B3BB69-23CF-44E3-9099-C40C66FF867C}">
                  <a14:compatExt spid="_x0000_s153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657225</xdr:colOff>
          <xdr:row>2</xdr:row>
          <xdr:rowOff>38100</xdr:rowOff>
        </xdr:from>
        <xdr:to>
          <xdr:col>13</xdr:col>
          <xdr:colOff>47625</xdr:colOff>
          <xdr:row>3</xdr:row>
          <xdr:rowOff>114300</xdr:rowOff>
        </xdr:to>
        <xdr:sp macro="" textlink="">
          <xdr:nvSpPr>
            <xdr:cNvPr id="15387" name="Check Box 27" hidden="1">
              <a:extLst>
                <a:ext uri="{63B3BB69-23CF-44E3-9099-C40C66FF867C}">
                  <a14:compatExt spid="_x0000_s153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à régler 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142875</xdr:colOff>
          <xdr:row>26</xdr:row>
          <xdr:rowOff>47625</xdr:rowOff>
        </xdr:from>
        <xdr:to>
          <xdr:col>11</xdr:col>
          <xdr:colOff>609600</xdr:colOff>
          <xdr:row>29</xdr:row>
          <xdr:rowOff>19050</xdr:rowOff>
        </xdr:to>
        <xdr:sp macro="" textlink="">
          <xdr:nvSpPr>
            <xdr:cNvPr id="15388" name="Button 28" hidden="1">
              <a:extLst>
                <a:ext uri="{63B3BB69-23CF-44E3-9099-C40C66FF867C}">
                  <a14:compatExt spid="_x0000_s153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modification du RIB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1152525</xdr:colOff>
          <xdr:row>0</xdr:row>
          <xdr:rowOff>76200</xdr:rowOff>
        </xdr:from>
        <xdr:to>
          <xdr:col>14</xdr:col>
          <xdr:colOff>1990725</xdr:colOff>
          <xdr:row>1</xdr:row>
          <xdr:rowOff>28575</xdr:rowOff>
        </xdr:to>
        <xdr:sp macro="" textlink="">
          <xdr:nvSpPr>
            <xdr:cNvPr id="15392" name="Button 32" hidden="1">
              <a:extLst>
                <a:ext uri="{63B3BB69-23CF-44E3-9099-C40C66FF867C}">
                  <a14:compatExt spid="_x0000_s153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ASCC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22</xdr:row>
          <xdr:rowOff>38100</xdr:rowOff>
        </xdr:from>
        <xdr:to>
          <xdr:col>11</xdr:col>
          <xdr:colOff>466725</xdr:colOff>
          <xdr:row>23</xdr:row>
          <xdr:rowOff>66675</xdr:rowOff>
        </xdr:to>
        <xdr:sp macro="" textlink="">
          <xdr:nvSpPr>
            <xdr:cNvPr id="15393" name="Button 33" hidden="1">
              <a:extLst>
                <a:ext uri="{63B3BB69-23CF-44E3-9099-C40C66FF867C}">
                  <a14:compatExt spid="_x0000_s153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Fiche Adhérent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20</xdr:row>
          <xdr:rowOff>66675</xdr:rowOff>
        </xdr:from>
        <xdr:to>
          <xdr:col>11</xdr:col>
          <xdr:colOff>466725</xdr:colOff>
          <xdr:row>21</xdr:row>
          <xdr:rowOff>114300</xdr:rowOff>
        </xdr:to>
        <xdr:sp macro="" textlink="">
          <xdr:nvSpPr>
            <xdr:cNvPr id="15394" name="Button 34" hidden="1">
              <a:extLst>
                <a:ext uri="{63B3BB69-23CF-44E3-9099-C40C66FF867C}">
                  <a14:compatExt spid="_x0000_s153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Refus de subv.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17</xdr:row>
          <xdr:rowOff>76200</xdr:rowOff>
        </xdr:from>
        <xdr:to>
          <xdr:col>11</xdr:col>
          <xdr:colOff>352425</xdr:colOff>
          <xdr:row>18</xdr:row>
          <xdr:rowOff>114300</xdr:rowOff>
        </xdr:to>
        <xdr:sp macro="" textlink="">
          <xdr:nvSpPr>
            <xdr:cNvPr id="15396" name="Button 36" hidden="1">
              <a:extLst>
                <a:ext uri="{63B3BB69-23CF-44E3-9099-C40C66FF867C}">
                  <a14:compatExt spid="_x0000_s153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123825</xdr:colOff>
          <xdr:row>12</xdr:row>
          <xdr:rowOff>38100</xdr:rowOff>
        </xdr:from>
        <xdr:to>
          <xdr:col>11</xdr:col>
          <xdr:colOff>342900</xdr:colOff>
          <xdr:row>13</xdr:row>
          <xdr:rowOff>66675</xdr:rowOff>
        </xdr:to>
        <xdr:sp macro="" textlink="">
          <xdr:nvSpPr>
            <xdr:cNvPr id="15399" name="Button 39" hidden="1">
              <a:extLst>
                <a:ext uri="{63B3BB69-23CF-44E3-9099-C40C66FF867C}">
                  <a14:compatExt spid="_x0000_s153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&gt;&gt;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6</xdr:row>
          <xdr:rowOff>200025</xdr:rowOff>
        </xdr:from>
        <xdr:to>
          <xdr:col>19</xdr:col>
          <xdr:colOff>28575</xdr:colOff>
          <xdr:row>8</xdr:row>
          <xdr:rowOff>0</xdr:rowOff>
        </xdr:to>
        <xdr:sp macro="" textlink="">
          <xdr:nvSpPr>
            <xdr:cNvPr id="22530" name="Check Box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10</xdr:row>
          <xdr:rowOff>57150</xdr:rowOff>
        </xdr:from>
        <xdr:to>
          <xdr:col>19</xdr:col>
          <xdr:colOff>95250</xdr:colOff>
          <xdr:row>11</xdr:row>
          <xdr:rowOff>114300</xdr:rowOff>
        </xdr:to>
        <xdr:sp macro="" textlink="">
          <xdr:nvSpPr>
            <xdr:cNvPr id="22531" name="Check Box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8</xdr:row>
          <xdr:rowOff>76200</xdr:rowOff>
        </xdr:from>
        <xdr:to>
          <xdr:col>19</xdr:col>
          <xdr:colOff>95250</xdr:colOff>
          <xdr:row>9</xdr:row>
          <xdr:rowOff>133350</xdr:rowOff>
        </xdr:to>
        <xdr:sp macro="" textlink="">
          <xdr:nvSpPr>
            <xdr:cNvPr id="22532" name="Check Box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12</xdr:row>
          <xdr:rowOff>76200</xdr:rowOff>
        </xdr:from>
        <xdr:to>
          <xdr:col>19</xdr:col>
          <xdr:colOff>95250</xdr:colOff>
          <xdr:row>13</xdr:row>
          <xdr:rowOff>133350</xdr:rowOff>
        </xdr:to>
        <xdr:sp macro="" textlink="">
          <xdr:nvSpPr>
            <xdr:cNvPr id="22535" name="Check Box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14</xdr:row>
          <xdr:rowOff>76200</xdr:rowOff>
        </xdr:from>
        <xdr:to>
          <xdr:col>19</xdr:col>
          <xdr:colOff>95250</xdr:colOff>
          <xdr:row>15</xdr:row>
          <xdr:rowOff>133350</xdr:rowOff>
        </xdr:to>
        <xdr:sp macro="" textlink="">
          <xdr:nvSpPr>
            <xdr:cNvPr id="22536" name="Check Box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514350</xdr:colOff>
          <xdr:row>23</xdr:row>
          <xdr:rowOff>47625</xdr:rowOff>
        </xdr:from>
        <xdr:to>
          <xdr:col>18</xdr:col>
          <xdr:colOff>66675</xdr:colOff>
          <xdr:row>25</xdr:row>
          <xdr:rowOff>142875</xdr:rowOff>
        </xdr:to>
        <xdr:sp macro="" textlink="">
          <xdr:nvSpPr>
            <xdr:cNvPr id="22539" name="Button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retour gestion adhérent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4</xdr:col>
          <xdr:colOff>0</xdr:colOff>
          <xdr:row>4</xdr:row>
          <xdr:rowOff>171450</xdr:rowOff>
        </xdr:to>
        <xdr:sp macro="" textlink="">
          <xdr:nvSpPr>
            <xdr:cNvPr id="22540" name="Drop Down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790575</xdr:colOff>
          <xdr:row>0</xdr:row>
          <xdr:rowOff>161925</xdr:rowOff>
        </xdr:from>
        <xdr:to>
          <xdr:col>16</xdr:col>
          <xdr:colOff>638175</xdr:colOff>
          <xdr:row>1</xdr:row>
          <xdr:rowOff>66675</xdr:rowOff>
        </xdr:to>
        <xdr:sp macro="" textlink="">
          <xdr:nvSpPr>
            <xdr:cNvPr id="22544" name="Check Box 16" hidden="1">
              <a:extLst>
                <a:ext uri="{63B3BB69-23CF-44E3-9099-C40C66FF867C}">
                  <a14:compatExt spid="_x0000_s225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à régler 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142875</xdr:colOff>
          <xdr:row>26</xdr:row>
          <xdr:rowOff>47625</xdr:rowOff>
        </xdr:from>
        <xdr:to>
          <xdr:col>12</xdr:col>
          <xdr:colOff>590550</xdr:colOff>
          <xdr:row>29</xdr:row>
          <xdr:rowOff>19050</xdr:rowOff>
        </xdr:to>
        <xdr:sp macro="" textlink="">
          <xdr:nvSpPr>
            <xdr:cNvPr id="22545" name="Button 17" hidden="1">
              <a:extLst>
                <a:ext uri="{63B3BB69-23CF-44E3-9099-C40C66FF867C}">
                  <a14:compatExt spid="_x0000_s225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modification du RIB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257175</xdr:colOff>
          <xdr:row>0</xdr:row>
          <xdr:rowOff>104775</xdr:rowOff>
        </xdr:from>
        <xdr:to>
          <xdr:col>19</xdr:col>
          <xdr:colOff>1057275</xdr:colOff>
          <xdr:row>1</xdr:row>
          <xdr:rowOff>104775</xdr:rowOff>
        </xdr:to>
        <xdr:sp macro="" textlink="">
          <xdr:nvSpPr>
            <xdr:cNvPr id="22546" name="Button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ASCC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123825</xdr:colOff>
          <xdr:row>26</xdr:row>
          <xdr:rowOff>95250</xdr:rowOff>
        </xdr:from>
        <xdr:to>
          <xdr:col>18</xdr:col>
          <xdr:colOff>57150</xdr:colOff>
          <xdr:row>29</xdr:row>
          <xdr:rowOff>0</xdr:rowOff>
        </xdr:to>
        <xdr:sp macro="" textlink="">
          <xdr:nvSpPr>
            <xdr:cNvPr id="22547" name="Button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Récap Prélèvement Adhérent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16</xdr:row>
          <xdr:rowOff>104775</xdr:rowOff>
        </xdr:from>
        <xdr:to>
          <xdr:col>19</xdr:col>
          <xdr:colOff>85725</xdr:colOff>
          <xdr:row>18</xdr:row>
          <xdr:rowOff>0</xdr:rowOff>
        </xdr:to>
        <xdr:sp macro="" textlink="">
          <xdr:nvSpPr>
            <xdr:cNvPr id="22551" name="Check Box 23" hidden="1">
              <a:extLst>
                <a:ext uri="{63B3BB69-23CF-44E3-9099-C40C66FF867C}">
                  <a14:compatExt spid="_x0000_s225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18</xdr:row>
          <xdr:rowOff>152400</xdr:rowOff>
        </xdr:from>
        <xdr:to>
          <xdr:col>19</xdr:col>
          <xdr:colOff>85725</xdr:colOff>
          <xdr:row>20</xdr:row>
          <xdr:rowOff>47625</xdr:rowOff>
        </xdr:to>
        <xdr:sp macro="" textlink="">
          <xdr:nvSpPr>
            <xdr:cNvPr id="22552" name="Check Box 24" hidden="1">
              <a:extLst>
                <a:ext uri="{63B3BB69-23CF-44E3-9099-C40C66FF867C}">
                  <a14:compatExt spid="_x0000_s225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20</xdr:row>
          <xdr:rowOff>142875</xdr:rowOff>
        </xdr:from>
        <xdr:to>
          <xdr:col>19</xdr:col>
          <xdr:colOff>85725</xdr:colOff>
          <xdr:row>22</xdr:row>
          <xdr:rowOff>38100</xdr:rowOff>
        </xdr:to>
        <xdr:sp macro="" textlink="">
          <xdr:nvSpPr>
            <xdr:cNvPr id="22554" name="Check Box 26" hidden="1">
              <a:extLst>
                <a:ext uri="{63B3BB69-23CF-44E3-9099-C40C66FF867C}">
                  <a14:compatExt spid="_x0000_s22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3</xdr:row>
          <xdr:rowOff>123825</xdr:rowOff>
        </xdr:from>
        <xdr:to>
          <xdr:col>19</xdr:col>
          <xdr:colOff>1057275</xdr:colOff>
          <xdr:row>5</xdr:row>
          <xdr:rowOff>28575</xdr:rowOff>
        </xdr:to>
        <xdr:sp macro="" textlink="">
          <xdr:nvSpPr>
            <xdr:cNvPr id="22556" name="Button 28" hidden="1">
              <a:extLst>
                <a:ext uri="{63B3BB69-23CF-44E3-9099-C40C66FF867C}">
                  <a14:compatExt spid="_x0000_s225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Ajouter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104775</xdr:colOff>
          <xdr:row>6</xdr:row>
          <xdr:rowOff>171450</xdr:rowOff>
        </xdr:from>
        <xdr:to>
          <xdr:col>19</xdr:col>
          <xdr:colOff>1133475</xdr:colOff>
          <xdr:row>8</xdr:row>
          <xdr:rowOff>28575</xdr:rowOff>
        </xdr:to>
        <xdr:sp macro="" textlink="">
          <xdr:nvSpPr>
            <xdr:cNvPr id="22557" name="Button 29" hidden="1">
              <a:extLst>
                <a:ext uri="{63B3BB69-23CF-44E3-9099-C40C66FF867C}">
                  <a14:compatExt spid="_x0000_s22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 Selection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123825</xdr:colOff>
          <xdr:row>10</xdr:row>
          <xdr:rowOff>57150</xdr:rowOff>
        </xdr:from>
        <xdr:to>
          <xdr:col>19</xdr:col>
          <xdr:colOff>1190625</xdr:colOff>
          <xdr:row>12</xdr:row>
          <xdr:rowOff>0</xdr:rowOff>
        </xdr:to>
        <xdr:sp macro="" textlink="">
          <xdr:nvSpPr>
            <xdr:cNvPr id="22558" name="Button 30" hidden="1">
              <a:extLst>
                <a:ext uri="{63B3BB69-23CF-44E3-9099-C40C66FF867C}">
                  <a14:compatExt spid="_x0000_s225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Modifier Selection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628650</xdr:colOff>
          <xdr:row>16</xdr:row>
          <xdr:rowOff>123825</xdr:rowOff>
        </xdr:from>
        <xdr:to>
          <xdr:col>4</xdr:col>
          <xdr:colOff>47625</xdr:colOff>
          <xdr:row>19</xdr:row>
          <xdr:rowOff>9525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Modification du RIB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16</xdr:row>
          <xdr:rowOff>114300</xdr:rowOff>
        </xdr:from>
        <xdr:to>
          <xdr:col>8</xdr:col>
          <xdr:colOff>219075</xdr:colOff>
          <xdr:row>19</xdr:row>
          <xdr:rowOff>9525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Annulation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20</xdr:row>
          <xdr:rowOff>114300</xdr:rowOff>
        </xdr:from>
        <xdr:to>
          <xdr:col>12</xdr:col>
          <xdr:colOff>85725</xdr:colOff>
          <xdr:row>22</xdr:row>
          <xdr:rowOff>28575</xdr:rowOff>
        </xdr:to>
        <xdr:sp macro="" textlink="">
          <xdr:nvSpPr>
            <xdr:cNvPr id="18439" name="Option Button 7" hidden="1">
              <a:extLst>
                <a:ext uri="{63B3BB69-23CF-44E3-9099-C40C66FF867C}">
                  <a14:compatExt spid="_x0000_s184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OUI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20</xdr:row>
          <xdr:rowOff>104775</xdr:rowOff>
        </xdr:from>
        <xdr:to>
          <xdr:col>13</xdr:col>
          <xdr:colOff>95250</xdr:colOff>
          <xdr:row>22</xdr:row>
          <xdr:rowOff>19050</xdr:rowOff>
        </xdr:to>
        <xdr:sp macro="" textlink="">
          <xdr:nvSpPr>
            <xdr:cNvPr id="18440" name="Option Button 8" hidden="1">
              <a:extLst>
                <a:ext uri="{63B3BB69-23CF-44E3-9099-C40C66FF867C}">
                  <a14:compatExt spid="_x0000_s184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457200</xdr:colOff>
          <xdr:row>16</xdr:row>
          <xdr:rowOff>104775</xdr:rowOff>
        </xdr:from>
        <xdr:to>
          <xdr:col>12</xdr:col>
          <xdr:colOff>352425</xdr:colOff>
          <xdr:row>19</xdr:row>
          <xdr:rowOff>0</xdr:rowOff>
        </xdr:to>
        <xdr:sp macro="" textlink="">
          <xdr:nvSpPr>
            <xdr:cNvPr id="18443" name="Button 11" hidden="1">
              <a:extLst>
                <a:ext uri="{63B3BB69-23CF-44E3-9099-C40C66FF867C}">
                  <a14:compatExt spid="_x0000_s184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retour gestion adhérent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190500</xdr:colOff>
      <xdr:row>0</xdr:row>
      <xdr:rowOff>104775</xdr:rowOff>
    </xdr:from>
    <xdr:to>
      <xdr:col>2</xdr:col>
      <xdr:colOff>762000</xdr:colOff>
      <xdr:row>5</xdr:row>
      <xdr:rowOff>0</xdr:rowOff>
    </xdr:to>
    <xdr:pic>
      <xdr:nvPicPr>
        <xdr:cNvPr id="19477" name="Picture 3" descr="Sans titre 5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" y="104775"/>
          <a:ext cx="1314450" cy="676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209550</xdr:colOff>
      <xdr:row>0</xdr:row>
      <xdr:rowOff>104775</xdr:rowOff>
    </xdr:from>
    <xdr:to>
      <xdr:col>2</xdr:col>
      <xdr:colOff>76200</xdr:colOff>
      <xdr:row>5</xdr:row>
      <xdr:rowOff>0</xdr:rowOff>
    </xdr:to>
    <xdr:pic>
      <xdr:nvPicPr>
        <xdr:cNvPr id="20501" name="Picture 2" descr="Sans titre 5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9550" y="104775"/>
          <a:ext cx="1314450" cy="676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27</xdr:row>
          <xdr:rowOff>28575</xdr:rowOff>
        </xdr:from>
        <xdr:to>
          <xdr:col>1</xdr:col>
          <xdr:colOff>962025</xdr:colOff>
          <xdr:row>29</xdr:row>
          <xdr:rowOff>66675</xdr:rowOff>
        </xdr:to>
        <xdr:sp macro="" textlink="">
          <xdr:nvSpPr>
            <xdr:cNvPr id="21510" name="Button 6" hidden="1">
              <a:extLst>
                <a:ext uri="{63B3BB69-23CF-44E3-9099-C40C66FF867C}">
                  <a14:compatExt spid="_x0000_s215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début de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1381125</xdr:colOff>
          <xdr:row>27</xdr:row>
          <xdr:rowOff>47625</xdr:rowOff>
        </xdr:from>
        <xdr:to>
          <xdr:col>8</xdr:col>
          <xdr:colOff>276225</xdr:colOff>
          <xdr:row>29</xdr:row>
          <xdr:rowOff>85725</xdr:rowOff>
        </xdr:to>
        <xdr:sp macro="" textlink="">
          <xdr:nvSpPr>
            <xdr:cNvPr id="21511" name="Button 7" hidden="1">
              <a:extLst>
                <a:ext uri="{63B3BB69-23CF-44E3-9099-C40C66FF867C}">
                  <a14:compatExt spid="_x0000_s215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émission  des virements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29</xdr:row>
          <xdr:rowOff>133350</xdr:rowOff>
        </xdr:from>
        <xdr:to>
          <xdr:col>1</xdr:col>
          <xdr:colOff>1009650</xdr:colOff>
          <xdr:row>32</xdr:row>
          <xdr:rowOff>19050</xdr:rowOff>
        </xdr:to>
        <xdr:sp macro="" textlink="">
          <xdr:nvSpPr>
            <xdr:cNvPr id="21512" name="Button 8" hidden="1">
              <a:extLst>
                <a:ext uri="{63B3BB69-23CF-44E3-9099-C40C66FF867C}">
                  <a14:compatExt spid="_x0000_s215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page suivante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38100</xdr:rowOff>
        </xdr:from>
        <xdr:to>
          <xdr:col>6</xdr:col>
          <xdr:colOff>904875</xdr:colOff>
          <xdr:row>29</xdr:row>
          <xdr:rowOff>76200</xdr:rowOff>
        </xdr:to>
        <xdr:sp macro="" textlink="">
          <xdr:nvSpPr>
            <xdr:cNvPr id="21514" name="Button 10" hidden="1">
              <a:extLst>
                <a:ext uri="{63B3BB69-23CF-44E3-9099-C40C66FF867C}">
                  <a14:compatExt spid="_x0000_s215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retour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1409700</xdr:colOff>
          <xdr:row>27</xdr:row>
          <xdr:rowOff>85725</xdr:rowOff>
        </xdr:from>
        <xdr:to>
          <xdr:col>5</xdr:col>
          <xdr:colOff>1047750</xdr:colOff>
          <xdr:row>29</xdr:row>
          <xdr:rowOff>123825</xdr:rowOff>
        </xdr:to>
        <xdr:sp macro="" textlink="">
          <xdr:nvSpPr>
            <xdr:cNvPr id="21522" name="Button 18" hidden="1">
              <a:extLst>
                <a:ext uri="{63B3BB69-23CF-44E3-9099-C40C66FF867C}">
                  <a14:compatExt spid="_x0000_s215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Paiement OK/NOK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1304925</xdr:colOff>
          <xdr:row>29</xdr:row>
          <xdr:rowOff>133350</xdr:rowOff>
        </xdr:from>
        <xdr:to>
          <xdr:col>2</xdr:col>
          <xdr:colOff>723900</xdr:colOff>
          <xdr:row>32</xdr:row>
          <xdr:rowOff>9525</xdr:rowOff>
        </xdr:to>
        <xdr:sp macro="" textlink="">
          <xdr:nvSpPr>
            <xdr:cNvPr id="21523" name="Button 19" hidden="1">
              <a:extLst>
                <a:ext uri="{63B3BB69-23CF-44E3-9099-C40C66FF867C}">
                  <a14:compatExt spid="_x0000_s215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ligne suivante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30</xdr:row>
          <xdr:rowOff>57150</xdr:rowOff>
        </xdr:from>
        <xdr:to>
          <xdr:col>4</xdr:col>
          <xdr:colOff>942975</xdr:colOff>
          <xdr:row>31</xdr:row>
          <xdr:rowOff>114300</xdr:rowOff>
        </xdr:to>
        <xdr:sp macro="" textlink="">
          <xdr:nvSpPr>
            <xdr:cNvPr id="21528" name="Option Button 24" hidden="1">
              <a:extLst>
                <a:ext uri="{63B3BB69-23CF-44E3-9099-C40C66FF867C}">
                  <a14:compatExt spid="_x0000_s215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liste complète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28</xdr:row>
          <xdr:rowOff>104775</xdr:rowOff>
        </xdr:from>
        <xdr:to>
          <xdr:col>4</xdr:col>
          <xdr:colOff>1000125</xdr:colOff>
          <xdr:row>30</xdr:row>
          <xdr:rowOff>0</xdr:rowOff>
        </xdr:to>
        <xdr:sp macro="" textlink="">
          <xdr:nvSpPr>
            <xdr:cNvPr id="21530" name="Option Button 26" hidden="1">
              <a:extLst>
                <a:ext uri="{63B3BB69-23CF-44E3-9099-C40C66FF867C}">
                  <a14:compatExt spid="_x0000_s21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Paiements validés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26</xdr:row>
          <xdr:rowOff>142875</xdr:rowOff>
        </xdr:from>
        <xdr:to>
          <xdr:col>4</xdr:col>
          <xdr:colOff>1038225</xdr:colOff>
          <xdr:row>28</xdr:row>
          <xdr:rowOff>38100</xdr:rowOff>
        </xdr:to>
        <xdr:sp macro="" textlink="">
          <xdr:nvSpPr>
            <xdr:cNvPr id="21531" name="Option Button 27" hidden="1">
              <a:extLst>
                <a:ext uri="{63B3BB69-23CF-44E3-9099-C40C66FF867C}">
                  <a14:compatExt spid="_x0000_s21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Paiements en attente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1304925</xdr:colOff>
          <xdr:row>27</xdr:row>
          <xdr:rowOff>47625</xdr:rowOff>
        </xdr:from>
        <xdr:to>
          <xdr:col>2</xdr:col>
          <xdr:colOff>723900</xdr:colOff>
          <xdr:row>29</xdr:row>
          <xdr:rowOff>85725</xdr:rowOff>
        </xdr:to>
        <xdr:sp macro="" textlink="">
          <xdr:nvSpPr>
            <xdr:cNvPr id="21532" name="Button 28" hidden="1">
              <a:extLst>
                <a:ext uri="{63B3BB69-23CF-44E3-9099-C40C66FF867C}">
                  <a14:compatExt spid="_x0000_s21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ligne précédente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209550</xdr:colOff>
      <xdr:row>0</xdr:row>
      <xdr:rowOff>104775</xdr:rowOff>
    </xdr:from>
    <xdr:to>
      <xdr:col>2</xdr:col>
      <xdr:colOff>76200</xdr:colOff>
      <xdr:row>5</xdr:row>
      <xdr:rowOff>0</xdr:rowOff>
    </xdr:to>
    <xdr:pic>
      <xdr:nvPicPr>
        <xdr:cNvPr id="2" name="Picture 2" descr="Sans titre 5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9550" y="104775"/>
          <a:ext cx="1314450" cy="676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76" Type="http://schemas.openxmlformats.org/officeDocument/2006/relationships/ctrlProp" Target="../ctrlProps/ctrlProp73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87" Type="http://schemas.openxmlformats.org/officeDocument/2006/relationships/ctrlProp" Target="../ctrlProps/ctrlProp84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77" Type="http://schemas.openxmlformats.org/officeDocument/2006/relationships/ctrlProp" Target="../ctrlProps/ctrlProp7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93" Type="http://schemas.openxmlformats.org/officeDocument/2006/relationships/ctrlProp" Target="../ctrlProps/ctrlProp90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7.xml"/><Relationship Id="rId13" Type="http://schemas.openxmlformats.org/officeDocument/2006/relationships/ctrlProp" Target="../ctrlProps/ctrlProp102.xml"/><Relationship Id="rId18" Type="http://schemas.openxmlformats.org/officeDocument/2006/relationships/ctrlProp" Target="../ctrlProps/ctrlProp107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10.xml"/><Relationship Id="rId7" Type="http://schemas.openxmlformats.org/officeDocument/2006/relationships/ctrlProp" Target="../ctrlProps/ctrlProp96.xml"/><Relationship Id="rId12" Type="http://schemas.openxmlformats.org/officeDocument/2006/relationships/ctrlProp" Target="../ctrlProps/ctrlProp101.xml"/><Relationship Id="rId17" Type="http://schemas.openxmlformats.org/officeDocument/2006/relationships/ctrlProp" Target="../ctrlProps/ctrlProp106.xml"/><Relationship Id="rId25" Type="http://schemas.openxmlformats.org/officeDocument/2006/relationships/ctrlProp" Target="../ctrlProps/ctrlProp1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05.xml"/><Relationship Id="rId20" Type="http://schemas.openxmlformats.org/officeDocument/2006/relationships/ctrlProp" Target="../ctrlProps/ctrlProp109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5.xml"/><Relationship Id="rId11" Type="http://schemas.openxmlformats.org/officeDocument/2006/relationships/ctrlProp" Target="../ctrlProps/ctrlProp100.xml"/><Relationship Id="rId24" Type="http://schemas.openxmlformats.org/officeDocument/2006/relationships/ctrlProp" Target="../ctrlProps/ctrlProp113.xml"/><Relationship Id="rId5" Type="http://schemas.openxmlformats.org/officeDocument/2006/relationships/ctrlProp" Target="../ctrlProps/ctrlProp94.xml"/><Relationship Id="rId15" Type="http://schemas.openxmlformats.org/officeDocument/2006/relationships/ctrlProp" Target="../ctrlProps/ctrlProp104.xml"/><Relationship Id="rId23" Type="http://schemas.openxmlformats.org/officeDocument/2006/relationships/ctrlProp" Target="../ctrlProps/ctrlProp112.xml"/><Relationship Id="rId10" Type="http://schemas.openxmlformats.org/officeDocument/2006/relationships/ctrlProp" Target="../ctrlProps/ctrlProp99.xml"/><Relationship Id="rId19" Type="http://schemas.openxmlformats.org/officeDocument/2006/relationships/ctrlProp" Target="../ctrlProps/ctrlProp108.xml"/><Relationship Id="rId4" Type="http://schemas.openxmlformats.org/officeDocument/2006/relationships/ctrlProp" Target="../ctrlProps/ctrlProp93.xml"/><Relationship Id="rId9" Type="http://schemas.openxmlformats.org/officeDocument/2006/relationships/ctrlProp" Target="../ctrlProps/ctrlProp98.xml"/><Relationship Id="rId14" Type="http://schemas.openxmlformats.org/officeDocument/2006/relationships/ctrlProp" Target="../ctrlProps/ctrlProp103.xml"/><Relationship Id="rId22" Type="http://schemas.openxmlformats.org/officeDocument/2006/relationships/ctrlProp" Target="../ctrlProps/ctrlProp11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9.xml"/><Relationship Id="rId13" Type="http://schemas.openxmlformats.org/officeDocument/2006/relationships/ctrlProp" Target="../ctrlProps/ctrlProp124.xml"/><Relationship Id="rId18" Type="http://schemas.openxmlformats.org/officeDocument/2006/relationships/ctrlProp" Target="../ctrlProps/ctrlProp129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18.xml"/><Relationship Id="rId12" Type="http://schemas.openxmlformats.org/officeDocument/2006/relationships/ctrlProp" Target="../ctrlProps/ctrlProp123.xml"/><Relationship Id="rId17" Type="http://schemas.openxmlformats.org/officeDocument/2006/relationships/ctrlProp" Target="../ctrlProps/ctrlProp128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27.xml"/><Relationship Id="rId20" Type="http://schemas.openxmlformats.org/officeDocument/2006/relationships/ctrlProp" Target="../ctrlProps/ctrlProp131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17.xml"/><Relationship Id="rId11" Type="http://schemas.openxmlformats.org/officeDocument/2006/relationships/ctrlProp" Target="../ctrlProps/ctrlProp122.xml"/><Relationship Id="rId5" Type="http://schemas.openxmlformats.org/officeDocument/2006/relationships/ctrlProp" Target="../ctrlProps/ctrlProp116.xml"/><Relationship Id="rId15" Type="http://schemas.openxmlformats.org/officeDocument/2006/relationships/ctrlProp" Target="../ctrlProps/ctrlProp126.xml"/><Relationship Id="rId10" Type="http://schemas.openxmlformats.org/officeDocument/2006/relationships/ctrlProp" Target="../ctrlProps/ctrlProp121.xml"/><Relationship Id="rId19" Type="http://schemas.openxmlformats.org/officeDocument/2006/relationships/ctrlProp" Target="../ctrlProps/ctrlProp130.xml"/><Relationship Id="rId4" Type="http://schemas.openxmlformats.org/officeDocument/2006/relationships/ctrlProp" Target="../ctrlProps/ctrlProp115.xml"/><Relationship Id="rId9" Type="http://schemas.openxmlformats.org/officeDocument/2006/relationships/ctrlProp" Target="../ctrlProps/ctrlProp120.xml"/><Relationship Id="rId14" Type="http://schemas.openxmlformats.org/officeDocument/2006/relationships/ctrlProp" Target="../ctrlProps/ctrlProp12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6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34.xml"/><Relationship Id="rId5" Type="http://schemas.openxmlformats.org/officeDocument/2006/relationships/ctrlProp" Target="../ctrlProps/ctrlProp133.xml"/><Relationship Id="rId4" Type="http://schemas.openxmlformats.org/officeDocument/2006/relationships/ctrlProp" Target="../ctrlProps/ctrlProp13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1.xml"/><Relationship Id="rId13" Type="http://schemas.openxmlformats.org/officeDocument/2006/relationships/ctrlProp" Target="../ctrlProps/ctrlProp146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40.xml"/><Relationship Id="rId12" Type="http://schemas.openxmlformats.org/officeDocument/2006/relationships/ctrlProp" Target="../ctrlProps/ctrlProp14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139.xml"/><Relationship Id="rId11" Type="http://schemas.openxmlformats.org/officeDocument/2006/relationships/ctrlProp" Target="../ctrlProps/ctrlProp144.xml"/><Relationship Id="rId5" Type="http://schemas.openxmlformats.org/officeDocument/2006/relationships/ctrlProp" Target="../ctrlProps/ctrlProp138.xml"/><Relationship Id="rId10" Type="http://schemas.openxmlformats.org/officeDocument/2006/relationships/ctrlProp" Target="../ctrlProps/ctrlProp143.xml"/><Relationship Id="rId4" Type="http://schemas.openxmlformats.org/officeDocument/2006/relationships/ctrlProp" Target="../ctrlProps/ctrlProp137.xml"/><Relationship Id="rId9" Type="http://schemas.openxmlformats.org/officeDocument/2006/relationships/ctrlProp" Target="../ctrlProps/ctrlProp14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>
    <pageSetUpPr autoPageBreaks="0"/>
  </sheetPr>
  <dimension ref="A1:AX35"/>
  <sheetViews>
    <sheetView showGridLines="0" showRowColHeaders="0" tabSelected="1" zoomScale="110" zoomScaleNormal="110" workbookViewId="0">
      <selection activeCell="E5" sqref="E5:R6"/>
    </sheetView>
  </sheetViews>
  <sheetFormatPr baseColWidth="10" defaultColWidth="11.42578125" defaultRowHeight="12.75" x14ac:dyDescent="0.2"/>
  <cols>
    <col min="1" max="1" width="4" style="37" customWidth="1"/>
    <col min="2" max="46" width="2.85546875" style="37" customWidth="1"/>
    <col min="47" max="47" width="11.42578125" style="37"/>
    <col min="48" max="48" width="11.85546875" style="37" customWidth="1"/>
    <col min="49" max="16384" width="11.42578125" style="37"/>
  </cols>
  <sheetData>
    <row r="1" spans="1:48" ht="3.75" customHeight="1" x14ac:dyDescent="0.2"/>
    <row r="2" spans="1:48" s="51" customFormat="1" ht="21.75" customHeight="1" x14ac:dyDescent="0.2">
      <c r="A2" s="38"/>
      <c r="B2" s="301" t="s">
        <v>3905</v>
      </c>
      <c r="C2" s="301"/>
      <c r="D2" s="301"/>
      <c r="E2" s="301"/>
      <c r="F2" s="301"/>
      <c r="G2" s="301"/>
      <c r="H2" s="301"/>
      <c r="I2" s="301"/>
      <c r="J2" s="301"/>
      <c r="K2" s="301"/>
      <c r="L2" s="301"/>
      <c r="M2" s="301"/>
      <c r="N2" s="301"/>
      <c r="O2" s="301"/>
      <c r="P2" s="301"/>
      <c r="Q2" s="301"/>
      <c r="R2" s="301"/>
      <c r="S2" s="301"/>
      <c r="T2" s="301"/>
      <c r="U2" s="301"/>
      <c r="V2" s="301"/>
      <c r="W2" s="301"/>
      <c r="X2" s="301"/>
      <c r="Y2" s="301"/>
      <c r="Z2" s="301"/>
      <c r="AA2" s="301"/>
      <c r="AB2" s="301"/>
      <c r="AC2" s="301"/>
      <c r="AD2" s="301"/>
      <c r="AE2" s="301"/>
      <c r="AF2" s="301"/>
      <c r="AG2" s="301"/>
      <c r="AH2" s="301"/>
      <c r="AI2" s="301"/>
      <c r="AJ2" s="301"/>
      <c r="AK2" s="301"/>
      <c r="AL2" s="301"/>
      <c r="AM2" s="301"/>
      <c r="AN2" s="301"/>
      <c r="AO2" s="301"/>
      <c r="AP2" s="301"/>
      <c r="AQ2" s="301"/>
      <c r="AR2" s="301"/>
      <c r="AS2" s="302"/>
      <c r="AT2" s="303"/>
      <c r="AU2" s="303"/>
      <c r="AV2" s="303"/>
    </row>
    <row r="3" spans="1:48" s="51" customFormat="1" ht="4.5" customHeight="1" x14ac:dyDescent="0.2">
      <c r="A3" s="38"/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  <c r="AP3" s="39"/>
      <c r="AQ3" s="39"/>
      <c r="AR3" s="39"/>
      <c r="AS3" s="40"/>
    </row>
    <row r="4" spans="1:48" s="41" customFormat="1" ht="9.75" customHeight="1" x14ac:dyDescent="0.2">
      <c r="B4" s="30"/>
      <c r="C4" s="30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  <c r="Y4" s="30"/>
      <c r="Z4" s="30"/>
      <c r="AA4" s="30"/>
      <c r="AB4" s="30"/>
      <c r="AC4" s="30"/>
      <c r="AD4" s="30"/>
      <c r="AE4" s="30"/>
      <c r="AF4" s="30"/>
      <c r="AG4" s="30"/>
      <c r="AH4" s="30"/>
      <c r="AI4" s="30"/>
      <c r="AJ4" s="30"/>
      <c r="AK4" s="30"/>
      <c r="AL4" s="30"/>
      <c r="AM4" s="30"/>
      <c r="AN4" s="30"/>
      <c r="AO4" s="30"/>
      <c r="AP4" s="30"/>
      <c r="AQ4" s="30"/>
      <c r="AR4" s="30"/>
      <c r="AS4" s="30"/>
      <c r="AT4" s="64"/>
      <c r="AU4" s="63"/>
      <c r="AV4" s="63"/>
    </row>
    <row r="5" spans="1:48" s="43" customFormat="1" ht="18" customHeight="1" x14ac:dyDescent="0.2">
      <c r="A5" s="41"/>
      <c r="B5" s="30"/>
      <c r="C5" s="30"/>
      <c r="D5" s="30"/>
      <c r="E5" s="312" t="s">
        <v>506</v>
      </c>
      <c r="F5" s="313"/>
      <c r="G5" s="313"/>
      <c r="H5" s="313"/>
      <c r="I5" s="313"/>
      <c r="J5" s="313"/>
      <c r="K5" s="313"/>
      <c r="L5" s="313"/>
      <c r="M5" s="313"/>
      <c r="N5" s="313"/>
      <c r="O5" s="313"/>
      <c r="P5" s="313"/>
      <c r="Q5" s="313"/>
      <c r="R5" s="313"/>
      <c r="S5" s="316" t="s">
        <v>5040</v>
      </c>
      <c r="T5" s="306"/>
      <c r="U5" s="306"/>
      <c r="V5" s="306"/>
      <c r="W5" s="306"/>
      <c r="X5" s="306"/>
      <c r="Y5" s="306"/>
      <c r="Z5" s="306"/>
      <c r="AA5" s="306"/>
      <c r="AB5" s="306"/>
      <c r="AC5" s="306"/>
      <c r="AD5" s="306"/>
      <c r="AE5" s="306"/>
      <c r="AF5" s="306"/>
      <c r="AG5" s="306"/>
      <c r="AH5" s="306"/>
      <c r="AI5" s="306"/>
      <c r="AJ5" s="306"/>
      <c r="AK5" s="306"/>
      <c r="AL5" s="306"/>
      <c r="AM5" s="306"/>
      <c r="AN5" s="306"/>
      <c r="AO5" s="306"/>
      <c r="AP5" s="306"/>
      <c r="AQ5" s="306"/>
      <c r="AR5" s="306"/>
      <c r="AS5" s="31"/>
      <c r="AT5" s="65"/>
      <c r="AU5" s="66"/>
      <c r="AV5" s="66"/>
    </row>
    <row r="6" spans="1:48" s="41" customFormat="1" ht="18" customHeight="1" x14ac:dyDescent="0.25">
      <c r="A6" s="43"/>
      <c r="B6" s="31"/>
      <c r="C6" s="31"/>
      <c r="D6" s="32"/>
      <c r="E6" s="313"/>
      <c r="F6" s="313"/>
      <c r="G6" s="313"/>
      <c r="H6" s="313"/>
      <c r="I6" s="313"/>
      <c r="J6" s="313"/>
      <c r="K6" s="313"/>
      <c r="L6" s="313"/>
      <c r="M6" s="313"/>
      <c r="N6" s="313"/>
      <c r="O6" s="313"/>
      <c r="P6" s="313"/>
      <c r="Q6" s="313"/>
      <c r="R6" s="313"/>
      <c r="S6" s="32"/>
      <c r="T6" s="32"/>
      <c r="U6" s="32"/>
      <c r="V6" s="32"/>
      <c r="W6" s="42"/>
      <c r="X6" s="317" t="s">
        <v>962</v>
      </c>
      <c r="Y6" s="317"/>
      <c r="Z6" s="317"/>
      <c r="AA6" s="317"/>
      <c r="AB6" s="317"/>
      <c r="AC6" s="317"/>
      <c r="AD6" s="317"/>
      <c r="AE6" s="317"/>
      <c r="AF6" s="317"/>
      <c r="AG6" s="306"/>
      <c r="AH6" s="31"/>
      <c r="AI6" s="32"/>
      <c r="AJ6" s="32"/>
      <c r="AK6" s="32"/>
      <c r="AL6" s="30"/>
      <c r="AM6" s="311"/>
      <c r="AN6" s="311"/>
      <c r="AO6" s="311"/>
      <c r="AP6" s="311"/>
      <c r="AQ6" s="311"/>
      <c r="AR6" s="30"/>
      <c r="AS6" s="30"/>
      <c r="AT6" s="64"/>
      <c r="AU6" s="63"/>
      <c r="AV6" s="63"/>
    </row>
    <row r="7" spans="1:48" s="41" customFormat="1" x14ac:dyDescent="0.2">
      <c r="B7" s="30"/>
      <c r="C7" s="30"/>
      <c r="D7" s="30"/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  <c r="AB7" s="30"/>
      <c r="AC7" s="30"/>
      <c r="AD7" s="30"/>
      <c r="AE7" s="30"/>
      <c r="AF7" s="30"/>
      <c r="AG7" s="30"/>
      <c r="AH7" s="30"/>
      <c r="AI7" s="30"/>
      <c r="AJ7" s="30"/>
      <c r="AK7" s="30"/>
      <c r="AL7" s="30"/>
      <c r="AM7" s="30"/>
      <c r="AN7" s="30"/>
      <c r="AO7" s="30"/>
      <c r="AP7" s="30"/>
      <c r="AQ7" s="30"/>
      <c r="AR7" s="30"/>
      <c r="AS7" s="30"/>
      <c r="AT7" s="30"/>
    </row>
    <row r="8" spans="1:48" s="46" customFormat="1" ht="13.5" customHeight="1" x14ac:dyDescent="0.2">
      <c r="A8" s="41"/>
      <c r="B8" s="30"/>
      <c r="C8" s="30"/>
      <c r="D8" s="44"/>
      <c r="E8" s="44"/>
      <c r="F8" s="314"/>
      <c r="G8" s="315"/>
      <c r="H8" s="315"/>
      <c r="I8" s="315"/>
      <c r="J8" s="315"/>
      <c r="K8" s="315"/>
      <c r="L8" s="34"/>
      <c r="M8" s="33"/>
      <c r="N8" s="33"/>
      <c r="O8" s="33"/>
      <c r="P8" s="318" t="s">
        <v>1700</v>
      </c>
      <c r="Q8" s="319"/>
      <c r="R8" s="319"/>
      <c r="S8" s="319"/>
      <c r="T8" s="319"/>
      <c r="U8" s="319"/>
      <c r="V8" s="33"/>
      <c r="W8" s="33"/>
      <c r="X8" s="33"/>
      <c r="Y8" s="33"/>
      <c r="Z8" s="45"/>
      <c r="AA8" s="318" t="s">
        <v>1700</v>
      </c>
      <c r="AB8" s="319"/>
      <c r="AC8" s="319"/>
      <c r="AD8" s="319"/>
      <c r="AE8" s="319"/>
      <c r="AF8" s="319"/>
      <c r="AG8" s="33"/>
      <c r="AH8" s="33"/>
      <c r="AI8" s="33"/>
      <c r="AJ8" s="33"/>
      <c r="AK8" s="45"/>
      <c r="AL8" s="318" t="s">
        <v>1700</v>
      </c>
      <c r="AM8" s="319"/>
      <c r="AN8" s="319"/>
      <c r="AO8" s="319"/>
      <c r="AP8" s="319"/>
      <c r="AQ8" s="319"/>
      <c r="AR8" s="34"/>
      <c r="AS8" s="34"/>
      <c r="AT8" s="34"/>
    </row>
    <row r="9" spans="1:48" s="46" customFormat="1" ht="6.75" customHeight="1" x14ac:dyDescent="0.2"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</row>
    <row r="10" spans="1:48" s="46" customFormat="1" ht="8.25" customHeight="1" x14ac:dyDescent="0.2">
      <c r="B10" s="34"/>
      <c r="C10" s="34"/>
      <c r="D10" s="34"/>
      <c r="E10" s="34"/>
      <c r="F10" s="34"/>
      <c r="G10" s="34"/>
      <c r="H10" s="34"/>
      <c r="I10" s="34"/>
      <c r="J10" s="34"/>
      <c r="K10" s="34"/>
      <c r="L10" s="203"/>
      <c r="M10" s="203"/>
      <c r="N10" s="203"/>
      <c r="O10" s="203"/>
      <c r="P10" s="203"/>
      <c r="Q10" s="203"/>
      <c r="R10" s="203"/>
      <c r="S10" s="203"/>
      <c r="T10" s="203"/>
      <c r="U10" s="203"/>
      <c r="V10" s="203"/>
      <c r="W10" s="203"/>
      <c r="X10" s="203"/>
      <c r="Y10" s="203"/>
      <c r="Z10" s="203"/>
      <c r="AA10" s="203"/>
      <c r="AB10" s="203"/>
      <c r="AC10" s="203"/>
      <c r="AD10" s="203"/>
      <c r="AE10" s="203"/>
      <c r="AF10" s="203"/>
      <c r="AG10" s="203"/>
      <c r="AH10" s="206"/>
      <c r="AI10" s="206"/>
      <c r="AJ10" s="206"/>
      <c r="AK10" s="206"/>
      <c r="AL10" s="206"/>
      <c r="AM10" s="206"/>
      <c r="AN10" s="206"/>
      <c r="AO10" s="206"/>
      <c r="AP10" s="206"/>
      <c r="AQ10" s="206"/>
      <c r="AR10" s="206"/>
      <c r="AS10" s="34"/>
      <c r="AT10" s="34"/>
    </row>
    <row r="11" spans="1:48" s="41" customFormat="1" ht="27.75" customHeight="1" x14ac:dyDescent="0.2">
      <c r="A11" s="46"/>
      <c r="B11" s="34"/>
      <c r="C11" s="34"/>
      <c r="D11" s="34"/>
      <c r="E11" s="34"/>
      <c r="F11" s="34"/>
      <c r="G11" s="34"/>
      <c r="H11" s="34"/>
      <c r="I11" s="30"/>
      <c r="J11" s="44"/>
      <c r="K11" s="44"/>
      <c r="L11" s="214" t="s">
        <v>866</v>
      </c>
      <c r="M11" s="204"/>
      <c r="N11" s="204"/>
      <c r="O11" s="204"/>
      <c r="P11" s="205"/>
      <c r="Q11" s="205"/>
      <c r="R11" s="205"/>
      <c r="S11" s="205"/>
      <c r="T11" s="205"/>
      <c r="U11" s="205"/>
      <c r="V11" s="205"/>
      <c r="W11" s="205"/>
      <c r="X11" s="205"/>
      <c r="Y11" s="205"/>
      <c r="Z11" s="205"/>
      <c r="AA11" s="205"/>
      <c r="AB11" s="205"/>
      <c r="AC11" s="205"/>
      <c r="AD11" s="205"/>
      <c r="AE11" s="205"/>
      <c r="AF11" s="205"/>
      <c r="AG11" s="205"/>
      <c r="AH11" s="207"/>
      <c r="AI11" s="207"/>
      <c r="AJ11" s="207"/>
      <c r="AK11" s="207"/>
      <c r="AL11" s="207"/>
      <c r="AM11" s="207"/>
      <c r="AN11" s="207"/>
      <c r="AO11" s="207"/>
      <c r="AP11" s="207"/>
      <c r="AQ11" s="207"/>
      <c r="AR11" s="207"/>
      <c r="AS11" s="30"/>
      <c r="AT11" s="30"/>
    </row>
    <row r="12" spans="1:48" s="41" customFormat="1" ht="13.5" customHeight="1" x14ac:dyDescent="0.2">
      <c r="B12" s="30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30"/>
      <c r="AD12" s="30"/>
      <c r="AE12" s="30"/>
      <c r="AF12" s="30"/>
      <c r="AG12" s="30"/>
      <c r="AH12" s="30"/>
      <c r="AI12" s="30"/>
      <c r="AJ12" s="30"/>
      <c r="AK12" s="30"/>
      <c r="AL12" s="30"/>
      <c r="AM12" s="30"/>
      <c r="AN12" s="30"/>
      <c r="AO12" s="30"/>
      <c r="AP12" s="30"/>
      <c r="AQ12" s="30"/>
      <c r="AR12" s="30"/>
      <c r="AS12" s="30"/>
      <c r="AT12" s="30"/>
    </row>
    <row r="13" spans="1:48" s="47" customFormat="1" x14ac:dyDescent="0.2">
      <c r="B13" s="32"/>
      <c r="C13" s="32"/>
      <c r="D13" s="35"/>
      <c r="E13" s="32"/>
      <c r="F13" s="32"/>
      <c r="G13" s="32"/>
      <c r="H13" s="32"/>
      <c r="I13" s="32"/>
      <c r="J13" s="32"/>
      <c r="K13" s="32"/>
      <c r="L13" s="35"/>
      <c r="M13" s="32"/>
      <c r="N13" s="32"/>
      <c r="O13" s="32"/>
      <c r="P13" s="32"/>
      <c r="Q13" s="32"/>
      <c r="R13" s="32"/>
      <c r="S13" s="32"/>
      <c r="T13" s="32"/>
      <c r="U13" s="35"/>
      <c r="V13" s="32"/>
      <c r="W13" s="32"/>
      <c r="X13" s="32"/>
      <c r="Y13" s="32"/>
      <c r="Z13" s="32"/>
      <c r="AA13" s="32"/>
      <c r="AB13" s="32"/>
      <c r="AC13" s="32"/>
      <c r="AD13" s="35"/>
      <c r="AE13" s="32"/>
      <c r="AF13" s="32"/>
      <c r="AG13" s="32"/>
      <c r="AH13" s="32"/>
      <c r="AI13" s="32"/>
      <c r="AJ13" s="32"/>
      <c r="AK13" s="32"/>
      <c r="AL13" s="32"/>
      <c r="AM13" s="35"/>
      <c r="AN13" s="32"/>
      <c r="AO13" s="32"/>
      <c r="AP13" s="32"/>
      <c r="AQ13" s="32"/>
      <c r="AR13" s="32"/>
      <c r="AS13" s="32"/>
      <c r="AT13" s="32"/>
    </row>
    <row r="14" spans="1:48" s="41" customFormat="1" ht="31.5" customHeight="1" x14ac:dyDescent="0.2">
      <c r="B14" s="30"/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0"/>
      <c r="AC14" s="30"/>
      <c r="AD14" s="30"/>
      <c r="AE14" s="30"/>
      <c r="AF14" s="30"/>
      <c r="AG14" s="30"/>
      <c r="AH14" s="30"/>
      <c r="AI14" s="30"/>
      <c r="AJ14" s="30"/>
      <c r="AK14" s="30"/>
      <c r="AL14" s="30"/>
      <c r="AM14" s="30"/>
      <c r="AN14" s="30"/>
      <c r="AO14" s="30"/>
      <c r="AP14" s="30"/>
      <c r="AQ14" s="30"/>
      <c r="AR14" s="30"/>
      <c r="AS14" s="30"/>
      <c r="AT14" s="30"/>
    </row>
    <row r="15" spans="1:48" s="41" customFormat="1" ht="24.75" customHeight="1" x14ac:dyDescent="0.25">
      <c r="A15" s="305"/>
      <c r="B15" s="306"/>
      <c r="C15" s="306"/>
      <c r="D15" s="306"/>
      <c r="E15" s="306"/>
      <c r="F15" s="306"/>
      <c r="G15" s="306"/>
      <c r="H15" s="306"/>
      <c r="I15" s="306"/>
      <c r="J15" s="306"/>
      <c r="K15" s="304" t="s">
        <v>4939</v>
      </c>
      <c r="L15" s="304"/>
      <c r="M15" s="304"/>
      <c r="N15" s="304"/>
      <c r="O15" s="304"/>
      <c r="P15" s="304"/>
      <c r="Q15" s="304"/>
      <c r="R15" s="304"/>
      <c r="S15" s="304"/>
      <c r="T15" s="304"/>
      <c r="U15" s="304"/>
      <c r="V15" s="304"/>
      <c r="W15" s="304"/>
      <c r="X15" s="304"/>
      <c r="Y15" s="304"/>
      <c r="Z15" s="304"/>
      <c r="AA15" s="304"/>
      <c r="AB15" s="304"/>
      <c r="AC15" s="304"/>
      <c r="AD15" s="304"/>
      <c r="AE15" s="304"/>
      <c r="AF15" s="304"/>
      <c r="AG15" s="304"/>
      <c r="AH15" s="304"/>
      <c r="AI15" s="304"/>
      <c r="AJ15" s="304"/>
      <c r="AK15" s="30"/>
      <c r="AL15" s="30"/>
      <c r="AM15" s="30"/>
      <c r="AN15" s="30"/>
      <c r="AO15" s="30"/>
      <c r="AP15" s="30"/>
      <c r="AQ15" s="30"/>
      <c r="AR15" s="30"/>
      <c r="AS15" s="30"/>
      <c r="AT15" s="30"/>
    </row>
    <row r="16" spans="1:48" s="41" customFormat="1" ht="15.75" customHeight="1" x14ac:dyDescent="0.2">
      <c r="B16" s="30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0"/>
      <c r="AB16" s="30"/>
      <c r="AC16" s="30"/>
      <c r="AD16" s="30"/>
      <c r="AE16" s="30"/>
      <c r="AF16" s="30"/>
      <c r="AG16" s="30"/>
      <c r="AH16" s="30"/>
      <c r="AI16" s="30"/>
      <c r="AJ16" s="30"/>
      <c r="AK16" s="30"/>
      <c r="AL16" s="30"/>
      <c r="AM16" s="30"/>
      <c r="AN16" s="30"/>
      <c r="AO16" s="30"/>
      <c r="AP16" s="30"/>
      <c r="AQ16" s="30"/>
      <c r="AR16" s="30"/>
      <c r="AS16" s="30"/>
      <c r="AT16" s="30"/>
    </row>
    <row r="18" spans="2:50" s="41" customFormat="1" x14ac:dyDescent="0.2">
      <c r="L18" s="48"/>
      <c r="M18" s="48"/>
      <c r="N18" s="48"/>
      <c r="O18" s="48"/>
      <c r="P18" s="48"/>
    </row>
    <row r="19" spans="2:50" s="41" customFormat="1" x14ac:dyDescent="0.2">
      <c r="G19" s="310" t="s">
        <v>5041</v>
      </c>
      <c r="H19" s="310"/>
      <c r="I19" s="310"/>
      <c r="J19" s="310"/>
      <c r="K19" s="310"/>
      <c r="U19" s="41">
        <v>362</v>
      </c>
    </row>
    <row r="20" spans="2:50" s="41" customFormat="1" ht="21.75" customHeight="1" x14ac:dyDescent="0.2">
      <c r="F20" s="309"/>
      <c r="G20" s="309"/>
      <c r="H20" s="309"/>
      <c r="I20" s="309"/>
      <c r="J20" s="309"/>
      <c r="K20" s="309"/>
    </row>
    <row r="21" spans="2:50" x14ac:dyDescent="0.2">
      <c r="R21" s="36"/>
      <c r="S21" s="36"/>
      <c r="T21" s="36"/>
      <c r="U21" s="36"/>
    </row>
    <row r="22" spans="2:50" ht="20.25" customHeight="1" x14ac:dyDescent="0.2">
      <c r="R22" s="308">
        <v>561</v>
      </c>
      <c r="S22" s="308"/>
      <c r="T22" s="308"/>
      <c r="U22" s="308"/>
    </row>
    <row r="23" spans="2:50" x14ac:dyDescent="0.2">
      <c r="C23" s="307" t="s">
        <v>212</v>
      </c>
      <c r="D23" s="306"/>
      <c r="E23" s="306"/>
      <c r="F23" s="306"/>
      <c r="G23" s="306"/>
      <c r="H23" s="306"/>
      <c r="I23" s="306"/>
      <c r="J23" s="306"/>
      <c r="K23" s="306"/>
      <c r="L23" s="306"/>
      <c r="M23" s="306"/>
      <c r="N23" s="306"/>
      <c r="O23" s="306"/>
      <c r="P23" s="306"/>
      <c r="Q23" s="306"/>
      <c r="R23" s="308"/>
      <c r="S23" s="308"/>
      <c r="T23" s="308"/>
      <c r="U23" s="308"/>
      <c r="AX23" s="41"/>
    </row>
    <row r="24" spans="2:50" s="41" customFormat="1" ht="8.25" customHeight="1" x14ac:dyDescent="0.2">
      <c r="B24" s="48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</row>
    <row r="25" spans="2:50" ht="7.5" customHeight="1" x14ac:dyDescent="0.2">
      <c r="B25" s="320"/>
      <c r="C25" s="320"/>
      <c r="D25" s="320"/>
      <c r="E25" s="320"/>
      <c r="F25" s="320"/>
      <c r="G25" s="320"/>
      <c r="H25" s="320"/>
      <c r="I25" s="320"/>
      <c r="J25" s="320"/>
      <c r="K25" s="320"/>
      <c r="L25" s="320"/>
      <c r="M25" s="320"/>
      <c r="N25" s="320"/>
      <c r="O25" s="320"/>
      <c r="P25" s="320"/>
      <c r="Q25" s="320"/>
      <c r="R25" s="320"/>
      <c r="S25" s="320"/>
      <c r="T25" s="320"/>
      <c r="U25" s="320"/>
      <c r="V25" s="320"/>
      <c r="W25" s="320"/>
      <c r="X25" s="50"/>
      <c r="Y25" s="50"/>
      <c r="Z25" s="50"/>
      <c r="AA25" s="50"/>
      <c r="AB25" s="50"/>
      <c r="AC25" s="50"/>
      <c r="AD25" s="50"/>
      <c r="AE25" s="50"/>
      <c r="AF25" s="50"/>
      <c r="AG25" s="50"/>
      <c r="AH25" s="50"/>
      <c r="AI25" s="50"/>
      <c r="AJ25" s="50"/>
      <c r="AK25" s="50"/>
      <c r="AL25" s="50"/>
      <c r="AM25" s="50"/>
      <c r="AN25" s="50"/>
      <c r="AO25" s="50"/>
      <c r="AP25" s="50"/>
    </row>
    <row r="26" spans="2:50" ht="7.5" customHeight="1" x14ac:dyDescent="0.2">
      <c r="B26" s="320"/>
      <c r="C26" s="320"/>
      <c r="D26" s="320"/>
      <c r="E26" s="320"/>
      <c r="F26" s="320"/>
      <c r="G26" s="320"/>
      <c r="H26" s="320"/>
      <c r="I26" s="320"/>
      <c r="J26" s="320"/>
      <c r="K26" s="320"/>
      <c r="L26" s="320"/>
      <c r="M26" s="320"/>
      <c r="N26" s="320"/>
      <c r="O26" s="320"/>
      <c r="P26" s="320"/>
      <c r="Q26" s="320"/>
      <c r="R26" s="320"/>
      <c r="S26" s="320"/>
      <c r="T26" s="320"/>
      <c r="U26" s="320"/>
      <c r="V26" s="320"/>
      <c r="W26" s="320"/>
    </row>
    <row r="27" spans="2:50" ht="11.25" customHeight="1" x14ac:dyDescent="0.2"/>
    <row r="28" spans="2:50" ht="13.5" customHeight="1" x14ac:dyDescent="0.2">
      <c r="G28" s="36"/>
      <c r="H28" s="36"/>
      <c r="I28" s="36"/>
      <c r="J28" s="36"/>
      <c r="K28" s="36"/>
      <c r="L28" s="36"/>
      <c r="M28" s="36"/>
      <c r="N28" s="36"/>
      <c r="O28" s="36" t="s">
        <v>1592</v>
      </c>
      <c r="P28" s="36"/>
      <c r="Q28" s="36"/>
      <c r="R28" s="36"/>
      <c r="S28" s="36"/>
      <c r="T28" s="36"/>
      <c r="U28" s="36"/>
      <c r="V28" s="36"/>
      <c r="W28" s="36"/>
      <c r="X28" s="36"/>
      <c r="Y28" s="36"/>
      <c r="Z28" s="36"/>
      <c r="AA28" s="36"/>
      <c r="AB28" s="36"/>
      <c r="AC28" s="36"/>
      <c r="AD28" s="36"/>
      <c r="AE28" s="36"/>
      <c r="AF28" s="36"/>
      <c r="AG28" s="36"/>
      <c r="AH28" s="36"/>
      <c r="AI28" s="36"/>
      <c r="AJ28" s="36"/>
      <c r="AK28" s="36"/>
    </row>
    <row r="29" spans="2:50" ht="6.75" customHeight="1" x14ac:dyDescent="0.2"/>
    <row r="30" spans="2:50" ht="13.5" customHeight="1" x14ac:dyDescent="0.2">
      <c r="C30" s="36"/>
      <c r="D30" s="321" t="s">
        <v>1763</v>
      </c>
      <c r="E30" s="321"/>
      <c r="F30" s="321"/>
      <c r="G30" s="321"/>
      <c r="H30" s="321"/>
      <c r="I30" s="321"/>
      <c r="J30" s="36"/>
      <c r="K30" s="322"/>
      <c r="L30" s="321"/>
      <c r="M30" s="321"/>
      <c r="N30" s="321"/>
      <c r="O30" s="321"/>
      <c r="P30" s="321"/>
      <c r="Q30" s="36"/>
      <c r="R30" s="322"/>
      <c r="S30" s="321"/>
      <c r="T30" s="321"/>
      <c r="U30" s="321"/>
      <c r="V30" s="321"/>
      <c r="W30" s="321"/>
      <c r="X30" s="36"/>
      <c r="Y30" s="322"/>
      <c r="Z30" s="321"/>
      <c r="AA30" s="321"/>
      <c r="AB30" s="321"/>
      <c r="AC30" s="321"/>
      <c r="AD30" s="321"/>
      <c r="AE30" s="36"/>
      <c r="AF30" s="321"/>
      <c r="AG30" s="321"/>
      <c r="AH30" s="321"/>
      <c r="AI30" s="321"/>
      <c r="AJ30" s="321"/>
      <c r="AK30" s="321"/>
    </row>
    <row r="31" spans="2:50" ht="6.75" customHeight="1" x14ac:dyDescent="0.2"/>
    <row r="32" spans="2:50" ht="15.75" customHeight="1" x14ac:dyDescent="0.2">
      <c r="G32" s="36"/>
      <c r="H32" s="36"/>
      <c r="I32" s="36"/>
      <c r="J32" s="36"/>
      <c r="K32" s="36"/>
      <c r="L32" s="36"/>
      <c r="M32" s="61"/>
      <c r="N32" s="61"/>
      <c r="O32" s="61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36"/>
      <c r="AG32" s="36"/>
      <c r="AH32" s="36"/>
      <c r="AI32" s="36"/>
      <c r="AJ32" s="36"/>
      <c r="AK32" s="36"/>
    </row>
    <row r="33" spans="7:37" ht="6.75" customHeight="1" x14ac:dyDescent="0.2"/>
    <row r="34" spans="7:37" ht="15.75" customHeight="1" x14ac:dyDescent="0.2"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6"/>
      <c r="AB34" s="36"/>
      <c r="AC34" s="36"/>
      <c r="AD34" s="36"/>
      <c r="AE34" s="36"/>
      <c r="AF34" s="36"/>
      <c r="AG34" s="36"/>
      <c r="AH34" s="36"/>
      <c r="AI34" s="36"/>
      <c r="AJ34" s="36"/>
      <c r="AK34" s="36"/>
    </row>
    <row r="35" spans="7:37" ht="6.75" customHeight="1" x14ac:dyDescent="0.2"/>
  </sheetData>
  <sheetProtection sheet="1" objects="1" scenarios="1"/>
  <mergeCells count="23">
    <mergeCell ref="B25:W26"/>
    <mergeCell ref="AL8:AQ8"/>
    <mergeCell ref="AF30:AK30"/>
    <mergeCell ref="Y30:AD30"/>
    <mergeCell ref="R30:W30"/>
    <mergeCell ref="K30:P30"/>
    <mergeCell ref="D30:I30"/>
    <mergeCell ref="B2:AV2"/>
    <mergeCell ref="K15:AJ15"/>
    <mergeCell ref="A15:J15"/>
    <mergeCell ref="C23:Q23"/>
    <mergeCell ref="R22:U23"/>
    <mergeCell ref="J20:K20"/>
    <mergeCell ref="F20:G20"/>
    <mergeCell ref="H20:I20"/>
    <mergeCell ref="G19:K19"/>
    <mergeCell ref="AM6:AQ6"/>
    <mergeCell ref="E5:R6"/>
    <mergeCell ref="F8:K8"/>
    <mergeCell ref="S5:AR5"/>
    <mergeCell ref="X6:AG6"/>
    <mergeCell ref="AA8:AF8"/>
    <mergeCell ref="P8:U8"/>
  </mergeCells>
  <phoneticPr fontId="0" type="noConversion"/>
  <conditionalFormatting sqref="K15:AJ15">
    <cfRule type="cellIs" dxfId="2" priority="1" stopIfTrue="1" operator="between">
      <formula>"La subvention Reseau de"</formula>
      <formula>"La subvention Reseau df"</formula>
    </cfRule>
    <cfRule type="cellIs" dxfId="1" priority="2" stopIfTrue="1" operator="equal">
      <formula>"Adhérent non concerné par la subvention Réseau"</formula>
    </cfRule>
    <cfRule type="cellIs" dxfId="0" priority="3" stopIfTrue="1" operator="equal">
      <formula>"Section entrante dans le calcul de la subvention Reseau"</formula>
    </cfRule>
  </conditionalFormatting>
  <dataValidations xWindow="150" yWindow="174" count="1">
    <dataValidation type="date" operator="greaterThan" allowBlank="1" showInputMessage="1" prompt="JJ/MM/AAAA" sqref="F8:K8">
      <formula1>1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7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07" r:id="rId4" name="Group Box 115">
              <controlPr defaultSize="0" autoFill="0" autoPict="0">
                <anchor moveWithCells="1">
                  <from>
                    <xdr:col>1</xdr:col>
                    <xdr:colOff>0</xdr:colOff>
                    <xdr:row>3</xdr:row>
                    <xdr:rowOff>47625</xdr:rowOff>
                  </from>
                  <to>
                    <xdr:col>44</xdr:col>
                    <xdr:colOff>76200</xdr:colOff>
                    <xdr:row>13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5" name="Button 5">
              <controlPr defaultSize="0" print="0" autoFill="0" autoPict="0" macro="[0]!Precedent">
                <anchor moveWithCells="1" sizeWithCells="1">
                  <from>
                    <xdr:col>1</xdr:col>
                    <xdr:colOff>142875</xdr:colOff>
                    <xdr:row>15</xdr:row>
                    <xdr:rowOff>152400</xdr:rowOff>
                  </from>
                  <to>
                    <xdr:col>4</xdr:col>
                    <xdr:colOff>152400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6" name="Button 6">
              <controlPr defaultSize="0" print="0" autoFill="0" autoPict="0" macro="[0]!nouveau">
                <anchor moveWithCells="1" sizeWithCells="1">
                  <from>
                    <xdr:col>5</xdr:col>
                    <xdr:colOff>38100</xdr:colOff>
                    <xdr:row>15</xdr:row>
                    <xdr:rowOff>133350</xdr:rowOff>
                  </from>
                  <to>
                    <xdr:col>11</xdr:col>
                    <xdr:colOff>66675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7" name="Button 7">
              <controlPr locked="0" defaultSize="0" print="0" autoFill="0" autoPict="0" macro="[0]!Suivant">
                <anchor moveWithCells="1" sizeWithCells="1">
                  <from>
                    <xdr:col>11</xdr:col>
                    <xdr:colOff>104775</xdr:colOff>
                    <xdr:row>15</xdr:row>
                    <xdr:rowOff>152400</xdr:rowOff>
                  </from>
                  <to>
                    <xdr:col>13</xdr:col>
                    <xdr:colOff>152400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8" name="Button 17">
              <controlPr defaultSize="0" print="0" autoFill="0" autoPict="0" macro="[0]!A_QuandClic">
                <anchor moveWithCells="1" sizeWithCells="1">
                  <from>
                    <xdr:col>16</xdr:col>
                    <xdr:colOff>142875</xdr:colOff>
                    <xdr:row>16</xdr:row>
                    <xdr:rowOff>57150</xdr:rowOff>
                  </from>
                  <to>
                    <xdr:col>18</xdr:col>
                    <xdr:colOff>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9" name="Button 18">
              <controlPr defaultSize="0" print="0" autoFill="0" autoPict="0" macro="[0]!b_QuandClic">
                <anchor moveWithCells="1" sizeWithCells="1">
                  <from>
                    <xdr:col>18</xdr:col>
                    <xdr:colOff>57150</xdr:colOff>
                    <xdr:row>16</xdr:row>
                    <xdr:rowOff>57150</xdr:rowOff>
                  </from>
                  <to>
                    <xdr:col>19</xdr:col>
                    <xdr:colOff>104775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0" name="Button 19">
              <controlPr defaultSize="0" print="0" autoFill="0" autoPict="0" macro="[0]!C_QuandClic">
                <anchor moveWithCells="1" sizeWithCells="1">
                  <from>
                    <xdr:col>19</xdr:col>
                    <xdr:colOff>142875</xdr:colOff>
                    <xdr:row>16</xdr:row>
                    <xdr:rowOff>57150</xdr:rowOff>
                  </from>
                  <to>
                    <xdr:col>21</xdr:col>
                    <xdr:colOff>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1" name="Button 20">
              <controlPr defaultSize="0" print="0" autoFill="0" autoPict="0" macro="[0]!d_QuandClic">
                <anchor moveWithCells="1" sizeWithCells="1">
                  <from>
                    <xdr:col>21</xdr:col>
                    <xdr:colOff>66675</xdr:colOff>
                    <xdr:row>16</xdr:row>
                    <xdr:rowOff>57150</xdr:rowOff>
                  </from>
                  <to>
                    <xdr:col>22</xdr:col>
                    <xdr:colOff>114300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2" name="Button 21">
              <controlPr defaultSize="0" print="0" autoFill="0" autoPict="0" macro="[0]!F_QuandClic">
                <anchor moveWithCells="1" sizeWithCells="1">
                  <from>
                    <xdr:col>24</xdr:col>
                    <xdr:colOff>66675</xdr:colOff>
                    <xdr:row>16</xdr:row>
                    <xdr:rowOff>57150</xdr:rowOff>
                  </from>
                  <to>
                    <xdr:col>25</xdr:col>
                    <xdr:colOff>114300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4" r:id="rId13" name="Button 22">
              <controlPr defaultSize="0" print="0" autoFill="0" autoPict="0" macro="[0]!L_QuandClic">
                <anchor moveWithCells="1" sizeWithCells="1">
                  <from>
                    <xdr:col>33</xdr:col>
                    <xdr:colOff>38100</xdr:colOff>
                    <xdr:row>16</xdr:row>
                    <xdr:rowOff>57150</xdr:rowOff>
                  </from>
                  <to>
                    <xdr:col>34</xdr:col>
                    <xdr:colOff>85725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4" name="Button 23">
              <controlPr defaultSize="0" print="0" autoFill="0" autoPict="0" macro="[0]!M_QuandClic">
                <anchor moveWithCells="1" sizeWithCells="1">
                  <from>
                    <xdr:col>34</xdr:col>
                    <xdr:colOff>114300</xdr:colOff>
                    <xdr:row>16</xdr:row>
                    <xdr:rowOff>57150</xdr:rowOff>
                  </from>
                  <to>
                    <xdr:col>35</xdr:col>
                    <xdr:colOff>161925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5" name="Button 24">
              <controlPr defaultSize="0" print="0" autoFill="0" autoPict="0" macro="[0]!E_QuandClic">
                <anchor moveWithCells="1" sizeWithCells="1">
                  <from>
                    <xdr:col>22</xdr:col>
                    <xdr:colOff>161925</xdr:colOff>
                    <xdr:row>16</xdr:row>
                    <xdr:rowOff>57150</xdr:rowOff>
                  </from>
                  <to>
                    <xdr:col>24</xdr:col>
                    <xdr:colOff>19050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6" name="Button 25">
              <controlPr defaultSize="0" print="0" autoFill="0" autoPict="0" macro="[0]!H_QuandClic">
                <anchor moveWithCells="1" sizeWithCells="1">
                  <from>
                    <xdr:col>27</xdr:col>
                    <xdr:colOff>38100</xdr:colOff>
                    <xdr:row>16</xdr:row>
                    <xdr:rowOff>57150</xdr:rowOff>
                  </from>
                  <to>
                    <xdr:col>28</xdr:col>
                    <xdr:colOff>85725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7" name="Button 27">
              <controlPr defaultSize="0" print="0" autoFill="0" autoPict="0" macro="[0]!I_QuandClic">
                <anchor moveWithCells="1" sizeWithCells="1">
                  <from>
                    <xdr:col>28</xdr:col>
                    <xdr:colOff>133350</xdr:colOff>
                    <xdr:row>16</xdr:row>
                    <xdr:rowOff>57150</xdr:rowOff>
                  </from>
                  <to>
                    <xdr:col>29</xdr:col>
                    <xdr:colOff>180975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0" r:id="rId18" name="Button 28">
              <controlPr defaultSize="0" print="0" autoFill="0" autoPict="0" macro="[0]!J_QuandClic">
                <anchor moveWithCells="1" sizeWithCells="1">
                  <from>
                    <xdr:col>30</xdr:col>
                    <xdr:colOff>38100</xdr:colOff>
                    <xdr:row>16</xdr:row>
                    <xdr:rowOff>57150</xdr:rowOff>
                  </from>
                  <to>
                    <xdr:col>31</xdr:col>
                    <xdr:colOff>85725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1" r:id="rId19" name="Button 29">
              <controlPr defaultSize="0" print="0" autoFill="0" autoPict="0" macro="[0]!K_QuandClic">
                <anchor moveWithCells="1" sizeWithCells="1">
                  <from>
                    <xdr:col>31</xdr:col>
                    <xdr:colOff>133350</xdr:colOff>
                    <xdr:row>16</xdr:row>
                    <xdr:rowOff>57150</xdr:rowOff>
                  </from>
                  <to>
                    <xdr:col>32</xdr:col>
                    <xdr:colOff>180975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3" r:id="rId20" name="Button 31">
              <controlPr defaultSize="0" print="0" autoFill="0" autoPict="0" macro="[0]!N_QuandClic">
                <anchor moveWithCells="1" sizeWithCells="1">
                  <from>
                    <xdr:col>16</xdr:col>
                    <xdr:colOff>142875</xdr:colOff>
                    <xdr:row>17</xdr:row>
                    <xdr:rowOff>142875</xdr:rowOff>
                  </from>
                  <to>
                    <xdr:col>18</xdr:col>
                    <xdr:colOff>0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4" r:id="rId21" name="Button 32">
              <controlPr defaultSize="0" print="0" autoFill="0" autoPict="0" macro="[0]!G_QuandClic">
                <anchor moveWithCells="1" sizeWithCells="1">
                  <from>
                    <xdr:col>25</xdr:col>
                    <xdr:colOff>142875</xdr:colOff>
                    <xdr:row>16</xdr:row>
                    <xdr:rowOff>57150</xdr:rowOff>
                  </from>
                  <to>
                    <xdr:col>27</xdr:col>
                    <xdr:colOff>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5" r:id="rId22" name="Button 33">
              <controlPr defaultSize="0" print="0" autoFill="0" autoPict="0" macro="[0]!P_QuandClic">
                <anchor moveWithCells="1" sizeWithCells="1">
                  <from>
                    <xdr:col>19</xdr:col>
                    <xdr:colOff>142875</xdr:colOff>
                    <xdr:row>17</xdr:row>
                    <xdr:rowOff>142875</xdr:rowOff>
                  </from>
                  <to>
                    <xdr:col>21</xdr:col>
                    <xdr:colOff>0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6" r:id="rId23" name="Button 34">
              <controlPr defaultSize="0" print="0" autoFill="0" autoPict="0" macro="[0]!Q_QuandClic">
                <anchor moveWithCells="1" sizeWithCells="1">
                  <from>
                    <xdr:col>21</xdr:col>
                    <xdr:colOff>57150</xdr:colOff>
                    <xdr:row>17</xdr:row>
                    <xdr:rowOff>142875</xdr:rowOff>
                  </from>
                  <to>
                    <xdr:col>22</xdr:col>
                    <xdr:colOff>104775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24" name="Button 35">
              <controlPr defaultSize="0" print="0" autoFill="0" autoPict="0" macro="[0]!R_QuandClic">
                <anchor moveWithCells="1" sizeWithCells="1">
                  <from>
                    <xdr:col>22</xdr:col>
                    <xdr:colOff>152400</xdr:colOff>
                    <xdr:row>17</xdr:row>
                    <xdr:rowOff>142875</xdr:rowOff>
                  </from>
                  <to>
                    <xdr:col>24</xdr:col>
                    <xdr:colOff>9525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25" name="Button 36">
              <controlPr defaultSize="0" print="0" autoFill="0" autoPict="0" macro="[0]!S_QuandClic">
                <anchor moveWithCells="1" sizeWithCells="1">
                  <from>
                    <xdr:col>24</xdr:col>
                    <xdr:colOff>66675</xdr:colOff>
                    <xdr:row>17</xdr:row>
                    <xdr:rowOff>142875</xdr:rowOff>
                  </from>
                  <to>
                    <xdr:col>25</xdr:col>
                    <xdr:colOff>114300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26" name="Button 37">
              <controlPr defaultSize="0" print="0" autoFill="0" autoPict="0" macro="[0]!O_QuandClic">
                <anchor moveWithCells="1" sizeWithCells="1">
                  <from>
                    <xdr:col>18</xdr:col>
                    <xdr:colOff>38100</xdr:colOff>
                    <xdr:row>17</xdr:row>
                    <xdr:rowOff>152400</xdr:rowOff>
                  </from>
                  <to>
                    <xdr:col>19</xdr:col>
                    <xdr:colOff>85725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7" name="Button 38">
              <controlPr defaultSize="0" print="0" autoFill="0" autoPict="0" macro="[0]!T_QuandClic">
                <anchor moveWithCells="1" sizeWithCells="1">
                  <from>
                    <xdr:col>25</xdr:col>
                    <xdr:colOff>152400</xdr:colOff>
                    <xdr:row>17</xdr:row>
                    <xdr:rowOff>152400</xdr:rowOff>
                  </from>
                  <to>
                    <xdr:col>27</xdr:col>
                    <xdr:colOff>9525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8" name="Button 39">
              <controlPr defaultSize="0" print="0" autoFill="0" autoPict="0" macro="[0]!W_QuandClic">
                <anchor moveWithCells="1" sizeWithCells="1">
                  <from>
                    <xdr:col>30</xdr:col>
                    <xdr:colOff>38100</xdr:colOff>
                    <xdr:row>17</xdr:row>
                    <xdr:rowOff>142875</xdr:rowOff>
                  </from>
                  <to>
                    <xdr:col>31</xdr:col>
                    <xdr:colOff>85725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9" name="Button 40">
              <controlPr defaultSize="0" print="0" autoFill="0" autoPict="0" macro="[0]!V_QuandClic">
                <anchor moveWithCells="1" sizeWithCells="1">
                  <from>
                    <xdr:col>28</xdr:col>
                    <xdr:colOff>133350</xdr:colOff>
                    <xdr:row>17</xdr:row>
                    <xdr:rowOff>152400</xdr:rowOff>
                  </from>
                  <to>
                    <xdr:col>29</xdr:col>
                    <xdr:colOff>180975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30" name="Button 41">
              <controlPr defaultSize="0" print="0" autoFill="0" autoPict="0" macro="[0]!U_QuandClic">
                <anchor moveWithCells="1" sizeWithCells="1">
                  <from>
                    <xdr:col>27</xdr:col>
                    <xdr:colOff>38100</xdr:colOff>
                    <xdr:row>17</xdr:row>
                    <xdr:rowOff>152400</xdr:rowOff>
                  </from>
                  <to>
                    <xdr:col>28</xdr:col>
                    <xdr:colOff>85725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31" name="Button 42">
              <controlPr defaultSize="0" print="0" autoFill="0" autoPict="0" macro="[0]!X_QuandClic">
                <anchor moveWithCells="1" sizeWithCells="1">
                  <from>
                    <xdr:col>31</xdr:col>
                    <xdr:colOff>123825</xdr:colOff>
                    <xdr:row>17</xdr:row>
                    <xdr:rowOff>152400</xdr:rowOff>
                  </from>
                  <to>
                    <xdr:col>32</xdr:col>
                    <xdr:colOff>180975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32" name="Button 43">
              <controlPr defaultSize="0" print="0" autoFill="0" autoPict="0" macro="[0]!Y_QuandClic">
                <anchor moveWithCells="1" sizeWithCells="1">
                  <from>
                    <xdr:col>33</xdr:col>
                    <xdr:colOff>38100</xdr:colOff>
                    <xdr:row>17</xdr:row>
                    <xdr:rowOff>142875</xdr:rowOff>
                  </from>
                  <to>
                    <xdr:col>34</xdr:col>
                    <xdr:colOff>85725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33" name="Button 44">
              <controlPr defaultSize="0" print="0" autoFill="0" autoPict="0" macro="[0]!Z_QuandClic">
                <anchor moveWithCells="1" sizeWithCells="1">
                  <from>
                    <xdr:col>34</xdr:col>
                    <xdr:colOff>114300</xdr:colOff>
                    <xdr:row>17</xdr:row>
                    <xdr:rowOff>142875</xdr:rowOff>
                  </from>
                  <to>
                    <xdr:col>35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34" name="Button 50">
              <controlPr defaultSize="0" print="0" autoFill="0" autoPict="0" macro="[0]!Recherche">
                <anchor moveWithCells="1" sizeWithCells="1">
                  <from>
                    <xdr:col>36</xdr:col>
                    <xdr:colOff>152400</xdr:colOff>
                    <xdr:row>18</xdr:row>
                    <xdr:rowOff>9525</xdr:rowOff>
                  </from>
                  <to>
                    <xdr:col>40</xdr:col>
                    <xdr:colOff>152400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2" r:id="rId35" name="Button 80">
              <controlPr defaultSize="0" print="0" autoFill="0" autoPict="0" macro="[0]!suppression">
                <anchor moveWithCells="1" sizeWithCells="1">
                  <from>
                    <xdr:col>5</xdr:col>
                    <xdr:colOff>47625</xdr:colOff>
                    <xdr:row>19</xdr:row>
                    <xdr:rowOff>47625</xdr:rowOff>
                  </from>
                  <to>
                    <xdr:col>11</xdr:col>
                    <xdr:colOff>28575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3" r:id="rId36" name="Button 81">
              <controlPr defaultSize="0" print="0" autoFill="0" autoPict="0" macro="[0]!Enreg">
                <anchor moveWithCells="1" sizeWithCells="1">
                  <from>
                    <xdr:col>38</xdr:col>
                    <xdr:colOff>133350</xdr:colOff>
                    <xdr:row>25</xdr:row>
                    <xdr:rowOff>66675</xdr:rowOff>
                  </from>
                  <to>
                    <xdr:col>44</xdr:col>
                    <xdr:colOff>76200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9" r:id="rId37" name="Button 87">
              <controlPr defaultSize="0" print="0" autoFill="0" autoPict="0" macro="[0]!matricule">
                <anchor moveWithCells="1" sizeWithCells="1">
                  <from>
                    <xdr:col>36</xdr:col>
                    <xdr:colOff>142875</xdr:colOff>
                    <xdr:row>16</xdr:row>
                    <xdr:rowOff>38100</xdr:rowOff>
                  </from>
                  <to>
                    <xdr:col>40</xdr:col>
                    <xdr:colOff>142875</xdr:colOff>
                    <xdr:row>17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2" r:id="rId38" name="Drop Down 100">
              <controlPr defaultSize="0" autoLine="0" autoPict="0" macro="[0]!activite_1">
                <anchor moveWithCells="1">
                  <from>
                    <xdr:col>2</xdr:col>
                    <xdr:colOff>38100</xdr:colOff>
                    <xdr:row>12</xdr:row>
                    <xdr:rowOff>85725</xdr:rowOff>
                  </from>
                  <to>
                    <xdr:col>8</xdr:col>
                    <xdr:colOff>76200</xdr:colOff>
                    <xdr:row>13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3" r:id="rId39" name="Drop Down 101">
              <controlPr defaultSize="0" autoLine="0" autoPict="0" macro="[0]!activite_2">
                <anchor moveWithCells="1">
                  <from>
                    <xdr:col>10</xdr:col>
                    <xdr:colOff>66675</xdr:colOff>
                    <xdr:row>12</xdr:row>
                    <xdr:rowOff>85725</xdr:rowOff>
                  </from>
                  <to>
                    <xdr:col>16</xdr:col>
                    <xdr:colOff>123825</xdr:colOff>
                    <xdr:row>13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" r:id="rId40" name="Drop Down 102">
              <controlPr defaultSize="0" autoLine="0" autoPict="0" macro="[0]!activite_3">
                <anchor moveWithCells="1">
                  <from>
                    <xdr:col>19</xdr:col>
                    <xdr:colOff>28575</xdr:colOff>
                    <xdr:row>12</xdr:row>
                    <xdr:rowOff>76200</xdr:rowOff>
                  </from>
                  <to>
                    <xdr:col>25</xdr:col>
                    <xdr:colOff>95250</xdr:colOff>
                    <xdr:row>13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" r:id="rId41" name="Drop Down 103">
              <controlPr defaultSize="0" autoLine="0" autoPict="0" macro="[0]!activite_4">
                <anchor moveWithCells="1">
                  <from>
                    <xdr:col>28</xdr:col>
                    <xdr:colOff>9525</xdr:colOff>
                    <xdr:row>12</xdr:row>
                    <xdr:rowOff>66675</xdr:rowOff>
                  </from>
                  <to>
                    <xdr:col>34</xdr:col>
                    <xdr:colOff>38100</xdr:colOff>
                    <xdr:row>13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" r:id="rId42" name="Drop Down 104">
              <controlPr defaultSize="0" autoLine="0" autoPict="0" macro="[0]!activite_5">
                <anchor moveWithCells="1">
                  <from>
                    <xdr:col>36</xdr:col>
                    <xdr:colOff>85725</xdr:colOff>
                    <xdr:row>12</xdr:row>
                    <xdr:rowOff>66675</xdr:rowOff>
                  </from>
                  <to>
                    <xdr:col>42</xdr:col>
                    <xdr:colOff>66675</xdr:colOff>
                    <xdr:row>13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" r:id="rId43" name="Drop Down 105">
              <controlPr defaultSize="0" autoLine="0" autoPict="0">
                <anchor moveWithCells="1">
                  <from>
                    <xdr:col>17</xdr:col>
                    <xdr:colOff>9525</xdr:colOff>
                    <xdr:row>10</xdr:row>
                    <xdr:rowOff>0</xdr:rowOff>
                  </from>
                  <to>
                    <xdr:col>21</xdr:col>
                    <xdr:colOff>66675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8" r:id="rId44" name="Drop Down 106">
              <controlPr defaultSize="0" autoLine="0" autoPict="0" macro="[0]!liste_DATE">
                <anchor moveWithCells="1">
                  <from>
                    <xdr:col>36</xdr:col>
                    <xdr:colOff>133350</xdr:colOff>
                    <xdr:row>22</xdr:row>
                    <xdr:rowOff>28575</xdr:rowOff>
                  </from>
                  <to>
                    <xdr:col>41</xdr:col>
                    <xdr:colOff>85725</xdr:colOff>
                    <xdr:row>23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5" r:id="rId45" name="Option Button 113">
              <controlPr defaultSize="0" autoFill="0" autoLine="0" autoPict="0">
                <anchor moveWithCells="1">
                  <from>
                    <xdr:col>41</xdr:col>
                    <xdr:colOff>9525</xdr:colOff>
                    <xdr:row>10</xdr:row>
                    <xdr:rowOff>95250</xdr:rowOff>
                  </from>
                  <to>
                    <xdr:col>43</xdr:col>
                    <xdr:colOff>85725</xdr:colOff>
                    <xdr:row>10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6" r:id="rId46" name="Drop Down 114">
              <controlPr defaultSize="0" autoLine="0" autoPict="0" macro="[0]!liste_SECTION">
                <anchor moveWithCells="1">
                  <from>
                    <xdr:col>30</xdr:col>
                    <xdr:colOff>114300</xdr:colOff>
                    <xdr:row>22</xdr:row>
                    <xdr:rowOff>19050</xdr:rowOff>
                  </from>
                  <to>
                    <xdr:col>35</xdr:col>
                    <xdr:colOff>161925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4" r:id="rId47" name="Option Button 112">
              <controlPr defaultSize="0" autoFill="0" autoLine="0" autoPict="0">
                <anchor moveWithCells="1">
                  <from>
                    <xdr:col>33</xdr:col>
                    <xdr:colOff>66675</xdr:colOff>
                    <xdr:row>10</xdr:row>
                    <xdr:rowOff>95250</xdr:rowOff>
                  </from>
                  <to>
                    <xdr:col>35</xdr:col>
                    <xdr:colOff>133350</xdr:colOff>
                    <xdr:row>10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8" r:id="rId48" name="Label 116">
              <controlPr defaultSize="0" autoFill="0" autoLine="0" autoPict="0">
                <anchor moveWithCells="1" sizeWithCells="1">
                  <from>
                    <xdr:col>1</xdr:col>
                    <xdr:colOff>114300</xdr:colOff>
                    <xdr:row>4</xdr:row>
                    <xdr:rowOff>200025</xdr:rowOff>
                  </from>
                  <to>
                    <xdr:col>3</xdr:col>
                    <xdr:colOff>66675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9" r:id="rId49" name="Label 117">
              <controlPr defaultSize="0" autoFill="0" autoLine="0" autoPict="0">
                <anchor moveWithCells="1" sizeWithCells="1">
                  <from>
                    <xdr:col>19</xdr:col>
                    <xdr:colOff>95250</xdr:colOff>
                    <xdr:row>5</xdr:row>
                    <xdr:rowOff>38100</xdr:rowOff>
                  </from>
                  <to>
                    <xdr:col>22</xdr:col>
                    <xdr:colOff>19050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0" r:id="rId50" name="Label 118">
              <controlPr defaultSize="0" autoFill="0" autoLine="0" autoPict="0">
                <anchor moveWithCells="1" sizeWithCells="1">
                  <from>
                    <xdr:col>33</xdr:col>
                    <xdr:colOff>133350</xdr:colOff>
                    <xdr:row>5</xdr:row>
                    <xdr:rowOff>38100</xdr:rowOff>
                  </from>
                  <to>
                    <xdr:col>36</xdr:col>
                    <xdr:colOff>152400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1" r:id="rId51" name="Label 119">
              <controlPr defaultSize="0" autoFill="0" autoLine="0" autoPict="0">
                <anchor moveWithCells="1" sizeWithCells="1">
                  <from>
                    <xdr:col>1</xdr:col>
                    <xdr:colOff>152400</xdr:colOff>
                    <xdr:row>6</xdr:row>
                    <xdr:rowOff>152400</xdr:rowOff>
                  </from>
                  <to>
                    <xdr:col>4</xdr:col>
                    <xdr:colOff>123825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2" r:id="rId52" name="Label 120">
              <controlPr defaultSize="0" autoFill="0" autoLine="0" autoPict="0">
                <anchor moveWithCells="1" sizeWithCells="1">
                  <from>
                    <xdr:col>12</xdr:col>
                    <xdr:colOff>0</xdr:colOff>
                    <xdr:row>6</xdr:row>
                    <xdr:rowOff>142875</xdr:rowOff>
                  </from>
                  <to>
                    <xdr:col>14</xdr:col>
                    <xdr:colOff>66675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3" r:id="rId53" name="Label 121">
              <controlPr defaultSize="0" autoFill="0" autoLine="0" autoPict="0">
                <anchor moveWithCells="1" sizeWithCells="1">
                  <from>
                    <xdr:col>22</xdr:col>
                    <xdr:colOff>152400</xdr:colOff>
                    <xdr:row>6</xdr:row>
                    <xdr:rowOff>152400</xdr:rowOff>
                  </from>
                  <to>
                    <xdr:col>25</xdr:col>
                    <xdr:colOff>47625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4" r:id="rId54" name="Label 122">
              <controlPr defaultSize="0" autoFill="0" autoLine="0" autoPict="0">
                <anchor moveWithCells="1" sizeWithCells="1">
                  <from>
                    <xdr:col>33</xdr:col>
                    <xdr:colOff>19050</xdr:colOff>
                    <xdr:row>7</xdr:row>
                    <xdr:rowOff>19050</xdr:rowOff>
                  </from>
                  <to>
                    <xdr:col>36</xdr:col>
                    <xdr:colOff>57150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5" r:id="rId55" name="Label 123">
              <controlPr defaultSize="0" autoFill="0" autoLine="0" autoPict="0">
                <anchor moveWithCells="1" sizeWithCells="1">
                  <from>
                    <xdr:col>11</xdr:col>
                    <xdr:colOff>57150</xdr:colOff>
                    <xdr:row>10</xdr:row>
                    <xdr:rowOff>0</xdr:rowOff>
                  </from>
                  <to>
                    <xdr:col>17</xdr:col>
                    <xdr:colOff>38100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6" r:id="rId56" name="Label 124">
              <controlPr defaultSize="0" autoFill="0" autoLine="0" autoPict="0">
                <anchor moveWithCells="1" sizeWithCells="1">
                  <from>
                    <xdr:col>34</xdr:col>
                    <xdr:colOff>152400</xdr:colOff>
                    <xdr:row>9</xdr:row>
                    <xdr:rowOff>19050</xdr:rowOff>
                  </from>
                  <to>
                    <xdr:col>42</xdr:col>
                    <xdr:colOff>28575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7" r:id="rId57" name="Label 125">
              <controlPr defaultSize="0" autoFill="0" autoLine="0" autoPict="0">
                <anchor moveWithCells="1" sizeWithCells="1">
                  <from>
                    <xdr:col>3</xdr:col>
                    <xdr:colOff>152400</xdr:colOff>
                    <xdr:row>11</xdr:row>
                    <xdr:rowOff>9525</xdr:rowOff>
                  </from>
                  <to>
                    <xdr:col>8</xdr:col>
                    <xdr:colOff>38100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8" r:id="rId58" name="Label 126">
              <controlPr defaultSize="0" autoFill="0" autoLine="0" autoPict="0">
                <anchor moveWithCells="1" sizeWithCells="1">
                  <from>
                    <xdr:col>11</xdr:col>
                    <xdr:colOff>104775</xdr:colOff>
                    <xdr:row>11</xdr:row>
                    <xdr:rowOff>19050</xdr:rowOff>
                  </from>
                  <to>
                    <xdr:col>15</xdr:col>
                    <xdr:colOff>152400</xdr:colOff>
                    <xdr:row>12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9" r:id="rId59" name="Label 127">
              <controlPr defaultSize="0" autoFill="0" autoLine="0" autoPict="0">
                <anchor moveWithCells="1" sizeWithCells="1">
                  <from>
                    <xdr:col>20</xdr:col>
                    <xdr:colOff>85725</xdr:colOff>
                    <xdr:row>11</xdr:row>
                    <xdr:rowOff>9525</xdr:rowOff>
                  </from>
                  <to>
                    <xdr:col>24</xdr:col>
                    <xdr:colOff>133350</xdr:colOff>
                    <xdr:row>12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0" r:id="rId60" name="Label 128">
              <controlPr defaultSize="0" autoFill="0" autoLine="0" autoPict="0">
                <anchor moveWithCells="1" sizeWithCells="1">
                  <from>
                    <xdr:col>29</xdr:col>
                    <xdr:colOff>19050</xdr:colOff>
                    <xdr:row>11</xdr:row>
                    <xdr:rowOff>9525</xdr:rowOff>
                  </from>
                  <to>
                    <xdr:col>33</xdr:col>
                    <xdr:colOff>66675</xdr:colOff>
                    <xdr:row>12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1" r:id="rId61" name="Label 129">
              <controlPr defaultSize="0" autoFill="0" autoLine="0" autoPict="0">
                <anchor moveWithCells="1" sizeWithCells="1">
                  <from>
                    <xdr:col>38</xdr:col>
                    <xdr:colOff>0</xdr:colOff>
                    <xdr:row>11</xdr:row>
                    <xdr:rowOff>9525</xdr:rowOff>
                  </from>
                  <to>
                    <xdr:col>42</xdr:col>
                    <xdr:colOff>47625</xdr:colOff>
                    <xdr:row>12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2" r:id="rId62" name="Label 130">
              <controlPr defaultSize="0" autoFill="0" autoLine="0" autoPict="0">
                <anchor moveWithCells="1" sizeWithCells="1">
                  <from>
                    <xdr:col>30</xdr:col>
                    <xdr:colOff>152400</xdr:colOff>
                    <xdr:row>21</xdr:row>
                    <xdr:rowOff>66675</xdr:rowOff>
                  </from>
                  <to>
                    <xdr:col>36</xdr:col>
                    <xdr:colOff>9525</xdr:colOff>
                    <xdr:row>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3" r:id="rId63" name="Label 131">
              <controlPr defaultSize="0" autoFill="0" autoLine="0" autoPict="0">
                <anchor moveWithCells="1" sizeWithCells="1">
                  <from>
                    <xdr:col>37</xdr:col>
                    <xdr:colOff>104775</xdr:colOff>
                    <xdr:row>21</xdr:row>
                    <xdr:rowOff>95250</xdr:rowOff>
                  </from>
                  <to>
                    <xdr:col>42</xdr:col>
                    <xdr:colOff>104775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5" r:id="rId64" name="Group Box 133">
              <controlPr defaultSize="0" autoFill="0" autoPict="0">
                <anchor moveWithCells="1">
                  <from>
                    <xdr:col>23</xdr:col>
                    <xdr:colOff>114300</xdr:colOff>
                    <xdr:row>20</xdr:row>
                    <xdr:rowOff>0</xdr:rowOff>
                  </from>
                  <to>
                    <xdr:col>44</xdr:col>
                    <xdr:colOff>66675</xdr:colOff>
                    <xdr:row>24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6" r:id="rId65" name="Drop Down 134">
              <controlPr defaultSize="0" autoLine="0" autoPict="0" macro="[0]!filtre_SECTION">
                <anchor moveWithCells="1">
                  <from>
                    <xdr:col>45</xdr:col>
                    <xdr:colOff>66675</xdr:colOff>
                    <xdr:row>4</xdr:row>
                    <xdr:rowOff>104775</xdr:rowOff>
                  </from>
                  <to>
                    <xdr:col>47</xdr:col>
                    <xdr:colOff>714375</xdr:colOff>
                    <xdr:row>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7" r:id="rId66" name="Label 135">
              <controlPr defaultSize="0" autoFill="0" autoLine="0" autoPict="0">
                <anchor moveWithCells="1" sizeWithCells="1">
                  <from>
                    <xdr:col>46</xdr:col>
                    <xdr:colOff>66675</xdr:colOff>
                    <xdr:row>3</xdr:row>
                    <xdr:rowOff>0</xdr:rowOff>
                  </from>
                  <to>
                    <xdr:col>47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8" r:id="rId67" name="Label 136">
              <controlPr defaultSize="0" autoFill="0" autoLine="0" autoPict="0">
                <anchor moveWithCells="1" sizeWithCells="1">
                  <from>
                    <xdr:col>1</xdr:col>
                    <xdr:colOff>152400</xdr:colOff>
                    <xdr:row>9</xdr:row>
                    <xdr:rowOff>85725</xdr:rowOff>
                  </from>
                  <to>
                    <xdr:col>4</xdr:col>
                    <xdr:colOff>114300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9" r:id="rId68" name="Drop Down 137">
              <controlPr defaultSize="0" autoLine="0" autoPict="0">
                <anchor moveWithCells="1">
                  <from>
                    <xdr:col>4</xdr:col>
                    <xdr:colOff>85725</xdr:colOff>
                    <xdr:row>9</xdr:row>
                    <xdr:rowOff>85725</xdr:rowOff>
                  </from>
                  <to>
                    <xdr:col>9</xdr:col>
                    <xdr:colOff>152400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0" r:id="rId69" name="Button 138">
              <controlPr defaultSize="0" print="0" autoFill="0" autoPict="0" macro="[0]!liste_anocotis">
                <anchor moveWithCells="1" sizeWithCells="1">
                  <from>
                    <xdr:col>38</xdr:col>
                    <xdr:colOff>152400</xdr:colOff>
                    <xdr:row>29</xdr:row>
                    <xdr:rowOff>38100</xdr:rowOff>
                  </from>
                  <to>
                    <xdr:col>44</xdr:col>
                    <xdr:colOff>76200</xdr:colOff>
                    <xdr:row>31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2" r:id="rId70" name="List Box 140">
              <controlPr defaultSize="0" autoLine="0" autoPict="0" macro="[0]!Zonedeliste140_QuandChangement">
                <anchor moveWithCells="1">
                  <from>
                    <xdr:col>36</xdr:col>
                    <xdr:colOff>57150</xdr:colOff>
                    <xdr:row>15</xdr:row>
                    <xdr:rowOff>66675</xdr:rowOff>
                  </from>
                  <to>
                    <xdr:col>43</xdr:col>
                    <xdr:colOff>57150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3" r:id="rId71" name="List Box 141">
              <controlPr defaultSize="0" autoLine="0" autoPict="0" macro="[0]!Zonedeliste_QuandClic">
                <anchor moveWithCells="1">
                  <from>
                    <xdr:col>45</xdr:col>
                    <xdr:colOff>19050</xdr:colOff>
                    <xdr:row>6</xdr:row>
                    <xdr:rowOff>38100</xdr:rowOff>
                  </from>
                  <to>
                    <xdr:col>47</xdr:col>
                    <xdr:colOff>752475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4" r:id="rId72" name="Group Box 142">
              <controlPr defaultSize="0" autoFill="0" autoPict="0">
                <anchor moveWithCells="1">
                  <from>
                    <xdr:col>1</xdr:col>
                    <xdr:colOff>133350</xdr:colOff>
                    <xdr:row>26</xdr:row>
                    <xdr:rowOff>57150</xdr:rowOff>
                  </from>
                  <to>
                    <xdr:col>37</xdr:col>
                    <xdr:colOff>171450</xdr:colOff>
                    <xdr:row>31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5" r:id="rId73" name="Group Box 143">
              <controlPr defaultSize="0" autoFill="0" autoPict="0">
                <anchor moveWithCells="1">
                  <from>
                    <xdr:col>16</xdr:col>
                    <xdr:colOff>38100</xdr:colOff>
                    <xdr:row>15</xdr:row>
                    <xdr:rowOff>152400</xdr:rowOff>
                  </from>
                  <to>
                    <xdr:col>44</xdr:col>
                    <xdr:colOff>85725</xdr:colOff>
                    <xdr:row>19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8" r:id="rId74" name="Button 146">
              <controlPr defaultSize="0" print="0" autoFill="0" autoPict="0" macro="[0]!rechercheTOUT">
                <anchor moveWithCells="1" sizeWithCells="1">
                  <from>
                    <xdr:col>41</xdr:col>
                    <xdr:colOff>85725</xdr:colOff>
                    <xdr:row>16</xdr:row>
                    <xdr:rowOff>66675</xdr:rowOff>
                  </from>
                  <to>
                    <xdr:col>43</xdr:col>
                    <xdr:colOff>114300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6" r:id="rId75" name="Button 154">
              <controlPr defaultSize="0" print="0" autoFill="0" autoPict="0" macro="[0]!nouveau_rbt">
                <anchor moveWithCells="1" sizeWithCells="1">
                  <from>
                    <xdr:col>1</xdr:col>
                    <xdr:colOff>123825</xdr:colOff>
                    <xdr:row>14</xdr:row>
                    <xdr:rowOff>28575</xdr:rowOff>
                  </from>
                  <to>
                    <xdr:col>8</xdr:col>
                    <xdr:colOff>76200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8" r:id="rId76" name="Group Box 156">
              <controlPr defaultSize="0" autoFill="0" autoPict="0">
                <anchor moveWithCells="1">
                  <from>
                    <xdr:col>1</xdr:col>
                    <xdr:colOff>0</xdr:colOff>
                    <xdr:row>13</xdr:row>
                    <xdr:rowOff>361950</xdr:rowOff>
                  </from>
                  <to>
                    <xdr:col>41</xdr:col>
                    <xdr:colOff>9525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9" r:id="rId77" name="Button 157">
              <controlPr defaultSize="0" print="0" autoFill="0" autoPict="0" macro="[0]!RECH_MONTANT">
                <anchor moveWithCells="1" sizeWithCells="1">
                  <from>
                    <xdr:col>22</xdr:col>
                    <xdr:colOff>28575</xdr:colOff>
                    <xdr:row>32</xdr:row>
                    <xdr:rowOff>76200</xdr:rowOff>
                  </from>
                  <to>
                    <xdr:col>27</xdr:col>
                    <xdr:colOff>57150</xdr:colOff>
                    <xdr:row>35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0" r:id="rId78" name="Button 158">
              <controlPr defaultSize="0" print="0" autoFill="0" autoPict="0" macro="[0]!Apropos">
                <anchor moveWithCells="1" sizeWithCells="1">
                  <from>
                    <xdr:col>47</xdr:col>
                    <xdr:colOff>85725</xdr:colOff>
                    <xdr:row>1</xdr:row>
                    <xdr:rowOff>38100</xdr:rowOff>
                  </from>
                  <to>
                    <xdr:col>47</xdr:col>
                    <xdr:colOff>733425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2" r:id="rId79" name="Drop Down 160">
              <controlPr defaultSize="0" autoLine="0" autoPict="0" macro="[0]!activite_1">
                <anchor moveWithCells="1">
                  <from>
                    <xdr:col>25</xdr:col>
                    <xdr:colOff>9525</xdr:colOff>
                    <xdr:row>10</xdr:row>
                    <xdr:rowOff>0</xdr:rowOff>
                  </from>
                  <to>
                    <xdr:col>31</xdr:col>
                    <xdr:colOff>47625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3" r:id="rId80" name="Label 161">
              <controlPr defaultSize="0" autoFill="0" autoLine="0" autoPict="0">
                <anchor moveWithCells="1" sizeWithCells="1">
                  <from>
                    <xdr:col>22</xdr:col>
                    <xdr:colOff>38100</xdr:colOff>
                    <xdr:row>10</xdr:row>
                    <xdr:rowOff>19050</xdr:rowOff>
                  </from>
                  <to>
                    <xdr:col>24</xdr:col>
                    <xdr:colOff>38100</xdr:colOff>
                    <xdr:row>10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5" r:id="rId81" name="Drop Down 163">
              <controlPr defaultSize="0" autoLine="0" autoPict="0" macro="[0]!liste_Non_reinscrit">
                <anchor moveWithCells="1">
                  <from>
                    <xdr:col>24</xdr:col>
                    <xdr:colOff>104775</xdr:colOff>
                    <xdr:row>22</xdr:row>
                    <xdr:rowOff>19050</xdr:rowOff>
                  </from>
                  <to>
                    <xdr:col>29</xdr:col>
                    <xdr:colOff>152400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6" r:id="rId82" name="Label 164">
              <controlPr defaultSize="0" autoFill="0" autoLine="0" autoPict="0">
                <anchor moveWithCells="1" sizeWithCells="1">
                  <from>
                    <xdr:col>24</xdr:col>
                    <xdr:colOff>104775</xdr:colOff>
                    <xdr:row>21</xdr:row>
                    <xdr:rowOff>57150</xdr:rowOff>
                  </from>
                  <to>
                    <xdr:col>29</xdr:col>
                    <xdr:colOff>152400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7" r:id="rId83" name="Option Button 165">
              <controlPr defaultSize="0" autoFill="0" autoLine="0" autoPict="0">
                <anchor moveWithCells="1">
                  <from>
                    <xdr:col>34</xdr:col>
                    <xdr:colOff>28575</xdr:colOff>
                    <xdr:row>20</xdr:row>
                    <xdr:rowOff>38100</xdr:rowOff>
                  </from>
                  <to>
                    <xdr:col>38</xdr:col>
                    <xdr:colOff>161925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8" r:id="rId84" name="Option Button 166">
              <controlPr defaultSize="0" autoFill="0" autoLine="0" autoPict="0">
                <anchor moveWithCells="1">
                  <from>
                    <xdr:col>28</xdr:col>
                    <xdr:colOff>57150</xdr:colOff>
                    <xdr:row>20</xdr:row>
                    <xdr:rowOff>19050</xdr:rowOff>
                  </from>
                  <to>
                    <xdr:col>33</xdr:col>
                    <xdr:colOff>152400</xdr:colOff>
                    <xdr:row>21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9" r:id="rId85" name="Button 167">
              <controlPr defaultSize="0" print="0" autoFill="0" autoPict="0" macro="[0]!reedition">
                <anchor moveWithCells="1" sizeWithCells="1">
                  <from>
                    <xdr:col>27</xdr:col>
                    <xdr:colOff>114300</xdr:colOff>
                    <xdr:row>32</xdr:row>
                    <xdr:rowOff>76200</xdr:rowOff>
                  </from>
                  <to>
                    <xdr:col>32</xdr:col>
                    <xdr:colOff>123825</xdr:colOff>
                    <xdr:row>35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0" r:id="rId86" name="Button 168">
              <controlPr defaultSize="0" print="0" autoFill="0" autoPict="0" macro="[0]!control">
                <anchor moveWithCells="1" sizeWithCells="1">
                  <from>
                    <xdr:col>38</xdr:col>
                    <xdr:colOff>133350</xdr:colOff>
                    <xdr:row>32</xdr:row>
                    <xdr:rowOff>66675</xdr:rowOff>
                  </from>
                  <to>
                    <xdr:col>44</xdr:col>
                    <xdr:colOff>47625</xdr:colOff>
                    <xdr:row>35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1" r:id="rId87" name="Option Button 169">
              <controlPr defaultSize="0" autoFill="0" autoLine="0" autoPict="0">
                <anchor moveWithCells="1">
                  <from>
                    <xdr:col>36</xdr:col>
                    <xdr:colOff>76200</xdr:colOff>
                    <xdr:row>10</xdr:row>
                    <xdr:rowOff>85725</xdr:rowOff>
                  </from>
                  <to>
                    <xdr:col>40</xdr:col>
                    <xdr:colOff>123825</xdr:colOff>
                    <xdr:row>10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3" r:id="rId88" name="Group Box 171">
              <controlPr defaultSize="0" autoFill="0" autoPict="0">
                <anchor moveWithCells="1" sizeWithCells="1">
                  <from>
                    <xdr:col>10</xdr:col>
                    <xdr:colOff>161925</xdr:colOff>
                    <xdr:row>8</xdr:row>
                    <xdr:rowOff>76200</xdr:rowOff>
                  </from>
                  <to>
                    <xdr:col>43</xdr:col>
                    <xdr:colOff>180975</xdr:colOff>
                    <xdr:row>10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5" r:id="rId89" name="Button 173">
              <controlPr defaultSize="0" print="0" autoFill="0" autoPict="0" macro="[0]!annulemission">
                <anchor moveWithCells="1" sizeWithCells="1">
                  <from>
                    <xdr:col>16</xdr:col>
                    <xdr:colOff>76200</xdr:colOff>
                    <xdr:row>32</xdr:row>
                    <xdr:rowOff>76200</xdr:rowOff>
                  </from>
                  <to>
                    <xdr:col>21</xdr:col>
                    <xdr:colOff>180975</xdr:colOff>
                    <xdr:row>35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6" r:id="rId90" name="Button 174">
              <controlPr defaultSize="0" print="0" autoFill="0" autoPict="0" macro="[0]!filtrevirt">
                <anchor moveWithCells="1" sizeWithCells="1">
                  <from>
                    <xdr:col>10</xdr:col>
                    <xdr:colOff>180975</xdr:colOff>
                    <xdr:row>32</xdr:row>
                    <xdr:rowOff>76200</xdr:rowOff>
                  </from>
                  <to>
                    <xdr:col>16</xdr:col>
                    <xdr:colOff>28575</xdr:colOff>
                    <xdr:row>35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7" r:id="rId91" name="Button 175">
              <controlPr defaultSize="0" print="0" autoFill="0" autoPict="0" macro="[0]!annulesaisie">
                <anchor moveWithCells="1" sizeWithCells="1">
                  <from>
                    <xdr:col>1</xdr:col>
                    <xdr:colOff>9525</xdr:colOff>
                    <xdr:row>32</xdr:row>
                    <xdr:rowOff>66675</xdr:rowOff>
                  </from>
                  <to>
                    <xdr:col>10</xdr:col>
                    <xdr:colOff>133350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8" r:id="rId92" name="Check Box 176">
              <controlPr defaultSize="0" print="0" autoFill="0" autoLine="0" autoPict="0">
                <anchor moveWithCells="1">
                  <from>
                    <xdr:col>42</xdr:col>
                    <xdr:colOff>57150</xdr:colOff>
                    <xdr:row>22</xdr:row>
                    <xdr:rowOff>28575</xdr:rowOff>
                  </from>
                  <to>
                    <xdr:col>43</xdr:col>
                    <xdr:colOff>171450</xdr:colOff>
                    <xdr:row>23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9" r:id="rId93" name="Button 177">
              <controlPr defaultSize="0" print="0" autoFill="0" autoPict="0" macro="[0]!liste_assurance">
                <anchor moveWithCells="1" sizeWithCells="1">
                  <from>
                    <xdr:col>33</xdr:col>
                    <xdr:colOff>0</xdr:colOff>
                    <xdr:row>32</xdr:row>
                    <xdr:rowOff>66675</xdr:rowOff>
                  </from>
                  <to>
                    <xdr:col>38</xdr:col>
                    <xdr:colOff>9525</xdr:colOff>
                    <xdr:row>35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2" r:id="rId94" name="Button 180">
              <controlPr defaultSize="0" print="0" autoFill="0" autoPict="0" macro="[0]!nouveau_prlv">
                <anchor moveWithCells="1" sizeWithCells="1">
                  <from>
                    <xdr:col>35</xdr:col>
                    <xdr:colOff>104775</xdr:colOff>
                    <xdr:row>14</xdr:row>
                    <xdr:rowOff>28575</xdr:rowOff>
                  </from>
                  <to>
                    <xdr:col>40</xdr:col>
                    <xdr:colOff>152400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4" r:id="rId95" name="Button 182">
              <controlPr defaultSize="0" print="0" autoFill="0" autoPict="0" macro="[0]!modif_rib">
                <anchor moveWithCells="1" sizeWithCells="1">
                  <from>
                    <xdr:col>41</xdr:col>
                    <xdr:colOff>104775</xdr:colOff>
                    <xdr:row>13</xdr:row>
                    <xdr:rowOff>390525</xdr:rowOff>
                  </from>
                  <to>
                    <xdr:col>43</xdr:col>
                    <xdr:colOff>142875</xdr:colOff>
                    <xdr:row>14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P35"/>
  <sheetViews>
    <sheetView workbookViewId="0">
      <selection activeCell="D1" sqref="D1:E1048576"/>
    </sheetView>
  </sheetViews>
  <sheetFormatPr baseColWidth="10" defaultColWidth="11.42578125" defaultRowHeight="16.5" x14ac:dyDescent="0.3"/>
  <cols>
    <col min="1" max="1" width="13.5703125" style="55" customWidth="1"/>
    <col min="2" max="2" width="11.42578125" style="55"/>
    <col min="3" max="3" width="9" style="55" customWidth="1"/>
    <col min="4" max="4" width="13.85546875" style="187" customWidth="1"/>
    <col min="5" max="5" width="14.140625" style="1" customWidth="1"/>
    <col min="6" max="6" width="6.140625" style="78" customWidth="1"/>
    <col min="7" max="7" width="6.28515625" style="1" customWidth="1"/>
    <col min="8" max="8" width="11.42578125" style="1"/>
    <col min="9" max="9" width="13.28515625" style="1" customWidth="1"/>
    <col min="10" max="10" width="11.42578125" style="1"/>
    <col min="11" max="11" width="11.42578125" style="60"/>
    <col min="12" max="12" width="13.5703125" style="55" customWidth="1"/>
    <col min="13" max="13" width="18.140625" style="1" customWidth="1"/>
    <col min="14" max="14" width="6.28515625" style="1" customWidth="1"/>
    <col min="15" max="15" width="3.85546875" style="1" customWidth="1"/>
    <col min="16" max="16" width="3.7109375" style="1" customWidth="1"/>
    <col min="17" max="16384" width="11.42578125" style="1"/>
  </cols>
  <sheetData>
    <row r="1" spans="1:16" x14ac:dyDescent="0.3">
      <c r="B1" s="56" t="s">
        <v>3892</v>
      </c>
      <c r="D1" s="186"/>
      <c r="E1" s="52"/>
      <c r="F1" s="77" t="b">
        <v>0</v>
      </c>
      <c r="G1" s="1">
        <v>2</v>
      </c>
      <c r="H1" s="57" t="s">
        <v>445</v>
      </c>
      <c r="K1" s="54" t="s">
        <v>1702</v>
      </c>
      <c r="L1" s="56"/>
      <c r="M1" s="52" t="s">
        <v>1703</v>
      </c>
      <c r="N1" s="57" t="s">
        <v>1761</v>
      </c>
      <c r="O1" s="1" t="s">
        <v>4097</v>
      </c>
      <c r="P1" s="1" t="s">
        <v>4098</v>
      </c>
    </row>
    <row r="2" spans="1:16" x14ac:dyDescent="0.3">
      <c r="A2" s="56" t="s">
        <v>2139</v>
      </c>
      <c r="B2" s="56" t="s">
        <v>815</v>
      </c>
      <c r="C2" s="56" t="s">
        <v>3901</v>
      </c>
      <c r="D2" s="186"/>
      <c r="E2" s="53"/>
      <c r="F2" s="77" t="b">
        <v>0</v>
      </c>
      <c r="G2" s="1">
        <v>10</v>
      </c>
      <c r="H2" s="57" t="s">
        <v>1758</v>
      </c>
      <c r="I2" s="57" t="s">
        <v>1764</v>
      </c>
      <c r="K2" s="54" t="s">
        <v>1032</v>
      </c>
      <c r="L2" s="56" t="s">
        <v>667</v>
      </c>
      <c r="M2" s="53">
        <v>42303.610810185186</v>
      </c>
      <c r="N2" s="57">
        <v>4</v>
      </c>
    </row>
    <row r="3" spans="1:16" x14ac:dyDescent="0.3">
      <c r="A3" s="56" t="s">
        <v>858</v>
      </c>
      <c r="B3" s="56" t="s">
        <v>815</v>
      </c>
      <c r="C3" s="56" t="s">
        <v>3902</v>
      </c>
      <c r="D3" s="186"/>
      <c r="E3" s="53"/>
      <c r="F3" s="77" t="b">
        <v>0</v>
      </c>
      <c r="G3" s="1">
        <v>6</v>
      </c>
      <c r="H3" s="57" t="s">
        <v>1751</v>
      </c>
      <c r="I3" s="57" t="s">
        <v>1762</v>
      </c>
      <c r="K3" s="54" t="s">
        <v>3846</v>
      </c>
      <c r="L3" s="56" t="s">
        <v>3847</v>
      </c>
      <c r="M3" s="53"/>
      <c r="N3" s="57"/>
    </row>
    <row r="4" spans="1:16" x14ac:dyDescent="0.3">
      <c r="A4" s="56" t="s">
        <v>2080</v>
      </c>
      <c r="C4" s="56" t="s">
        <v>3903</v>
      </c>
      <c r="D4" s="186"/>
      <c r="E4" s="53"/>
      <c r="F4" s="77" t="b">
        <v>0</v>
      </c>
      <c r="G4" s="1">
        <v>1</v>
      </c>
      <c r="H4" s="57" t="s">
        <v>1752</v>
      </c>
      <c r="I4" s="57" t="s">
        <v>896</v>
      </c>
      <c r="K4" s="54" t="s">
        <v>3733</v>
      </c>
      <c r="L4" s="56" t="s">
        <v>3734</v>
      </c>
      <c r="M4" s="53">
        <v>42555.740844907406</v>
      </c>
      <c r="N4" s="57">
        <v>3</v>
      </c>
    </row>
    <row r="5" spans="1:16" x14ac:dyDescent="0.3">
      <c r="A5" s="56" t="s">
        <v>3906</v>
      </c>
      <c r="B5" s="55" t="s">
        <v>815</v>
      </c>
      <c r="C5" s="56" t="s">
        <v>3904</v>
      </c>
      <c r="D5" s="186"/>
      <c r="E5" s="53"/>
      <c r="F5" s="77" t="b">
        <v>0</v>
      </c>
      <c r="G5" s="1">
        <v>1</v>
      </c>
      <c r="H5" s="57" t="s">
        <v>1753</v>
      </c>
      <c r="I5" s="57" t="s">
        <v>877</v>
      </c>
      <c r="K5" s="54" t="s">
        <v>3503</v>
      </c>
      <c r="L5" s="56" t="s">
        <v>3504</v>
      </c>
      <c r="M5" s="53">
        <v>42348.581701388888</v>
      </c>
      <c r="N5" s="57">
        <v>3</v>
      </c>
    </row>
    <row r="6" spans="1:16" x14ac:dyDescent="0.3">
      <c r="A6" s="56" t="s">
        <v>3907</v>
      </c>
      <c r="B6" s="56" t="s">
        <v>815</v>
      </c>
      <c r="C6" s="56" t="s">
        <v>3893</v>
      </c>
      <c r="D6" s="186"/>
      <c r="E6" s="53"/>
      <c r="F6" s="77" t="b">
        <v>0</v>
      </c>
      <c r="G6" s="1">
        <v>1</v>
      </c>
      <c r="H6" s="57" t="s">
        <v>1754</v>
      </c>
      <c r="I6" s="57" t="s">
        <v>1768</v>
      </c>
      <c r="K6" s="54" t="s">
        <v>2290</v>
      </c>
      <c r="L6" s="56" t="s">
        <v>2291</v>
      </c>
      <c r="M6" s="53">
        <v>42550.542812500003</v>
      </c>
      <c r="N6" s="57">
        <v>34</v>
      </c>
      <c r="P6" s="1">
        <v>1</v>
      </c>
    </row>
    <row r="7" spans="1:16" x14ac:dyDescent="0.3">
      <c r="A7" s="56" t="s">
        <v>889</v>
      </c>
      <c r="B7" s="56" t="s">
        <v>330</v>
      </c>
      <c r="C7" s="56" t="s">
        <v>3894</v>
      </c>
      <c r="D7" s="186"/>
      <c r="E7" s="53"/>
      <c r="F7" s="77" t="b">
        <v>0</v>
      </c>
      <c r="G7" s="1">
        <v>1</v>
      </c>
      <c r="H7" s="57" t="s">
        <v>1755</v>
      </c>
      <c r="I7" s="57" t="s">
        <v>1846</v>
      </c>
      <c r="K7" s="54" t="s">
        <v>1355</v>
      </c>
      <c r="L7" s="56" t="s">
        <v>912</v>
      </c>
      <c r="M7" s="53">
        <v>42373.356504629628</v>
      </c>
      <c r="N7" s="57">
        <v>5</v>
      </c>
    </row>
    <row r="8" spans="1:16" x14ac:dyDescent="0.3">
      <c r="A8" s="56" t="s">
        <v>1972</v>
      </c>
      <c r="B8" s="56"/>
      <c r="C8" s="56" t="s">
        <v>3895</v>
      </c>
      <c r="D8" s="186"/>
      <c r="E8" s="53"/>
      <c r="F8" s="77" t="b">
        <v>0</v>
      </c>
      <c r="G8" s="1">
        <v>1</v>
      </c>
      <c r="H8" s="57" t="s">
        <v>1756</v>
      </c>
      <c r="I8" s="57" t="s">
        <v>1591</v>
      </c>
      <c r="K8" s="54" t="s">
        <v>119</v>
      </c>
      <c r="L8" s="56" t="s">
        <v>120</v>
      </c>
      <c r="M8" s="53">
        <v>42355.720300925925</v>
      </c>
      <c r="N8" s="57">
        <v>3</v>
      </c>
    </row>
    <row r="9" spans="1:16" x14ac:dyDescent="0.3">
      <c r="A9" s="56" t="s">
        <v>1760</v>
      </c>
      <c r="C9" s="56" t="s">
        <v>3896</v>
      </c>
      <c r="D9" s="186"/>
      <c r="E9" s="53"/>
      <c r="F9" s="77" t="b">
        <v>0</v>
      </c>
      <c r="G9" s="1">
        <v>1</v>
      </c>
      <c r="H9" s="57" t="s">
        <v>1757</v>
      </c>
      <c r="I9" s="57"/>
      <c r="K9" s="54" t="s">
        <v>1708</v>
      </c>
      <c r="L9" s="56" t="s">
        <v>1709</v>
      </c>
      <c r="M9" s="53">
        <v>42299.378020833334</v>
      </c>
      <c r="N9" s="57">
        <v>5</v>
      </c>
    </row>
    <row r="10" spans="1:16" x14ac:dyDescent="0.3">
      <c r="A10" s="56" t="s">
        <v>1398</v>
      </c>
      <c r="C10" s="56" t="s">
        <v>3897</v>
      </c>
      <c r="D10" s="186"/>
      <c r="E10" s="53"/>
      <c r="F10" s="77" t="b">
        <v>0</v>
      </c>
      <c r="G10" s="1">
        <v>3</v>
      </c>
      <c r="H10" s="57" t="s">
        <v>1766</v>
      </c>
      <c r="K10" s="54" t="s">
        <v>1096</v>
      </c>
      <c r="L10" s="56" t="s">
        <v>1439</v>
      </c>
      <c r="M10" s="53">
        <v>42481.346446759257</v>
      </c>
      <c r="N10" s="57">
        <v>5</v>
      </c>
    </row>
    <row r="11" spans="1:16" x14ac:dyDescent="0.3">
      <c r="A11" s="56" t="s">
        <v>850</v>
      </c>
      <c r="B11" s="56" t="s">
        <v>815</v>
      </c>
      <c r="C11" s="56" t="s">
        <v>3898</v>
      </c>
      <c r="D11" s="186"/>
      <c r="E11" s="53"/>
      <c r="F11" s="77">
        <v>6</v>
      </c>
      <c r="G11" s="1">
        <v>6</v>
      </c>
      <c r="H11" s="57" t="s">
        <v>1767</v>
      </c>
      <c r="K11" s="54" t="s">
        <v>264</v>
      </c>
      <c r="L11" s="56" t="s">
        <v>1636</v>
      </c>
      <c r="M11" s="53"/>
      <c r="N11" s="57"/>
    </row>
    <row r="12" spans="1:16" x14ac:dyDescent="0.3">
      <c r="A12" s="56" t="s">
        <v>859</v>
      </c>
      <c r="B12" s="56" t="s">
        <v>330</v>
      </c>
      <c r="C12" s="56" t="s">
        <v>3899</v>
      </c>
      <c r="D12" s="186">
        <v>280</v>
      </c>
      <c r="E12" s="53">
        <v>624</v>
      </c>
      <c r="G12" s="1">
        <v>1</v>
      </c>
      <c r="H12" s="57" t="s">
        <v>1847</v>
      </c>
      <c r="K12" s="54" t="s">
        <v>376</v>
      </c>
      <c r="L12" s="56" t="s">
        <v>377</v>
      </c>
      <c r="M12" s="53"/>
      <c r="N12" s="57"/>
      <c r="O12" s="1">
        <v>1</v>
      </c>
    </row>
    <row r="13" spans="1:16" x14ac:dyDescent="0.3">
      <c r="A13" s="56" t="s">
        <v>385</v>
      </c>
      <c r="B13" s="56"/>
      <c r="C13" s="56" t="s">
        <v>3900</v>
      </c>
      <c r="D13" s="186"/>
      <c r="E13" s="53"/>
      <c r="G13" s="1">
        <v>1</v>
      </c>
      <c r="H13" s="57" t="s">
        <v>1590</v>
      </c>
      <c r="K13" s="54" t="s">
        <v>1399</v>
      </c>
      <c r="L13" s="56" t="s">
        <v>1400</v>
      </c>
      <c r="M13" s="53"/>
      <c r="N13" s="57"/>
    </row>
    <row r="14" spans="1:16" x14ac:dyDescent="0.3">
      <c r="A14" s="56" t="s">
        <v>3908</v>
      </c>
      <c r="B14" s="56" t="s">
        <v>815</v>
      </c>
      <c r="D14" s="186"/>
      <c r="E14" s="53"/>
      <c r="F14" s="78" t="b">
        <v>1</v>
      </c>
      <c r="K14" s="54" t="s">
        <v>1602</v>
      </c>
      <c r="L14" s="56" t="s">
        <v>2050</v>
      </c>
      <c r="M14" s="53">
        <v>42404.449074074073</v>
      </c>
      <c r="N14" s="57">
        <v>31</v>
      </c>
      <c r="O14" s="1">
        <v>1</v>
      </c>
      <c r="P14" s="1">
        <v>1</v>
      </c>
    </row>
    <row r="15" spans="1:16" x14ac:dyDescent="0.3">
      <c r="A15" s="56" t="s">
        <v>855</v>
      </c>
      <c r="B15" s="56"/>
      <c r="D15" s="186"/>
      <c r="E15" s="53"/>
      <c r="F15" s="78">
        <v>0</v>
      </c>
      <c r="G15" s="1">
        <v>1</v>
      </c>
      <c r="H15" s="57" t="s">
        <v>1421</v>
      </c>
      <c r="K15" s="54" t="s">
        <v>1974</v>
      </c>
      <c r="L15" s="56" t="s">
        <v>2044</v>
      </c>
      <c r="M15" s="53"/>
      <c r="N15" s="57"/>
    </row>
    <row r="16" spans="1:16" x14ac:dyDescent="0.3">
      <c r="A16" s="56" t="s">
        <v>856</v>
      </c>
      <c r="B16" s="56" t="s">
        <v>815</v>
      </c>
      <c r="D16" s="186"/>
      <c r="E16" s="53"/>
      <c r="G16" s="1">
        <v>2</v>
      </c>
      <c r="H16" s="57" t="s">
        <v>1431</v>
      </c>
      <c r="K16" s="54" t="s">
        <v>1701</v>
      </c>
      <c r="L16" s="56" t="s">
        <v>1778</v>
      </c>
      <c r="M16" s="53">
        <v>42549.481863425928</v>
      </c>
      <c r="N16" s="57">
        <v>19</v>
      </c>
      <c r="P16" s="1">
        <v>1</v>
      </c>
    </row>
    <row r="17" spans="1:16" x14ac:dyDescent="0.3">
      <c r="A17" s="56" t="s">
        <v>851</v>
      </c>
      <c r="B17" s="56" t="s">
        <v>815</v>
      </c>
      <c r="K17" s="54" t="s">
        <v>1777</v>
      </c>
      <c r="L17" s="56" t="s">
        <v>1835</v>
      </c>
      <c r="M17" s="53">
        <v>42286.590231481481</v>
      </c>
      <c r="N17" s="57">
        <v>1</v>
      </c>
    </row>
    <row r="18" spans="1:16" x14ac:dyDescent="0.3">
      <c r="A18" s="56" t="s">
        <v>726</v>
      </c>
      <c r="B18" s="56"/>
      <c r="K18" s="54" t="s">
        <v>1759</v>
      </c>
      <c r="L18" s="56" t="s">
        <v>1824</v>
      </c>
    </row>
    <row r="19" spans="1:16" x14ac:dyDescent="0.3">
      <c r="A19" s="55" t="s">
        <v>817</v>
      </c>
      <c r="K19" s="54" t="s">
        <v>1646</v>
      </c>
      <c r="L19" s="56" t="s">
        <v>1837</v>
      </c>
      <c r="M19" s="81">
        <v>42383.384317129632</v>
      </c>
      <c r="N19" s="1">
        <v>6</v>
      </c>
      <c r="P19" s="1">
        <v>1</v>
      </c>
    </row>
    <row r="20" spans="1:16" x14ac:dyDescent="0.3">
      <c r="A20" s="56" t="s">
        <v>853</v>
      </c>
      <c r="B20" s="56" t="s">
        <v>1815</v>
      </c>
      <c r="D20" s="187">
        <v>2523</v>
      </c>
      <c r="E20" s="1">
        <v>6258.4</v>
      </c>
      <c r="K20" s="54" t="s">
        <v>1633</v>
      </c>
      <c r="L20" s="56" t="s">
        <v>1823</v>
      </c>
      <c r="M20" s="53">
        <v>42373.689953703702</v>
      </c>
      <c r="N20" s="57">
        <v>2</v>
      </c>
    </row>
    <row r="21" spans="1:16" x14ac:dyDescent="0.3">
      <c r="A21" s="56" t="s">
        <v>757</v>
      </c>
      <c r="B21" s="56"/>
      <c r="K21" s="54" t="s">
        <v>1583</v>
      </c>
      <c r="L21" s="56" t="s">
        <v>1833</v>
      </c>
      <c r="M21" s="53">
        <v>42332.625023148146</v>
      </c>
      <c r="N21" s="1">
        <v>3</v>
      </c>
    </row>
    <row r="22" spans="1:16" x14ac:dyDescent="0.3">
      <c r="A22" s="56" t="s">
        <v>1416</v>
      </c>
      <c r="B22" s="56"/>
      <c r="K22" s="54" t="s">
        <v>1419</v>
      </c>
      <c r="L22" s="56" t="s">
        <v>1836</v>
      </c>
      <c r="M22" s="53">
        <v>42558.357442129629</v>
      </c>
      <c r="N22" s="1">
        <v>75</v>
      </c>
    </row>
    <row r="23" spans="1:16" x14ac:dyDescent="0.3">
      <c r="A23" s="55" t="s">
        <v>816</v>
      </c>
      <c r="K23" s="54" t="s">
        <v>2048</v>
      </c>
      <c r="L23" s="56" t="s">
        <v>2049</v>
      </c>
    </row>
    <row r="24" spans="1:16" x14ac:dyDescent="0.3">
      <c r="A24" s="56" t="s">
        <v>860</v>
      </c>
      <c r="B24" s="56" t="s">
        <v>815</v>
      </c>
      <c r="K24" s="54" t="s">
        <v>1613</v>
      </c>
      <c r="L24" s="56" t="s">
        <v>108</v>
      </c>
      <c r="M24" s="81">
        <v>42143.394444444442</v>
      </c>
      <c r="N24" s="1">
        <v>12</v>
      </c>
    </row>
    <row r="25" spans="1:16" x14ac:dyDescent="0.3">
      <c r="A25" s="56" t="s">
        <v>752</v>
      </c>
      <c r="B25" s="56" t="s">
        <v>815</v>
      </c>
      <c r="K25" s="54" t="s">
        <v>1988</v>
      </c>
      <c r="L25" s="56" t="s">
        <v>556</v>
      </c>
      <c r="M25" s="81">
        <v>40841.62128472222</v>
      </c>
      <c r="N25" s="1">
        <v>4</v>
      </c>
    </row>
    <row r="26" spans="1:16" x14ac:dyDescent="0.3">
      <c r="A26" s="56" t="s">
        <v>557</v>
      </c>
      <c r="B26" s="56"/>
      <c r="K26" s="54" t="s">
        <v>1518</v>
      </c>
      <c r="L26" s="56" t="s">
        <v>4096</v>
      </c>
      <c r="M26" s="53">
        <v>42545.564710648148</v>
      </c>
      <c r="N26" s="1">
        <v>30</v>
      </c>
      <c r="O26" s="1">
        <v>1</v>
      </c>
      <c r="P26" s="1">
        <v>1</v>
      </c>
    </row>
    <row r="27" spans="1:16" x14ac:dyDescent="0.3">
      <c r="A27" s="56" t="s">
        <v>865</v>
      </c>
      <c r="B27" s="56"/>
    </row>
    <row r="28" spans="1:16" x14ac:dyDescent="0.3">
      <c r="A28" s="56" t="s">
        <v>862</v>
      </c>
      <c r="B28" s="56" t="s">
        <v>815</v>
      </c>
    </row>
    <row r="29" spans="1:16" x14ac:dyDescent="0.3">
      <c r="A29" s="56" t="s">
        <v>854</v>
      </c>
      <c r="B29" s="56" t="s">
        <v>815</v>
      </c>
    </row>
    <row r="30" spans="1:16" x14ac:dyDescent="0.3">
      <c r="A30" s="56" t="s">
        <v>1973</v>
      </c>
      <c r="B30" s="56" t="s">
        <v>815</v>
      </c>
      <c r="K30" s="54"/>
      <c r="L30" s="56"/>
      <c r="M30" s="81"/>
    </row>
    <row r="31" spans="1:16" x14ac:dyDescent="0.3">
      <c r="A31" s="56" t="s">
        <v>1126</v>
      </c>
      <c r="K31" s="54"/>
      <c r="L31" s="56"/>
    </row>
    <row r="32" spans="1:16" x14ac:dyDescent="0.3">
      <c r="A32" s="56" t="s">
        <v>2199</v>
      </c>
    </row>
    <row r="33" spans="1:13" x14ac:dyDescent="0.3">
      <c r="A33" s="56" t="s">
        <v>2045</v>
      </c>
    </row>
    <row r="35" spans="1:13" x14ac:dyDescent="0.3">
      <c r="K35" s="54"/>
      <c r="L35" s="56"/>
      <c r="M35" s="81"/>
    </row>
  </sheetData>
  <phoneticPr fontId="3" type="noConversion"/>
  <pageMargins left="0.78740157499999996" right="0.78740157499999996" top="0.984251969" bottom="0.984251969" header="0.4921259845" footer="0.4921259845"/>
  <pageSetup paperSize="9" orientation="portrait" horizontalDpi="1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HR1075"/>
  <sheetViews>
    <sheetView workbookViewId="0">
      <pane xSplit="3" ySplit="2" topLeftCell="D3" activePane="bottomRight" state="frozenSplit"/>
      <selection pane="topRight" activeCell="D1" sqref="D1"/>
      <selection pane="bottomLeft" activeCell="A3" sqref="A3"/>
      <selection pane="bottomRight" activeCell="A3" sqref="A3"/>
    </sheetView>
  </sheetViews>
  <sheetFormatPr baseColWidth="10" defaultColWidth="11.42578125" defaultRowHeight="12.75" x14ac:dyDescent="0.25"/>
  <cols>
    <col min="1" max="1" width="10.7109375" style="8" customWidth="1"/>
    <col min="2" max="2" width="10.140625" style="24" customWidth="1"/>
    <col min="3" max="3" width="5.5703125" style="25" customWidth="1"/>
    <col min="4" max="4" width="7.5703125" style="26" customWidth="1"/>
    <col min="5" max="5" width="9.7109375" style="26" customWidth="1"/>
    <col min="6" max="6" width="10.7109375" style="198" customWidth="1"/>
    <col min="7" max="7" width="8.42578125" style="198" customWidth="1"/>
    <col min="8" max="8" width="8.42578125" style="25" customWidth="1"/>
    <col min="9" max="9" width="7.140625" style="27" customWidth="1"/>
    <col min="10" max="10" width="2" style="27" customWidth="1"/>
    <col min="11" max="11" width="9.7109375" style="28" customWidth="1"/>
    <col min="12" max="15" width="9.7109375" style="29" customWidth="1"/>
    <col min="16" max="16" width="2.28515625" style="17" customWidth="1"/>
    <col min="17" max="17" width="9.5703125" style="176" customWidth="1"/>
    <col min="18" max="18" width="11.42578125" style="29"/>
    <col min="19" max="22" width="11.42578125" style="8"/>
    <col min="23" max="23" width="11.42578125" style="93"/>
    <col min="24" max="24" width="21" style="84" customWidth="1"/>
    <col min="25" max="26" width="11.42578125" style="84"/>
    <col min="27" max="27" width="20.5703125" style="84" customWidth="1"/>
    <col min="28" max="28" width="13" style="84" customWidth="1"/>
    <col min="29" max="30" width="11.42578125" style="26"/>
    <col min="31" max="33" width="11.42578125" style="8"/>
    <col min="34" max="34" width="11.42578125" style="26"/>
    <col min="35" max="38" width="11.42578125" style="8"/>
    <col min="39" max="39" width="11.42578125" style="26"/>
    <col min="40" max="43" width="11.42578125" style="8"/>
    <col min="44" max="44" width="11.42578125" style="26"/>
    <col min="45" max="48" width="11.42578125" style="8"/>
    <col min="49" max="49" width="11.42578125" style="26"/>
    <col min="50" max="53" width="11.42578125" style="8"/>
    <col min="54" max="54" width="11.42578125" style="26"/>
    <col min="55" max="58" width="11.42578125" style="8"/>
    <col min="59" max="59" width="11.42578125" style="26"/>
    <col min="60" max="63" width="11.42578125" style="8"/>
    <col min="64" max="64" width="11.42578125" style="26"/>
    <col min="65" max="68" width="11.42578125" style="8"/>
    <col min="69" max="69" width="11.42578125" style="26"/>
    <col min="70" max="73" width="11.42578125" style="8"/>
    <col min="74" max="74" width="11.42578125" style="26"/>
    <col min="75" max="79" width="11.42578125" style="8"/>
    <col min="80" max="80" width="11.42578125" style="255"/>
    <col min="81" max="81" width="11.42578125" style="278"/>
    <col min="82" max="83" width="11.42578125" style="8"/>
    <col min="84" max="84" width="11.42578125" style="279"/>
    <col min="85" max="85" width="11.42578125" style="255"/>
    <col min="86" max="86" width="11.42578125" style="26"/>
    <col min="87" max="89" width="11.42578125" style="8"/>
    <col min="90" max="91" width="11.42578125" style="26"/>
    <col min="92" max="94" width="11.42578125" style="8"/>
    <col min="95" max="96" width="11.42578125" style="26"/>
    <col min="97" max="99" width="11.42578125" style="8"/>
    <col min="100" max="100" width="11.42578125" style="26"/>
    <col min="101" max="104" width="11.42578125" style="8"/>
    <col min="105" max="105" width="11.42578125" style="26"/>
    <col min="106" max="109" width="11.42578125" style="8"/>
    <col min="110" max="110" width="11.42578125" style="26"/>
    <col min="111" max="114" width="11.42578125" style="8"/>
    <col min="115" max="115" width="11.42578125" style="26"/>
    <col min="116" max="119" width="11.42578125" style="8"/>
    <col min="120" max="120" width="11.42578125" style="26"/>
    <col min="121" max="124" width="11.42578125" style="8"/>
    <col min="125" max="125" width="11.42578125" style="26"/>
    <col min="126" max="16384" width="11.42578125" style="8"/>
  </cols>
  <sheetData>
    <row r="1" spans="1:226" ht="40.5" customHeight="1" x14ac:dyDescent="0.25">
      <c r="A1" s="202" t="s">
        <v>3339</v>
      </c>
      <c r="B1" s="2"/>
      <c r="C1" s="3"/>
      <c r="D1" s="4"/>
      <c r="E1" s="4"/>
      <c r="F1" s="196"/>
      <c r="G1" s="3"/>
      <c r="H1" s="5"/>
      <c r="I1" s="6">
        <f>COUNTIF(I3:I1964,"&gt;""")</f>
        <v>561</v>
      </c>
      <c r="J1" s="323"/>
      <c r="K1" s="324"/>
      <c r="L1" s="324"/>
      <c r="M1" s="324"/>
      <c r="N1" s="325"/>
      <c r="O1" s="325"/>
      <c r="P1" s="7"/>
      <c r="Q1" s="175">
        <f>SUM(P:P)</f>
        <v>92</v>
      </c>
      <c r="R1" s="326" t="s">
        <v>2081</v>
      </c>
      <c r="S1" s="326"/>
      <c r="T1" s="326"/>
      <c r="U1" s="326"/>
      <c r="V1" s="327"/>
      <c r="CH1" s="278"/>
      <c r="CK1" s="279"/>
      <c r="CL1" s="278"/>
      <c r="CM1" s="278"/>
      <c r="CP1" s="279"/>
    </row>
    <row r="2" spans="1:226" s="10" customFormat="1" ht="51.75" customHeight="1" x14ac:dyDescent="0.25">
      <c r="A2" s="103" t="s">
        <v>818</v>
      </c>
      <c r="B2" s="104" t="s">
        <v>819</v>
      </c>
      <c r="C2" s="105" t="s">
        <v>820</v>
      </c>
      <c r="D2" s="106" t="s">
        <v>845</v>
      </c>
      <c r="E2" s="106" t="s">
        <v>1765</v>
      </c>
      <c r="F2" s="201" t="s">
        <v>846</v>
      </c>
      <c r="G2" s="197" t="s">
        <v>847</v>
      </c>
      <c r="H2" s="105" t="s">
        <v>848</v>
      </c>
      <c r="I2" s="107" t="s">
        <v>1698</v>
      </c>
      <c r="J2" s="108" t="s">
        <v>2201</v>
      </c>
      <c r="K2" s="104" t="s">
        <v>849</v>
      </c>
      <c r="L2" s="104" t="s">
        <v>849</v>
      </c>
      <c r="M2" s="104" t="s">
        <v>849</v>
      </c>
      <c r="N2" s="104" t="s">
        <v>849</v>
      </c>
      <c r="O2" s="109" t="s">
        <v>849</v>
      </c>
      <c r="P2" s="9"/>
      <c r="Q2" s="275"/>
      <c r="R2" s="179" t="s">
        <v>133</v>
      </c>
      <c r="S2" s="104" t="s">
        <v>133</v>
      </c>
      <c r="T2" s="104" t="s">
        <v>133</v>
      </c>
      <c r="U2" s="104" t="s">
        <v>133</v>
      </c>
      <c r="V2" s="109" t="s">
        <v>133</v>
      </c>
      <c r="W2" s="94" t="s">
        <v>192</v>
      </c>
      <c r="X2" s="85" t="s">
        <v>3965</v>
      </c>
      <c r="Y2" s="85" t="s">
        <v>191</v>
      </c>
      <c r="Z2" s="85"/>
      <c r="AA2" s="85" t="s">
        <v>123</v>
      </c>
      <c r="AB2" s="85" t="s">
        <v>10</v>
      </c>
      <c r="AC2" s="26" t="s">
        <v>2082</v>
      </c>
      <c r="AD2" s="26" t="s">
        <v>1751</v>
      </c>
      <c r="AE2" s="10" t="s">
        <v>2084</v>
      </c>
      <c r="AF2" s="10" t="s">
        <v>2741</v>
      </c>
      <c r="AG2" s="10" t="s">
        <v>2085</v>
      </c>
      <c r="AH2" s="10" t="s">
        <v>2086</v>
      </c>
      <c r="AI2" s="10" t="s">
        <v>1752</v>
      </c>
      <c r="AJ2" s="10" t="s">
        <v>2087</v>
      </c>
      <c r="AK2" s="10" t="s">
        <v>2742</v>
      </c>
      <c r="AL2" s="10" t="s">
        <v>2088</v>
      </c>
      <c r="AM2" s="26" t="s">
        <v>2089</v>
      </c>
      <c r="AN2" s="10" t="s">
        <v>1753</v>
      </c>
      <c r="AO2" s="10" t="s">
        <v>2090</v>
      </c>
      <c r="AP2" s="10" t="s">
        <v>2750</v>
      </c>
      <c r="AQ2" s="10" t="s">
        <v>2091</v>
      </c>
      <c r="AR2" s="26" t="s">
        <v>2092</v>
      </c>
      <c r="AS2" s="10" t="s">
        <v>1754</v>
      </c>
      <c r="AT2" s="10" t="s">
        <v>2093</v>
      </c>
      <c r="AU2" s="10" t="s">
        <v>2749</v>
      </c>
      <c r="AV2" s="10" t="s">
        <v>2100</v>
      </c>
      <c r="AW2" s="26" t="s">
        <v>2101</v>
      </c>
      <c r="AX2" s="10" t="s">
        <v>1755</v>
      </c>
      <c r="AY2" s="10" t="s">
        <v>2102</v>
      </c>
      <c r="AZ2" s="10" t="s">
        <v>2748</v>
      </c>
      <c r="BA2" s="10" t="s">
        <v>2103</v>
      </c>
      <c r="BB2" s="26" t="s">
        <v>2104</v>
      </c>
      <c r="BC2" s="10" t="s">
        <v>2130</v>
      </c>
      <c r="BD2" s="10" t="s">
        <v>2105</v>
      </c>
      <c r="BE2" s="10" t="s">
        <v>2747</v>
      </c>
      <c r="BF2" s="10" t="s">
        <v>2106</v>
      </c>
      <c r="BG2" s="26" t="s">
        <v>2107</v>
      </c>
      <c r="BH2" s="10" t="s">
        <v>2131</v>
      </c>
      <c r="BI2" s="10" t="s">
        <v>2115</v>
      </c>
      <c r="BJ2" s="10" t="s">
        <v>2746</v>
      </c>
      <c r="BK2" s="10" t="s">
        <v>2116</v>
      </c>
      <c r="BL2" s="26" t="s">
        <v>2117</v>
      </c>
      <c r="BM2" s="10" t="s">
        <v>2133</v>
      </c>
      <c r="BN2" s="10" t="s">
        <v>2118</v>
      </c>
      <c r="BO2" s="10" t="s">
        <v>2745</v>
      </c>
      <c r="BP2" s="10" t="s">
        <v>2119</v>
      </c>
      <c r="BQ2" s="26" t="s">
        <v>2120</v>
      </c>
      <c r="BR2" s="10" t="s">
        <v>2135</v>
      </c>
      <c r="BS2" s="10" t="s">
        <v>2121</v>
      </c>
      <c r="BT2" s="10" t="s">
        <v>2744</v>
      </c>
      <c r="BU2" s="10" t="s">
        <v>2122</v>
      </c>
      <c r="BV2" s="26" t="s">
        <v>2123</v>
      </c>
      <c r="BW2" s="10" t="s">
        <v>2136</v>
      </c>
      <c r="BX2" s="10" t="s">
        <v>2124</v>
      </c>
      <c r="BY2" s="10" t="s">
        <v>2743</v>
      </c>
      <c r="BZ2" s="10" t="s">
        <v>2125</v>
      </c>
      <c r="CB2" s="255" t="s">
        <v>2562</v>
      </c>
      <c r="CC2" s="278" t="s">
        <v>2601</v>
      </c>
      <c r="CD2" s="10" t="s">
        <v>2563</v>
      </c>
      <c r="CE2" s="10" t="s">
        <v>2751</v>
      </c>
      <c r="CF2" s="279" t="s">
        <v>2564</v>
      </c>
      <c r="CG2" s="255" t="s">
        <v>2565</v>
      </c>
      <c r="CH2" s="278" t="s">
        <v>2600</v>
      </c>
      <c r="CI2" s="10" t="s">
        <v>2566</v>
      </c>
      <c r="CJ2" s="10" t="s">
        <v>2752</v>
      </c>
      <c r="CK2" s="279" t="s">
        <v>2567</v>
      </c>
      <c r="CL2" s="278" t="s">
        <v>2568</v>
      </c>
      <c r="CM2" s="278" t="s">
        <v>2599</v>
      </c>
      <c r="CN2" s="10" t="s">
        <v>2569</v>
      </c>
      <c r="CO2" s="10" t="s">
        <v>2753</v>
      </c>
      <c r="CP2" s="279" t="s">
        <v>2570</v>
      </c>
      <c r="CQ2" s="26" t="s">
        <v>2571</v>
      </c>
      <c r="CR2" s="26" t="s">
        <v>2598</v>
      </c>
      <c r="CS2" s="10" t="s">
        <v>2572</v>
      </c>
      <c r="CT2" s="10" t="s">
        <v>2754</v>
      </c>
      <c r="CU2" s="10" t="s">
        <v>2573</v>
      </c>
      <c r="CV2" s="26" t="s">
        <v>2574</v>
      </c>
      <c r="CW2" s="10" t="s">
        <v>2597</v>
      </c>
      <c r="CX2" s="10" t="s">
        <v>2575</v>
      </c>
      <c r="CY2" s="10" t="s">
        <v>3340</v>
      </c>
      <c r="CZ2" s="10" t="s">
        <v>2576</v>
      </c>
      <c r="DA2" s="26" t="s">
        <v>2577</v>
      </c>
      <c r="DB2" s="10" t="s">
        <v>2596</v>
      </c>
      <c r="DC2" s="10" t="s">
        <v>2578</v>
      </c>
      <c r="DD2" s="10" t="s">
        <v>2755</v>
      </c>
      <c r="DE2" s="10" t="s">
        <v>2579</v>
      </c>
      <c r="DF2" s="26" t="s">
        <v>2580</v>
      </c>
      <c r="DG2" s="10" t="s">
        <v>2595</v>
      </c>
      <c r="DH2" s="10" t="s">
        <v>2581</v>
      </c>
      <c r="DI2" s="10" t="s">
        <v>2756</v>
      </c>
      <c r="DJ2" s="10" t="s">
        <v>2582</v>
      </c>
      <c r="DK2" s="26" t="s">
        <v>2583</v>
      </c>
      <c r="DL2" s="10" t="s">
        <v>2584</v>
      </c>
      <c r="DM2" s="10" t="s">
        <v>2585</v>
      </c>
      <c r="DN2" s="10" t="s">
        <v>2757</v>
      </c>
      <c r="DO2" s="10" t="s">
        <v>2586</v>
      </c>
      <c r="DP2" s="26" t="s">
        <v>2587</v>
      </c>
      <c r="DQ2" s="10" t="s">
        <v>2588</v>
      </c>
      <c r="DR2" s="10" t="s">
        <v>2589</v>
      </c>
      <c r="DS2" s="10" t="s">
        <v>2757</v>
      </c>
      <c r="DT2" s="10" t="s">
        <v>2590</v>
      </c>
      <c r="DU2" s="26" t="s">
        <v>2591</v>
      </c>
      <c r="DV2" s="10" t="s">
        <v>2592</v>
      </c>
      <c r="DW2" s="10" t="s">
        <v>2593</v>
      </c>
      <c r="DX2" s="10" t="s">
        <v>2743</v>
      </c>
      <c r="DY2" s="10" t="s">
        <v>2594</v>
      </c>
      <c r="EA2" s="10" t="s">
        <v>3962</v>
      </c>
      <c r="EB2" s="10" t="s">
        <v>3918</v>
      </c>
      <c r="EC2" s="10" t="s">
        <v>3929</v>
      </c>
      <c r="ED2" s="10" t="s">
        <v>2741</v>
      </c>
      <c r="EE2" s="10" t="s">
        <v>3916</v>
      </c>
      <c r="EF2" s="10" t="s">
        <v>2085</v>
      </c>
      <c r="EG2" s="10" t="s">
        <v>2086</v>
      </c>
      <c r="EH2" s="10" t="s">
        <v>2088</v>
      </c>
      <c r="EI2" s="10" t="s">
        <v>3917</v>
      </c>
      <c r="EJ2" s="10" t="s">
        <v>2091</v>
      </c>
      <c r="EK2" s="10" t="s">
        <v>2092</v>
      </c>
      <c r="EL2" s="10" t="s">
        <v>2100</v>
      </c>
      <c r="EM2" s="10" t="s">
        <v>3962</v>
      </c>
      <c r="EN2" s="10" t="s">
        <v>3919</v>
      </c>
      <c r="EO2" s="10" t="s">
        <v>3934</v>
      </c>
      <c r="EP2" s="10" t="s">
        <v>3915</v>
      </c>
      <c r="EQ2" s="10" t="s">
        <v>3916</v>
      </c>
      <c r="ER2" s="10" t="s">
        <v>2085</v>
      </c>
      <c r="ES2" s="10" t="s">
        <v>2086</v>
      </c>
      <c r="ET2" s="10" t="s">
        <v>2088</v>
      </c>
      <c r="EU2" s="10" t="s">
        <v>3917</v>
      </c>
      <c r="EV2" s="10" t="s">
        <v>2091</v>
      </c>
      <c r="EW2" s="10" t="s">
        <v>2092</v>
      </c>
      <c r="EX2" s="10" t="s">
        <v>2100</v>
      </c>
      <c r="EY2" s="10" t="s">
        <v>3962</v>
      </c>
      <c r="EZ2" s="10" t="s">
        <v>3920</v>
      </c>
      <c r="FA2" s="10" t="s">
        <v>3930</v>
      </c>
      <c r="FB2" s="10" t="s">
        <v>3915</v>
      </c>
      <c r="FC2" s="10" t="s">
        <v>3916</v>
      </c>
      <c r="FD2" s="10" t="s">
        <v>2085</v>
      </c>
      <c r="FE2" s="10" t="s">
        <v>2086</v>
      </c>
      <c r="FF2" s="10" t="s">
        <v>2088</v>
      </c>
      <c r="FG2" s="10" t="s">
        <v>3917</v>
      </c>
      <c r="FH2" s="10" t="s">
        <v>2091</v>
      </c>
      <c r="FI2" s="10" t="s">
        <v>2092</v>
      </c>
      <c r="FJ2" s="10" t="s">
        <v>2100</v>
      </c>
      <c r="FK2" s="10" t="s">
        <v>3962</v>
      </c>
      <c r="FL2" s="10" t="s">
        <v>3921</v>
      </c>
      <c r="FM2" s="10" t="s">
        <v>3931</v>
      </c>
      <c r="FN2" s="10" t="s">
        <v>3915</v>
      </c>
      <c r="FO2" s="10" t="s">
        <v>3916</v>
      </c>
      <c r="FP2" s="10" t="s">
        <v>2085</v>
      </c>
      <c r="FQ2" s="10" t="s">
        <v>2086</v>
      </c>
      <c r="FR2" s="10" t="s">
        <v>2088</v>
      </c>
      <c r="FS2" s="10" t="s">
        <v>3917</v>
      </c>
      <c r="FT2" s="10" t="s">
        <v>2091</v>
      </c>
      <c r="FU2" s="10" t="s">
        <v>2092</v>
      </c>
      <c r="FV2" s="10" t="s">
        <v>2100</v>
      </c>
      <c r="FW2" s="10" t="s">
        <v>3962</v>
      </c>
      <c r="FX2" s="10" t="s">
        <v>3922</v>
      </c>
      <c r="FY2" s="10" t="s">
        <v>3932</v>
      </c>
      <c r="FZ2" s="10" t="s">
        <v>3915</v>
      </c>
      <c r="GA2" s="10" t="s">
        <v>3916</v>
      </c>
      <c r="GB2" s="10" t="s">
        <v>2085</v>
      </c>
      <c r="GC2" s="10" t="s">
        <v>2086</v>
      </c>
      <c r="GD2" s="10" t="s">
        <v>2088</v>
      </c>
      <c r="GE2" s="10" t="s">
        <v>3917</v>
      </c>
      <c r="GF2" s="10" t="s">
        <v>2091</v>
      </c>
      <c r="GG2" s="10" t="s">
        <v>2092</v>
      </c>
      <c r="GH2" s="10" t="s">
        <v>2100</v>
      </c>
      <c r="GI2" s="10" t="s">
        <v>3962</v>
      </c>
      <c r="GJ2" s="10" t="s">
        <v>3923</v>
      </c>
      <c r="GK2" s="10" t="s">
        <v>3933</v>
      </c>
      <c r="GL2" s="10" t="s">
        <v>3915</v>
      </c>
      <c r="GM2" s="10" t="s">
        <v>3916</v>
      </c>
      <c r="GN2" s="10" t="s">
        <v>2085</v>
      </c>
      <c r="GO2" s="10" t="s">
        <v>2086</v>
      </c>
      <c r="GP2" s="10" t="s">
        <v>2088</v>
      </c>
      <c r="GQ2" s="10" t="s">
        <v>3917</v>
      </c>
      <c r="GR2" s="10" t="s">
        <v>2091</v>
      </c>
      <c r="GS2" s="10" t="s">
        <v>2092</v>
      </c>
      <c r="GT2" s="10" t="s">
        <v>3942</v>
      </c>
      <c r="GU2" s="10" t="s">
        <v>3962</v>
      </c>
      <c r="GV2" s="10" t="s">
        <v>3938</v>
      </c>
      <c r="GW2" s="10" t="s">
        <v>3939</v>
      </c>
      <c r="GX2" s="10" t="s">
        <v>3915</v>
      </c>
      <c r="GY2" s="10" t="s">
        <v>3916</v>
      </c>
      <c r="GZ2" s="10" t="s">
        <v>2085</v>
      </c>
      <c r="HA2" s="10" t="s">
        <v>2086</v>
      </c>
      <c r="HB2" s="10" t="s">
        <v>2088</v>
      </c>
      <c r="HC2" s="10" t="s">
        <v>3917</v>
      </c>
      <c r="HD2" s="10" t="s">
        <v>2091</v>
      </c>
      <c r="HE2" s="10" t="s">
        <v>2092</v>
      </c>
      <c r="HF2" s="10" t="s">
        <v>2100</v>
      </c>
      <c r="HG2" s="10" t="s">
        <v>3962</v>
      </c>
      <c r="HH2" s="10" t="s">
        <v>3940</v>
      </c>
      <c r="HI2" s="10" t="s">
        <v>3941</v>
      </c>
      <c r="HJ2" s="10" t="s">
        <v>3915</v>
      </c>
      <c r="HK2" s="10" t="s">
        <v>3916</v>
      </c>
      <c r="HL2" s="10" t="s">
        <v>2085</v>
      </c>
      <c r="HM2" s="10" t="s">
        <v>2086</v>
      </c>
      <c r="HN2" s="10" t="s">
        <v>2088</v>
      </c>
      <c r="HO2" s="10" t="s">
        <v>3917</v>
      </c>
      <c r="HP2" s="10" t="s">
        <v>2091</v>
      </c>
      <c r="HQ2" s="10" t="s">
        <v>2092</v>
      </c>
      <c r="HR2" s="10" t="s">
        <v>2100</v>
      </c>
    </row>
    <row r="3" spans="1:226" s="19" customFormat="1" x14ac:dyDescent="0.25">
      <c r="A3" s="8" t="s">
        <v>667</v>
      </c>
      <c r="B3" s="24" t="s">
        <v>1367</v>
      </c>
      <c r="C3" s="25" t="s">
        <v>1032</v>
      </c>
      <c r="D3" s="26">
        <v>31153</v>
      </c>
      <c r="E3" s="26" t="s">
        <v>1762</v>
      </c>
      <c r="F3" s="198" t="s">
        <v>1843</v>
      </c>
      <c r="G3" s="198" t="s">
        <v>852</v>
      </c>
      <c r="H3" s="25" t="s">
        <v>1700</v>
      </c>
      <c r="I3" s="27" t="s">
        <v>3902</v>
      </c>
      <c r="J3" s="27" t="s">
        <v>866</v>
      </c>
      <c r="K3" s="28" t="s">
        <v>3906</v>
      </c>
      <c r="L3" s="29" t="s">
        <v>855</v>
      </c>
      <c r="M3" s="29"/>
      <c r="N3" s="29"/>
      <c r="O3" s="29"/>
      <c r="P3" s="17"/>
      <c r="Q3" s="176"/>
      <c r="R3" s="29" t="s">
        <v>858</v>
      </c>
      <c r="S3" s="8" t="s">
        <v>859</v>
      </c>
      <c r="T3" s="8" t="s">
        <v>855</v>
      </c>
      <c r="U3" s="8"/>
      <c r="V3" s="8"/>
      <c r="W3" s="93">
        <v>0</v>
      </c>
      <c r="X3" s="8" t="s">
        <v>3967</v>
      </c>
      <c r="Y3" s="84" t="s">
        <v>190</v>
      </c>
      <c r="Z3" s="84"/>
      <c r="AA3" s="84" t="s">
        <v>3042</v>
      </c>
      <c r="AB3" s="84" t="s">
        <v>126</v>
      </c>
      <c r="AC3" s="26"/>
      <c r="AD3" s="26"/>
      <c r="AE3" s="8"/>
      <c r="AF3" s="8"/>
      <c r="AG3" s="8"/>
      <c r="AH3" s="26"/>
      <c r="AI3" s="8"/>
      <c r="AJ3" s="8"/>
      <c r="AK3" s="8"/>
      <c r="AL3" s="8"/>
      <c r="AM3" s="26"/>
      <c r="AN3" s="8"/>
      <c r="AO3" s="8"/>
      <c r="AP3" s="8"/>
      <c r="AQ3" s="8"/>
      <c r="AR3" s="26"/>
      <c r="AS3" s="8"/>
      <c r="AT3" s="8"/>
      <c r="AU3" s="8"/>
      <c r="AV3" s="8"/>
      <c r="AW3" s="26"/>
      <c r="AX3" s="8"/>
      <c r="AY3" s="8"/>
      <c r="AZ3" s="8"/>
      <c r="BA3" s="8"/>
      <c r="BB3" s="26"/>
      <c r="BC3" s="8"/>
      <c r="BD3" s="8"/>
      <c r="BE3" s="8"/>
      <c r="BF3" s="8"/>
      <c r="BG3" s="26"/>
      <c r="BH3" s="8"/>
      <c r="BI3" s="8"/>
      <c r="BJ3" s="8"/>
      <c r="BK3" s="8"/>
      <c r="BL3" s="26"/>
      <c r="BM3" s="8"/>
      <c r="BN3" s="8"/>
      <c r="BO3" s="8"/>
      <c r="BP3" s="8"/>
      <c r="BQ3" s="26"/>
      <c r="BR3" s="8"/>
      <c r="BS3" s="8"/>
      <c r="BT3" s="8"/>
      <c r="BU3" s="8"/>
      <c r="BV3" s="26"/>
      <c r="BW3" s="8"/>
      <c r="BX3" s="8"/>
      <c r="BY3" s="8"/>
      <c r="BZ3" s="8"/>
      <c r="CA3" s="8"/>
      <c r="CB3" s="26">
        <v>41943</v>
      </c>
      <c r="CC3" s="26" t="s">
        <v>859</v>
      </c>
      <c r="CD3" s="8" t="s">
        <v>2237</v>
      </c>
      <c r="CE3" s="8">
        <v>624</v>
      </c>
      <c r="CF3" s="8">
        <v>280</v>
      </c>
      <c r="CG3" s="26"/>
      <c r="CH3" s="8"/>
      <c r="CI3" s="8"/>
      <c r="CJ3" s="8"/>
      <c r="CK3" s="8"/>
      <c r="CL3" s="26"/>
      <c r="CM3" s="8"/>
      <c r="CN3" s="8"/>
      <c r="CO3" s="8"/>
      <c r="CP3" s="8"/>
      <c r="CQ3" s="26"/>
      <c r="CR3" s="8"/>
      <c r="CS3" s="8"/>
      <c r="CT3" s="8"/>
      <c r="CU3" s="8"/>
      <c r="CV3" s="26"/>
      <c r="CW3" s="8"/>
      <c r="CX3" s="8"/>
      <c r="CY3" s="8"/>
      <c r="CZ3" s="8"/>
      <c r="DA3" s="26"/>
      <c r="DB3" s="8"/>
      <c r="DC3" s="8"/>
      <c r="DD3" s="8"/>
      <c r="DE3" s="8"/>
      <c r="DF3" s="26"/>
      <c r="DG3" s="8"/>
      <c r="DH3" s="8"/>
      <c r="DI3" s="8"/>
      <c r="DJ3" s="8"/>
      <c r="DK3" s="26"/>
      <c r="DL3" s="8"/>
      <c r="DM3" s="8"/>
      <c r="DN3" s="8"/>
      <c r="DO3" s="8"/>
      <c r="DP3" s="26"/>
      <c r="DQ3" s="8"/>
      <c r="DR3" s="8"/>
      <c r="DS3" s="8"/>
      <c r="DT3" s="8"/>
      <c r="DU3" s="26"/>
      <c r="DV3" s="8"/>
      <c r="DW3" s="8"/>
      <c r="DX3" s="8"/>
      <c r="DY3" s="8"/>
      <c r="DZ3" s="8"/>
      <c r="EA3" s="14">
        <v>42273</v>
      </c>
      <c r="EB3" s="8" t="s">
        <v>3906</v>
      </c>
      <c r="EC3" s="8" t="s">
        <v>3963</v>
      </c>
      <c r="ED3" s="8">
        <v>100</v>
      </c>
      <c r="EE3" s="26">
        <v>42273</v>
      </c>
      <c r="EF3" s="8">
        <v>50</v>
      </c>
      <c r="EG3" s="26"/>
      <c r="EH3" s="8">
        <v>50</v>
      </c>
      <c r="EI3" s="8"/>
      <c r="EJ3" s="8">
        <v>0</v>
      </c>
      <c r="EK3" s="8"/>
      <c r="EL3" s="8">
        <v>0</v>
      </c>
      <c r="EM3" s="14"/>
      <c r="EN3" s="8"/>
      <c r="EO3" s="8"/>
      <c r="EP3" s="8"/>
      <c r="EQ3" s="8"/>
      <c r="ER3" s="8"/>
      <c r="ES3" s="8"/>
      <c r="ET3" s="8"/>
      <c r="EU3" s="8"/>
      <c r="EV3" s="8"/>
      <c r="EW3" s="8"/>
      <c r="EX3" s="8"/>
      <c r="EZ3" s="8"/>
      <c r="FA3" s="8"/>
      <c r="FB3" s="8"/>
      <c r="FC3" s="8"/>
      <c r="FD3" s="8"/>
      <c r="FE3" s="8"/>
      <c r="FF3" s="8"/>
      <c r="FG3" s="8"/>
      <c r="FH3" s="8"/>
      <c r="FI3" s="8"/>
      <c r="FJ3" s="8"/>
      <c r="FL3" s="8"/>
      <c r="FM3" s="8"/>
      <c r="FN3" s="8"/>
      <c r="FO3" s="8"/>
      <c r="FP3" s="8"/>
      <c r="FQ3" s="8"/>
      <c r="FR3" s="8"/>
      <c r="FS3" s="8"/>
      <c r="FT3" s="8"/>
      <c r="FU3" s="8"/>
      <c r="FV3" s="8"/>
      <c r="FX3" s="8"/>
      <c r="FY3" s="8"/>
      <c r="FZ3" s="8"/>
      <c r="GA3" s="8"/>
      <c r="GB3" s="8"/>
      <c r="GC3" s="8"/>
      <c r="GD3" s="8"/>
      <c r="GE3" s="8"/>
      <c r="GF3" s="8"/>
      <c r="GG3" s="8"/>
      <c r="GH3" s="8"/>
      <c r="GJ3" s="8"/>
      <c r="GK3" s="8"/>
      <c r="GL3" s="8"/>
      <c r="GM3" s="8"/>
      <c r="GN3" s="8"/>
      <c r="GO3" s="8"/>
      <c r="GP3" s="8"/>
      <c r="GQ3" s="8"/>
      <c r="GR3" s="8"/>
      <c r="GS3" s="8"/>
      <c r="GT3" s="8"/>
      <c r="GV3" s="8"/>
      <c r="GW3" s="8"/>
      <c r="GX3" s="8"/>
      <c r="GY3" s="8"/>
      <c r="GZ3" s="8"/>
      <c r="HA3" s="8"/>
      <c r="HB3" s="8"/>
      <c r="HC3" s="8"/>
      <c r="HD3" s="8"/>
      <c r="HE3" s="8"/>
      <c r="HF3" s="8"/>
      <c r="HH3" s="8"/>
      <c r="HI3" s="8"/>
      <c r="HJ3" s="8"/>
      <c r="HK3" s="26"/>
      <c r="HL3" s="8"/>
      <c r="HM3" s="8"/>
      <c r="HN3" s="8"/>
      <c r="HO3" s="8"/>
      <c r="HP3" s="8"/>
      <c r="HQ3" s="8"/>
    </row>
    <row r="4" spans="1:226" s="19" customFormat="1" x14ac:dyDescent="0.25">
      <c r="A4" s="8" t="s">
        <v>4646</v>
      </c>
      <c r="B4" s="24" t="s">
        <v>4647</v>
      </c>
      <c r="C4" s="25"/>
      <c r="D4" s="26"/>
      <c r="E4" s="26"/>
      <c r="F4" s="198" t="s">
        <v>1700</v>
      </c>
      <c r="G4" s="198" t="s">
        <v>1700</v>
      </c>
      <c r="H4" s="25" t="s">
        <v>1700</v>
      </c>
      <c r="I4" s="27"/>
      <c r="J4" s="27" t="s">
        <v>866</v>
      </c>
      <c r="K4" s="28" t="s">
        <v>816</v>
      </c>
      <c r="L4" s="29"/>
      <c r="M4" s="29"/>
      <c r="N4" s="29"/>
      <c r="O4" s="29"/>
      <c r="P4" s="17"/>
      <c r="Q4" s="176"/>
      <c r="R4" s="29"/>
      <c r="S4" s="8"/>
      <c r="T4" s="8"/>
      <c r="U4" s="8"/>
      <c r="V4" s="8"/>
      <c r="W4" s="93">
        <v>0</v>
      </c>
      <c r="X4" s="84"/>
      <c r="Y4" s="84"/>
      <c r="Z4" s="84"/>
      <c r="AA4" s="84"/>
      <c r="AB4" s="84"/>
      <c r="AC4" s="26"/>
      <c r="AD4" s="26"/>
      <c r="AE4" s="8"/>
      <c r="AF4" s="8"/>
      <c r="AG4" s="8"/>
      <c r="AH4" s="26"/>
      <c r="AI4" s="8"/>
      <c r="AJ4" s="8"/>
      <c r="AK4" s="8"/>
      <c r="AL4" s="8"/>
      <c r="AM4" s="26"/>
      <c r="AN4" s="8"/>
      <c r="AO4" s="8"/>
      <c r="AP4" s="8"/>
      <c r="AQ4" s="8"/>
      <c r="AR4" s="26"/>
      <c r="AS4" s="8"/>
      <c r="AT4" s="8"/>
      <c r="AU4" s="8"/>
      <c r="AV4" s="8"/>
      <c r="AW4" s="26"/>
      <c r="AX4" s="8"/>
      <c r="AY4" s="8"/>
      <c r="AZ4" s="8"/>
      <c r="BA4" s="8"/>
      <c r="BB4" s="26"/>
      <c r="BC4" s="8"/>
      <c r="BD4" s="8"/>
      <c r="BE4" s="8"/>
      <c r="BF4" s="8"/>
      <c r="BG4" s="26"/>
      <c r="BH4" s="8"/>
      <c r="BI4" s="8"/>
      <c r="BJ4" s="8"/>
      <c r="BK4" s="8"/>
      <c r="BL4" s="26"/>
      <c r="BM4" s="8"/>
      <c r="BN4" s="8"/>
      <c r="BO4" s="8"/>
      <c r="BP4" s="8"/>
      <c r="BQ4" s="26"/>
      <c r="BR4" s="8"/>
      <c r="BS4" s="8"/>
      <c r="BT4" s="8"/>
      <c r="BU4" s="8"/>
      <c r="BV4" s="26"/>
      <c r="BW4" s="8"/>
      <c r="BX4" s="8"/>
      <c r="BY4" s="8"/>
      <c r="BZ4" s="8"/>
      <c r="CA4" s="8"/>
      <c r="CB4" s="255"/>
      <c r="CC4" s="278"/>
      <c r="CD4" s="8"/>
      <c r="CE4" s="8"/>
      <c r="CF4" s="279"/>
      <c r="CG4" s="255"/>
      <c r="CH4" s="26"/>
      <c r="CI4" s="8"/>
      <c r="CJ4" s="8"/>
      <c r="CK4" s="8"/>
      <c r="CL4" s="26"/>
      <c r="CM4" s="26"/>
      <c r="CN4" s="8"/>
      <c r="CO4" s="8"/>
      <c r="CP4" s="8"/>
      <c r="CQ4" s="26"/>
      <c r="CR4" s="26"/>
      <c r="CS4" s="8"/>
      <c r="CT4" s="8"/>
      <c r="CU4" s="8"/>
      <c r="CV4" s="26"/>
      <c r="CW4" s="8"/>
      <c r="CX4" s="8"/>
      <c r="CY4" s="8"/>
      <c r="CZ4" s="8"/>
      <c r="DA4" s="26"/>
      <c r="DB4" s="8"/>
      <c r="DC4" s="8"/>
      <c r="DD4" s="8"/>
      <c r="DE4" s="8"/>
      <c r="DF4" s="26"/>
      <c r="DG4" s="8"/>
      <c r="DH4" s="8"/>
      <c r="DI4" s="8"/>
      <c r="DJ4" s="8"/>
      <c r="DK4" s="26"/>
      <c r="DL4" s="8"/>
      <c r="DM4" s="8"/>
      <c r="DN4" s="8"/>
      <c r="DO4" s="8"/>
      <c r="DP4" s="26"/>
      <c r="DQ4" s="8"/>
      <c r="DR4" s="8"/>
      <c r="DS4" s="8"/>
      <c r="DT4" s="8"/>
      <c r="DU4" s="26"/>
      <c r="DV4" s="8"/>
      <c r="DW4" s="8"/>
      <c r="DX4" s="8"/>
      <c r="DY4" s="8"/>
      <c r="DZ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N4" s="8"/>
      <c r="EO4" s="8"/>
      <c r="EP4" s="8"/>
      <c r="EQ4" s="8"/>
      <c r="ER4" s="8"/>
      <c r="ES4" s="8"/>
      <c r="ET4" s="8"/>
      <c r="EU4" s="8"/>
      <c r="EV4" s="8"/>
      <c r="EW4" s="8"/>
      <c r="EX4" s="8"/>
      <c r="EZ4" s="8"/>
      <c r="FA4" s="8"/>
      <c r="FB4" s="8"/>
      <c r="FC4" s="8"/>
      <c r="FD4" s="8"/>
      <c r="FE4" s="8"/>
      <c r="FF4" s="8"/>
      <c r="FG4" s="8"/>
      <c r="FH4" s="8"/>
      <c r="FI4" s="8"/>
      <c r="FJ4" s="8"/>
      <c r="FL4" s="8"/>
      <c r="FM4" s="8"/>
      <c r="FN4" s="8"/>
      <c r="FO4" s="8"/>
      <c r="FP4" s="8"/>
      <c r="FQ4" s="8"/>
      <c r="FR4" s="8"/>
      <c r="FS4" s="8"/>
      <c r="FT4" s="8"/>
      <c r="FU4" s="8"/>
      <c r="FV4" s="8"/>
      <c r="FX4" s="8"/>
      <c r="FY4" s="8"/>
      <c r="FZ4" s="8"/>
      <c r="GA4" s="8"/>
      <c r="GB4" s="8"/>
      <c r="GC4" s="8"/>
      <c r="GD4" s="8"/>
      <c r="GE4" s="8"/>
      <c r="GF4" s="8"/>
      <c r="GG4" s="8"/>
      <c r="GH4" s="8"/>
      <c r="GJ4" s="8"/>
      <c r="GK4" s="8"/>
      <c r="GL4" s="8"/>
      <c r="GM4" s="8"/>
      <c r="GN4" s="8"/>
      <c r="GO4" s="8"/>
      <c r="GP4" s="8"/>
      <c r="GQ4" s="8"/>
      <c r="GR4" s="8"/>
      <c r="GS4" s="8"/>
      <c r="GT4" s="8"/>
      <c r="GV4" s="8"/>
      <c r="GW4" s="8"/>
      <c r="GX4" s="8"/>
      <c r="GY4" s="8"/>
      <c r="GZ4" s="8"/>
      <c r="HA4" s="8"/>
      <c r="HB4" s="8"/>
      <c r="HC4" s="8"/>
      <c r="HD4" s="8"/>
      <c r="HE4" s="8"/>
      <c r="HF4" s="8"/>
      <c r="HH4" s="8"/>
      <c r="HI4" s="8"/>
      <c r="HJ4" s="8"/>
      <c r="HK4" s="8"/>
      <c r="HL4" s="8"/>
      <c r="HM4" s="8"/>
      <c r="HN4" s="8"/>
      <c r="HO4" s="8"/>
      <c r="HP4" s="8"/>
      <c r="HQ4" s="8"/>
    </row>
    <row r="5" spans="1:226" s="19" customFormat="1" ht="13.5" x14ac:dyDescent="0.25">
      <c r="A5" s="8" t="s">
        <v>3423</v>
      </c>
      <c r="B5" s="24" t="s">
        <v>870</v>
      </c>
      <c r="C5" s="25" t="s">
        <v>3422</v>
      </c>
      <c r="D5" s="26"/>
      <c r="E5" s="26" t="s">
        <v>1764</v>
      </c>
      <c r="F5" s="198" t="s">
        <v>946</v>
      </c>
      <c r="G5" s="198" t="s">
        <v>1700</v>
      </c>
      <c r="H5" s="25" t="s">
        <v>3424</v>
      </c>
      <c r="I5" s="27"/>
      <c r="J5" s="27" t="s">
        <v>866</v>
      </c>
      <c r="K5" s="28"/>
      <c r="L5" s="29"/>
      <c r="M5" s="29"/>
      <c r="N5" s="29"/>
      <c r="O5" s="29"/>
      <c r="P5" s="17"/>
      <c r="Q5" s="176"/>
      <c r="R5" s="29" t="s">
        <v>853</v>
      </c>
      <c r="S5" s="8"/>
      <c r="T5" s="8"/>
      <c r="U5" s="8"/>
      <c r="V5" s="8"/>
      <c r="W5" s="93">
        <v>0</v>
      </c>
      <c r="X5" s="84" t="s">
        <v>1700</v>
      </c>
      <c r="Y5" s="84" t="s">
        <v>319</v>
      </c>
      <c r="Z5" s="84"/>
      <c r="AA5" s="84" t="s">
        <v>3425</v>
      </c>
      <c r="AB5" s="84" t="s">
        <v>302</v>
      </c>
      <c r="AC5" s="26"/>
      <c r="AD5" s="26"/>
      <c r="AE5" s="8"/>
      <c r="AF5" s="8"/>
      <c r="AG5" s="8"/>
      <c r="AH5" s="26"/>
      <c r="AI5" s="8"/>
      <c r="AJ5" s="8"/>
      <c r="AK5" s="8"/>
      <c r="AL5" s="8"/>
      <c r="AM5" s="26"/>
      <c r="AN5" s="8"/>
      <c r="AO5" s="8"/>
      <c r="AP5" s="8"/>
      <c r="AQ5" s="8"/>
      <c r="AR5" s="26"/>
      <c r="AS5" s="8"/>
      <c r="AT5" s="8"/>
      <c r="AU5" s="8"/>
      <c r="AV5" s="8"/>
      <c r="AW5" s="26"/>
      <c r="AX5" s="8"/>
      <c r="AY5" s="8"/>
      <c r="AZ5" s="8"/>
      <c r="BA5" s="8"/>
      <c r="BB5" s="26"/>
      <c r="BC5" s="8"/>
      <c r="BD5" s="8"/>
      <c r="BE5" s="8"/>
      <c r="BF5" s="8"/>
      <c r="BG5" s="26"/>
      <c r="BH5" s="8"/>
      <c r="BI5" s="8"/>
      <c r="BJ5" s="8"/>
      <c r="BK5" s="8"/>
      <c r="BL5" s="26"/>
      <c r="BM5" s="8"/>
      <c r="BN5" s="8"/>
      <c r="BO5" s="8"/>
      <c r="BP5" s="8"/>
      <c r="BQ5" s="26"/>
      <c r="BR5" s="8"/>
      <c r="BS5" s="8"/>
      <c r="BT5" s="8"/>
      <c r="BU5" s="8"/>
      <c r="BV5" s="26"/>
      <c r="BW5" s="8"/>
      <c r="BX5" s="8"/>
      <c r="BY5" s="8"/>
      <c r="BZ5" s="8"/>
      <c r="CA5" s="8"/>
      <c r="CB5" s="278">
        <v>42011</v>
      </c>
      <c r="CC5" s="278" t="s">
        <v>853</v>
      </c>
      <c r="CD5" s="8" t="s">
        <v>3426</v>
      </c>
      <c r="CE5" s="8">
        <v>406.8</v>
      </c>
      <c r="CF5" s="279">
        <v>160</v>
      </c>
      <c r="CG5" s="278"/>
      <c r="CH5" s="26"/>
      <c r="CI5" s="8"/>
      <c r="CJ5" s="8"/>
      <c r="CK5" s="8"/>
      <c r="CL5" s="26"/>
      <c r="CM5" s="26"/>
      <c r="CN5" s="8"/>
      <c r="CO5" s="8"/>
      <c r="CP5" s="8"/>
      <c r="CQ5" s="26"/>
      <c r="CR5" s="26"/>
      <c r="CS5" s="8"/>
      <c r="CT5" s="8"/>
      <c r="CU5" s="8"/>
      <c r="CV5" s="26"/>
      <c r="CW5" s="8"/>
      <c r="CX5" s="8"/>
      <c r="CY5" s="8"/>
      <c r="CZ5" s="8"/>
      <c r="DA5" s="26"/>
      <c r="DB5" s="8"/>
      <c r="DC5" s="8"/>
      <c r="DD5" s="8"/>
      <c r="DE5" s="8"/>
      <c r="DF5" s="26"/>
      <c r="DG5" s="8"/>
      <c r="DH5" s="8"/>
      <c r="DI5" s="8"/>
      <c r="DJ5" s="8"/>
      <c r="DK5" s="26"/>
      <c r="DL5" s="8"/>
      <c r="DM5" s="8"/>
      <c r="DN5" s="8"/>
      <c r="DO5" s="8"/>
      <c r="DP5" s="26"/>
      <c r="DQ5" s="8"/>
      <c r="DR5" s="8"/>
      <c r="DS5" s="8"/>
      <c r="DT5" s="8"/>
      <c r="DU5" s="26"/>
      <c r="DV5" s="8"/>
      <c r="DW5" s="8"/>
      <c r="DX5" s="8"/>
      <c r="DY5" s="8"/>
      <c r="DZ5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Z5" s="8"/>
      <c r="FA5" s="8"/>
      <c r="FB5" s="8"/>
      <c r="FC5" s="8"/>
      <c r="FD5" s="8"/>
      <c r="FE5" s="8"/>
      <c r="FF5" s="8"/>
      <c r="FG5" s="8"/>
      <c r="FH5" s="8"/>
      <c r="FI5" s="8"/>
      <c r="FJ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X5" s="8"/>
      <c r="FY5" s="8"/>
      <c r="FZ5" s="8"/>
      <c r="GA5" s="8"/>
      <c r="GB5" s="8"/>
      <c r="GC5" s="8"/>
      <c r="GD5" s="8"/>
      <c r="GE5" s="8"/>
      <c r="GF5" s="8"/>
      <c r="GG5" s="8"/>
      <c r="GH5" s="8"/>
      <c r="GJ5" s="8"/>
      <c r="GK5" s="8"/>
      <c r="GL5" s="8"/>
      <c r="GM5" s="8"/>
      <c r="GN5" s="8"/>
      <c r="GO5" s="8"/>
      <c r="GP5" s="8"/>
      <c r="GQ5" s="8"/>
      <c r="GR5" s="8"/>
      <c r="GS5" s="8"/>
      <c r="GT5" s="8"/>
      <c r="GV5" s="8"/>
      <c r="GW5" s="8"/>
      <c r="GX5" s="8"/>
      <c r="GY5" s="8"/>
      <c r="GZ5" s="8"/>
      <c r="HA5" s="8"/>
      <c r="HB5" s="8"/>
      <c r="HC5" s="8"/>
      <c r="HD5" s="8"/>
      <c r="HE5" s="8"/>
      <c r="HF5" s="8"/>
      <c r="HH5" s="8"/>
      <c r="HI5" s="8"/>
      <c r="HJ5" s="8"/>
      <c r="HK5" s="8"/>
      <c r="HL5" s="8"/>
      <c r="HM5" s="8"/>
      <c r="HN5" s="8"/>
      <c r="HO5" s="8"/>
      <c r="HP5" s="8"/>
      <c r="HQ5" s="8"/>
    </row>
    <row r="6" spans="1:226" s="19" customFormat="1" x14ac:dyDescent="0.25">
      <c r="A6" s="8" t="s">
        <v>667</v>
      </c>
      <c r="B6" s="24" t="s">
        <v>329</v>
      </c>
      <c r="C6" s="25" t="s">
        <v>4162</v>
      </c>
      <c r="D6" s="26"/>
      <c r="E6" s="26" t="s">
        <v>1762</v>
      </c>
      <c r="F6" s="198" t="s">
        <v>1700</v>
      </c>
      <c r="G6" s="198" t="s">
        <v>1700</v>
      </c>
      <c r="H6" s="25" t="s">
        <v>1700</v>
      </c>
      <c r="I6" s="27" t="s">
        <v>3902</v>
      </c>
      <c r="J6" s="27" t="s">
        <v>866</v>
      </c>
      <c r="K6" s="28" t="s">
        <v>859</v>
      </c>
      <c r="L6" s="29"/>
      <c r="M6" s="29"/>
      <c r="N6" s="29"/>
      <c r="O6" s="29"/>
      <c r="P6" s="17"/>
      <c r="Q6" s="176"/>
      <c r="R6" s="29"/>
      <c r="S6" s="8"/>
      <c r="T6" s="8"/>
      <c r="U6" s="8"/>
      <c r="V6" s="8"/>
      <c r="W6" s="93">
        <v>280</v>
      </c>
      <c r="X6" s="84" t="s">
        <v>1700</v>
      </c>
      <c r="Y6" s="84" t="s">
        <v>1700</v>
      </c>
      <c r="Z6" s="84"/>
      <c r="AA6" s="84" t="s">
        <v>4599</v>
      </c>
      <c r="AB6" s="84" t="s">
        <v>670</v>
      </c>
      <c r="AC6" s="26">
        <v>42416</v>
      </c>
      <c r="AD6" s="26" t="s">
        <v>859</v>
      </c>
      <c r="AE6" s="8" t="s">
        <v>2231</v>
      </c>
      <c r="AF6" s="8">
        <v>624</v>
      </c>
      <c r="AG6" s="8">
        <v>280</v>
      </c>
      <c r="AH6" s="26"/>
      <c r="AI6" s="8"/>
      <c r="AJ6" s="8"/>
      <c r="AK6" s="8"/>
      <c r="AL6" s="8"/>
      <c r="AM6" s="26"/>
      <c r="AN6" s="8"/>
      <c r="AO6" s="8"/>
      <c r="AP6" s="8"/>
      <c r="AQ6" s="8"/>
      <c r="AR6" s="26"/>
      <c r="AS6" s="8"/>
      <c r="AT6" s="8"/>
      <c r="AU6" s="8"/>
      <c r="AV6" s="8"/>
      <c r="AW6" s="26"/>
      <c r="AX6" s="8"/>
      <c r="AY6" s="8"/>
      <c r="AZ6" s="8"/>
      <c r="BA6" s="8"/>
      <c r="BB6" s="26"/>
      <c r="BC6" s="8"/>
      <c r="BD6" s="8"/>
      <c r="BE6" s="8"/>
      <c r="BF6" s="8"/>
      <c r="BG6" s="26"/>
      <c r="BH6" s="8"/>
      <c r="BI6" s="8"/>
      <c r="BJ6" s="8"/>
      <c r="BK6" s="8"/>
      <c r="BL6" s="26"/>
      <c r="BM6" s="8"/>
      <c r="BN6" s="8"/>
      <c r="BO6" s="8"/>
      <c r="BP6" s="8"/>
      <c r="BQ6" s="26"/>
      <c r="BR6" s="8"/>
      <c r="BS6" s="8"/>
      <c r="BT6" s="8"/>
      <c r="BU6" s="8"/>
      <c r="BV6" s="26"/>
      <c r="BW6" s="8"/>
      <c r="BX6" s="8"/>
      <c r="BY6" s="8"/>
      <c r="BZ6" s="8"/>
      <c r="CA6" s="8"/>
      <c r="CB6" s="278"/>
      <c r="CC6" s="278"/>
      <c r="CD6" s="8"/>
      <c r="CE6" s="8"/>
      <c r="CF6" s="279"/>
      <c r="CG6" s="278"/>
      <c r="CH6" s="26"/>
      <c r="CI6" s="8"/>
      <c r="CJ6" s="8"/>
      <c r="CK6" s="8"/>
      <c r="CL6" s="26"/>
      <c r="CM6" s="26"/>
      <c r="CN6" s="8"/>
      <c r="CO6" s="8"/>
      <c r="CP6" s="8"/>
      <c r="CQ6" s="26"/>
      <c r="CR6" s="26"/>
      <c r="CS6" s="8"/>
      <c r="CT6" s="8"/>
      <c r="CU6" s="8"/>
      <c r="CV6" s="26"/>
      <c r="CW6" s="8"/>
      <c r="CX6" s="8"/>
      <c r="CY6" s="8"/>
      <c r="CZ6" s="8"/>
      <c r="DA6" s="26"/>
      <c r="DB6" s="8"/>
      <c r="DC6" s="8"/>
      <c r="DD6" s="8"/>
      <c r="DE6" s="8"/>
      <c r="DF6" s="26"/>
      <c r="DG6" s="8"/>
      <c r="DH6" s="8"/>
      <c r="DI6" s="8"/>
      <c r="DJ6" s="8"/>
      <c r="DK6" s="26"/>
      <c r="DL6" s="8"/>
      <c r="DM6" s="8"/>
      <c r="DN6" s="8"/>
      <c r="DO6" s="8"/>
      <c r="DP6" s="26"/>
      <c r="DQ6" s="8"/>
      <c r="DR6" s="8"/>
      <c r="DS6" s="8"/>
      <c r="DT6" s="8"/>
      <c r="DU6" s="26"/>
      <c r="DV6" s="8"/>
      <c r="DW6" s="8"/>
      <c r="DX6" s="8"/>
      <c r="DY6" s="8"/>
      <c r="EB6" s="8"/>
      <c r="EC6" s="8"/>
      <c r="ED6" s="8"/>
      <c r="EE6" s="8"/>
      <c r="EF6" s="8"/>
      <c r="EG6" s="8"/>
      <c r="EH6" s="8"/>
      <c r="EI6" s="8"/>
      <c r="EJ6" s="8"/>
      <c r="EK6" s="8"/>
      <c r="EL6" s="8"/>
      <c r="EN6" s="8"/>
      <c r="EO6" s="8"/>
      <c r="EP6" s="8"/>
      <c r="EQ6" s="8"/>
      <c r="ER6" s="8"/>
      <c r="ES6" s="8"/>
      <c r="ET6" s="8"/>
      <c r="EU6" s="8"/>
      <c r="EV6" s="8"/>
      <c r="EW6" s="8"/>
      <c r="EX6" s="8"/>
      <c r="EZ6" s="8"/>
      <c r="FA6" s="8"/>
      <c r="FB6" s="8"/>
      <c r="FC6" s="8"/>
      <c r="FD6" s="8"/>
      <c r="FE6" s="8"/>
      <c r="FF6" s="8"/>
      <c r="FG6" s="8"/>
      <c r="FH6" s="8"/>
      <c r="FI6" s="8"/>
      <c r="FJ6" s="8"/>
      <c r="FL6" s="8"/>
      <c r="FM6" s="8"/>
      <c r="FN6" s="8"/>
      <c r="FO6" s="8"/>
      <c r="FP6" s="8"/>
      <c r="FQ6" s="8"/>
      <c r="FR6" s="8"/>
      <c r="FS6" s="8"/>
      <c r="FT6" s="8"/>
      <c r="FU6" s="8"/>
      <c r="FV6" s="8"/>
      <c r="FX6" s="8"/>
      <c r="FY6" s="8"/>
      <c r="FZ6" s="8"/>
      <c r="GA6" s="8"/>
      <c r="GB6" s="8"/>
      <c r="GC6" s="8"/>
      <c r="GD6" s="8"/>
      <c r="GE6" s="8"/>
      <c r="GF6" s="8"/>
      <c r="GG6" s="8"/>
      <c r="GH6" s="8"/>
      <c r="GJ6" s="8"/>
      <c r="GK6" s="8"/>
      <c r="GL6" s="8"/>
      <c r="GM6" s="8"/>
      <c r="GN6" s="8"/>
      <c r="GO6" s="8"/>
      <c r="GP6" s="8"/>
      <c r="GQ6" s="8"/>
      <c r="GR6" s="8"/>
      <c r="GS6" s="8"/>
      <c r="GT6" s="8"/>
      <c r="GV6" s="8"/>
      <c r="GW6" s="8"/>
      <c r="GX6" s="8"/>
      <c r="GY6" s="8"/>
      <c r="GZ6" s="8"/>
      <c r="HA6" s="8"/>
      <c r="HB6" s="8"/>
      <c r="HC6" s="8"/>
      <c r="HD6" s="8"/>
      <c r="HE6" s="8"/>
      <c r="HF6" s="8"/>
      <c r="HH6" s="8"/>
      <c r="HI6" s="8"/>
      <c r="HJ6" s="8"/>
      <c r="HK6" s="8"/>
      <c r="HL6" s="8"/>
      <c r="HM6" s="8"/>
      <c r="HN6" s="8"/>
      <c r="HO6" s="8"/>
      <c r="HP6" s="8"/>
      <c r="HQ6" s="8"/>
    </row>
    <row r="7" spans="1:226" s="19" customFormat="1" x14ac:dyDescent="0.25">
      <c r="A7" s="8" t="s">
        <v>4481</v>
      </c>
      <c r="B7" s="24" t="s">
        <v>1015</v>
      </c>
      <c r="C7" s="25" t="s">
        <v>4482</v>
      </c>
      <c r="D7" s="26"/>
      <c r="E7" s="26" t="s">
        <v>1762</v>
      </c>
      <c r="F7" s="198" t="s">
        <v>367</v>
      </c>
      <c r="G7" s="198" t="s">
        <v>1700</v>
      </c>
      <c r="H7" s="25" t="s">
        <v>4483</v>
      </c>
      <c r="I7" s="27" t="s">
        <v>3903</v>
      </c>
      <c r="J7" s="27" t="s">
        <v>866</v>
      </c>
      <c r="K7" s="28" t="s">
        <v>853</v>
      </c>
      <c r="L7" s="29"/>
      <c r="M7" s="29"/>
      <c r="N7" s="29"/>
      <c r="O7" s="29"/>
      <c r="P7" s="17"/>
      <c r="Q7" s="176"/>
      <c r="R7" s="29"/>
      <c r="S7" s="8"/>
      <c r="T7" s="8"/>
      <c r="U7" s="8"/>
      <c r="V7" s="8"/>
      <c r="W7" s="93">
        <v>150</v>
      </c>
      <c r="X7" s="84" t="s">
        <v>1700</v>
      </c>
      <c r="Y7" s="84" t="s">
        <v>4484</v>
      </c>
      <c r="Z7" s="84"/>
      <c r="AA7" s="84" t="s">
        <v>4485</v>
      </c>
      <c r="AB7" s="84" t="s">
        <v>4486</v>
      </c>
      <c r="AC7" s="26">
        <v>42416</v>
      </c>
      <c r="AD7" s="26" t="s">
        <v>853</v>
      </c>
      <c r="AE7" s="8" t="s">
        <v>4693</v>
      </c>
      <c r="AF7" s="8">
        <v>300</v>
      </c>
      <c r="AG7" s="8">
        <v>150</v>
      </c>
      <c r="AH7" s="26"/>
      <c r="AI7" s="8"/>
      <c r="AJ7" s="8"/>
      <c r="AK7" s="8"/>
      <c r="AL7" s="8"/>
      <c r="AM7" s="26"/>
      <c r="AN7" s="8"/>
      <c r="AO7" s="8"/>
      <c r="AP7" s="8"/>
      <c r="AQ7" s="8"/>
      <c r="AR7" s="26"/>
      <c r="AS7" s="8"/>
      <c r="AT7" s="8"/>
      <c r="AU7" s="8"/>
      <c r="AV7" s="8"/>
      <c r="AW7" s="26"/>
      <c r="AX7" s="8"/>
      <c r="AY7" s="8"/>
      <c r="AZ7" s="8"/>
      <c r="BA7" s="8"/>
      <c r="BB7" s="26"/>
      <c r="BC7" s="8"/>
      <c r="BD7" s="8"/>
      <c r="BE7" s="8"/>
      <c r="BF7" s="8"/>
      <c r="BG7" s="26"/>
      <c r="BH7" s="8"/>
      <c r="BI7" s="8"/>
      <c r="BJ7" s="8"/>
      <c r="BK7" s="8"/>
      <c r="BL7" s="26"/>
      <c r="BM7" s="8"/>
      <c r="BN7" s="8"/>
      <c r="BO7" s="8"/>
      <c r="BP7" s="8"/>
      <c r="BQ7" s="26"/>
      <c r="BR7" s="8"/>
      <c r="BS7" s="8"/>
      <c r="BT7" s="8"/>
      <c r="BU7" s="8"/>
      <c r="BV7" s="26"/>
      <c r="BW7" s="8"/>
      <c r="BX7" s="8"/>
      <c r="BY7" s="8"/>
      <c r="BZ7" s="8"/>
      <c r="CA7" s="8"/>
      <c r="CB7" s="278"/>
      <c r="CC7" s="278"/>
      <c r="CD7" s="8"/>
      <c r="CE7" s="8"/>
      <c r="CF7" s="279"/>
      <c r="CG7" s="278"/>
      <c r="CH7" s="26"/>
      <c r="CI7" s="8"/>
      <c r="CJ7" s="8"/>
      <c r="CK7" s="8"/>
      <c r="CL7" s="26"/>
      <c r="CM7" s="26"/>
      <c r="CN7" s="8"/>
      <c r="CO7" s="8"/>
      <c r="CP7" s="8"/>
      <c r="CQ7" s="26"/>
      <c r="CR7" s="26"/>
      <c r="CS7" s="8"/>
      <c r="CT7" s="8"/>
      <c r="CU7" s="8"/>
      <c r="CV7" s="26"/>
      <c r="CW7" s="8"/>
      <c r="CX7" s="8"/>
      <c r="CY7" s="8"/>
      <c r="CZ7" s="8"/>
      <c r="DA7" s="26"/>
      <c r="DB7" s="8"/>
      <c r="DC7" s="8"/>
      <c r="DD7" s="8"/>
      <c r="DE7" s="8"/>
      <c r="DF7" s="26"/>
      <c r="DG7" s="8"/>
      <c r="DH7" s="8"/>
      <c r="DI7" s="8"/>
      <c r="DJ7" s="8"/>
      <c r="DK7" s="26"/>
      <c r="DL7" s="8"/>
      <c r="DM7" s="8"/>
      <c r="DN7" s="8"/>
      <c r="DO7" s="8"/>
      <c r="DP7" s="26"/>
      <c r="DQ7" s="8"/>
      <c r="DR7" s="8"/>
      <c r="DS7" s="8"/>
      <c r="DT7" s="8"/>
      <c r="DU7" s="26"/>
      <c r="DV7" s="8"/>
      <c r="DW7" s="8"/>
      <c r="DX7" s="8"/>
      <c r="DY7" s="8"/>
      <c r="DZ7" s="8"/>
      <c r="EA7" s="256"/>
      <c r="EB7" s="8"/>
      <c r="EC7" s="8"/>
      <c r="ED7" s="8"/>
      <c r="EE7" s="8"/>
      <c r="EF7" s="8"/>
      <c r="EG7" s="8"/>
      <c r="EH7" s="8"/>
      <c r="EI7" s="8"/>
      <c r="EJ7" s="8"/>
      <c r="EK7" s="8"/>
      <c r="EL7" s="8"/>
      <c r="EM7" s="279"/>
      <c r="EN7" s="8"/>
      <c r="EO7" s="8"/>
      <c r="EP7" s="8"/>
      <c r="EQ7" s="8"/>
      <c r="ER7" s="8"/>
      <c r="ES7" s="8"/>
      <c r="ET7" s="8"/>
      <c r="EU7" s="8"/>
      <c r="EV7" s="8"/>
      <c r="EW7" s="8"/>
      <c r="EX7" s="8"/>
      <c r="EY7" s="279"/>
      <c r="EZ7" s="8"/>
      <c r="FA7" s="8"/>
      <c r="FB7" s="8"/>
      <c r="FC7" s="8"/>
      <c r="FD7" s="8"/>
      <c r="FE7" s="8"/>
      <c r="FF7" s="8"/>
      <c r="FG7" s="8"/>
      <c r="FH7" s="8"/>
      <c r="FI7" s="8"/>
      <c r="FJ7" s="8"/>
      <c r="FK7" s="279"/>
      <c r="FL7" s="8"/>
      <c r="FM7" s="8"/>
      <c r="FN7" s="8"/>
      <c r="FO7" s="8"/>
      <c r="FP7" s="8"/>
      <c r="FQ7" s="8"/>
      <c r="FR7" s="8"/>
      <c r="FS7" s="8"/>
      <c r="FT7" s="8"/>
      <c r="FU7" s="8"/>
      <c r="FV7" s="8"/>
      <c r="FW7" s="279"/>
      <c r="FX7" s="8"/>
      <c r="FY7" s="8"/>
      <c r="FZ7" s="8"/>
      <c r="GA7" s="8"/>
      <c r="GB7" s="8"/>
      <c r="GC7" s="8"/>
      <c r="GD7" s="8"/>
      <c r="GE7" s="8"/>
      <c r="GF7" s="8"/>
      <c r="GG7" s="8"/>
      <c r="GH7" s="8"/>
      <c r="GI7" s="279"/>
      <c r="GJ7" s="8"/>
      <c r="GK7" s="8"/>
      <c r="GL7" s="8"/>
      <c r="GM7" s="8"/>
      <c r="GN7" s="8"/>
      <c r="GO7" s="8"/>
      <c r="GP7" s="8"/>
      <c r="GQ7" s="8"/>
      <c r="GR7" s="8"/>
      <c r="GS7" s="8"/>
      <c r="GT7" s="8"/>
      <c r="GU7" s="279"/>
      <c r="GV7" s="8"/>
      <c r="GW7" s="8"/>
      <c r="GX7" s="8"/>
      <c r="GY7" s="8"/>
      <c r="GZ7" s="8"/>
      <c r="HA7" s="8"/>
      <c r="HB7" s="8"/>
      <c r="HC7" s="8"/>
      <c r="HD7" s="8"/>
      <c r="HE7" s="8"/>
      <c r="HF7" s="8"/>
      <c r="HG7" s="279"/>
      <c r="HH7" s="8"/>
      <c r="HI7" s="8"/>
      <c r="HJ7" s="8"/>
      <c r="HK7" s="8"/>
      <c r="HL7" s="8"/>
      <c r="HM7" s="8"/>
      <c r="HN7" s="8"/>
      <c r="HO7" s="8"/>
      <c r="HP7" s="8"/>
      <c r="HQ7" s="8"/>
    </row>
    <row r="8" spans="1:226" s="19" customFormat="1" x14ac:dyDescent="0.25">
      <c r="A8" s="8" t="s">
        <v>4617</v>
      </c>
      <c r="B8" s="24" t="s">
        <v>4618</v>
      </c>
      <c r="C8" s="25" t="s">
        <v>4619</v>
      </c>
      <c r="D8" s="26"/>
      <c r="E8" s="26" t="s">
        <v>1762</v>
      </c>
      <c r="F8" s="198" t="s">
        <v>1700</v>
      </c>
      <c r="G8" s="198" t="s">
        <v>1700</v>
      </c>
      <c r="H8" s="25" t="s">
        <v>1700</v>
      </c>
      <c r="I8" s="27" t="s">
        <v>3893</v>
      </c>
      <c r="J8" s="27" t="s">
        <v>866</v>
      </c>
      <c r="K8" s="28" t="s">
        <v>859</v>
      </c>
      <c r="L8" s="29"/>
      <c r="M8" s="29"/>
      <c r="N8" s="29"/>
      <c r="O8" s="29"/>
      <c r="P8" s="17"/>
      <c r="Q8" s="176"/>
      <c r="R8" s="29"/>
      <c r="S8" s="8"/>
      <c r="T8" s="8"/>
      <c r="U8" s="8"/>
      <c r="V8" s="8"/>
      <c r="W8" s="93">
        <v>250</v>
      </c>
      <c r="X8" s="84" t="s">
        <v>1700</v>
      </c>
      <c r="Y8" s="84" t="s">
        <v>1113</v>
      </c>
      <c r="Z8" s="84"/>
      <c r="AA8" s="84" t="s">
        <v>4620</v>
      </c>
      <c r="AB8" s="84" t="s">
        <v>670</v>
      </c>
      <c r="AC8" s="26">
        <v>42439</v>
      </c>
      <c r="AD8" s="26" t="s">
        <v>859</v>
      </c>
      <c r="AE8" s="8" t="s">
        <v>2237</v>
      </c>
      <c r="AF8" s="8">
        <v>500</v>
      </c>
      <c r="AG8" s="8">
        <v>250</v>
      </c>
      <c r="AH8" s="26"/>
      <c r="AI8" s="8"/>
      <c r="AJ8" s="8"/>
      <c r="AK8" s="8"/>
      <c r="AL8" s="8"/>
      <c r="AM8" s="26"/>
      <c r="AN8" s="8"/>
      <c r="AO8" s="8"/>
      <c r="AP8" s="8"/>
      <c r="AQ8" s="8"/>
      <c r="AR8" s="26"/>
      <c r="AS8" s="8"/>
      <c r="AT8" s="8"/>
      <c r="AU8" s="8"/>
      <c r="AV8" s="8"/>
      <c r="AW8" s="26"/>
      <c r="AX8" s="8"/>
      <c r="AY8" s="8"/>
      <c r="AZ8" s="8"/>
      <c r="BA8" s="8"/>
      <c r="BB8" s="26"/>
      <c r="BC8" s="8"/>
      <c r="BD8" s="8"/>
      <c r="BE8" s="8"/>
      <c r="BF8" s="8"/>
      <c r="BG8" s="26"/>
      <c r="BH8" s="8"/>
      <c r="BI8" s="8"/>
      <c r="BJ8" s="8"/>
      <c r="BK8" s="8"/>
      <c r="BL8" s="26"/>
      <c r="BM8" s="8"/>
      <c r="BN8" s="8"/>
      <c r="BO8" s="8"/>
      <c r="BP8" s="8"/>
      <c r="BQ8" s="26"/>
      <c r="BR8" s="8"/>
      <c r="BS8" s="8"/>
      <c r="BT8" s="8"/>
      <c r="BU8" s="8"/>
      <c r="BV8" s="26"/>
      <c r="BW8" s="8"/>
      <c r="BX8" s="8"/>
      <c r="BY8" s="8"/>
      <c r="BZ8" s="8"/>
      <c r="CA8" s="8"/>
      <c r="CB8" s="278"/>
      <c r="CC8" s="278"/>
      <c r="CD8" s="8"/>
      <c r="CE8" s="8"/>
      <c r="CF8" s="279"/>
      <c r="CG8" s="278"/>
      <c r="CH8" s="26"/>
      <c r="CI8" s="8"/>
      <c r="CJ8" s="8"/>
      <c r="CK8" s="8"/>
      <c r="CL8" s="26"/>
      <c r="CM8" s="26"/>
      <c r="CN8" s="8"/>
      <c r="CO8" s="8"/>
      <c r="CP8" s="8"/>
      <c r="CQ8" s="26"/>
      <c r="CR8" s="26"/>
      <c r="CS8" s="8"/>
      <c r="CT8" s="8"/>
      <c r="CU8" s="8"/>
      <c r="CV8" s="26"/>
      <c r="CW8" s="8"/>
      <c r="CX8" s="8"/>
      <c r="CY8" s="8"/>
      <c r="CZ8" s="8"/>
      <c r="DA8" s="26"/>
      <c r="DB8" s="8"/>
      <c r="DC8" s="8"/>
      <c r="DD8" s="8"/>
      <c r="DE8" s="8"/>
      <c r="DF8" s="26"/>
      <c r="DG8" s="8"/>
      <c r="DH8" s="8"/>
      <c r="DI8" s="8"/>
      <c r="DJ8" s="8"/>
      <c r="DK8" s="26"/>
      <c r="DL8" s="8"/>
      <c r="DM8" s="8"/>
      <c r="DN8" s="8"/>
      <c r="DO8" s="8"/>
      <c r="DP8" s="26"/>
      <c r="DQ8" s="8"/>
      <c r="DR8" s="8"/>
      <c r="DS8" s="8"/>
      <c r="DT8" s="8"/>
      <c r="DU8" s="26"/>
      <c r="DV8" s="8"/>
      <c r="DW8" s="8"/>
      <c r="DX8" s="8"/>
      <c r="DY8" s="8"/>
      <c r="DZ8" s="8"/>
      <c r="EB8" s="8"/>
      <c r="EC8" s="8"/>
      <c r="ED8" s="8"/>
      <c r="EE8" s="8"/>
      <c r="EF8" s="8"/>
      <c r="EG8" s="8"/>
      <c r="EH8" s="8"/>
      <c r="EI8" s="8"/>
      <c r="EJ8" s="8"/>
      <c r="EK8" s="8"/>
      <c r="EL8" s="8"/>
      <c r="EN8" s="8"/>
      <c r="EO8" s="8"/>
      <c r="EP8" s="8"/>
      <c r="EQ8" s="8"/>
      <c r="ER8" s="8"/>
      <c r="ES8" s="8"/>
      <c r="ET8" s="8"/>
      <c r="EU8" s="8"/>
      <c r="EV8" s="8"/>
      <c r="EW8" s="8"/>
      <c r="EX8" s="8"/>
      <c r="EZ8" s="8"/>
      <c r="FA8" s="8"/>
      <c r="FB8" s="8"/>
      <c r="FC8" s="8"/>
      <c r="FD8" s="8"/>
      <c r="FE8" s="8"/>
      <c r="FF8" s="8"/>
      <c r="FG8" s="8"/>
      <c r="FH8" s="8"/>
      <c r="FI8" s="8"/>
      <c r="FJ8" s="8"/>
      <c r="FL8" s="8"/>
      <c r="FM8" s="8"/>
      <c r="FN8" s="8"/>
      <c r="FO8" s="8"/>
      <c r="FP8" s="8"/>
      <c r="FQ8" s="8"/>
      <c r="FR8" s="8"/>
      <c r="FS8" s="8"/>
      <c r="FT8" s="8"/>
      <c r="FU8" s="8"/>
      <c r="FV8" s="8"/>
      <c r="FX8" s="8"/>
      <c r="FY8" s="8"/>
      <c r="FZ8" s="8"/>
      <c r="GA8" s="8"/>
      <c r="GB8" s="8"/>
      <c r="GC8" s="8"/>
      <c r="GD8" s="8"/>
      <c r="GE8" s="8"/>
      <c r="GF8" s="8"/>
      <c r="GG8" s="8"/>
      <c r="GH8" s="8"/>
      <c r="GJ8" s="8"/>
      <c r="GK8" s="8"/>
      <c r="GL8" s="8"/>
      <c r="GM8" s="8"/>
      <c r="GN8" s="8"/>
      <c r="GO8" s="8"/>
      <c r="GP8" s="8"/>
      <c r="GQ8" s="8"/>
      <c r="GR8" s="8"/>
      <c r="GS8" s="8"/>
      <c r="GT8" s="8"/>
      <c r="GV8" s="8"/>
      <c r="GW8" s="8"/>
      <c r="GX8" s="8"/>
      <c r="GY8" s="8"/>
      <c r="GZ8" s="8"/>
      <c r="HA8" s="8"/>
      <c r="HB8" s="8"/>
      <c r="HC8" s="8"/>
      <c r="HD8" s="8"/>
      <c r="HE8" s="8"/>
      <c r="HF8" s="8"/>
      <c r="HH8" s="8"/>
      <c r="HI8" s="8"/>
      <c r="HJ8" s="8"/>
      <c r="HK8" s="8"/>
      <c r="HL8" s="8"/>
      <c r="HM8" s="8"/>
      <c r="HN8" s="8"/>
      <c r="HO8" s="8"/>
      <c r="HP8" s="8"/>
      <c r="HQ8" s="8"/>
    </row>
    <row r="9" spans="1:226" s="19" customFormat="1" ht="13.5" x14ac:dyDescent="0.25">
      <c r="A9" s="8" t="s">
        <v>2493</v>
      </c>
      <c r="B9" s="24" t="s">
        <v>2494</v>
      </c>
      <c r="C9" s="25"/>
      <c r="D9" s="26"/>
      <c r="E9" s="26" t="s">
        <v>1768</v>
      </c>
      <c r="F9" s="198" t="s">
        <v>927</v>
      </c>
      <c r="G9" s="198" t="s">
        <v>1700</v>
      </c>
      <c r="H9" s="25" t="s">
        <v>1700</v>
      </c>
      <c r="I9" s="27" t="s">
        <v>3901</v>
      </c>
      <c r="J9" s="27" t="s">
        <v>866</v>
      </c>
      <c r="K9" s="28" t="s">
        <v>851</v>
      </c>
      <c r="L9" s="29"/>
      <c r="M9" s="29"/>
      <c r="N9" s="29"/>
      <c r="O9" s="29"/>
      <c r="P9" s="17"/>
      <c r="Q9" s="176"/>
      <c r="R9" s="29" t="s">
        <v>851</v>
      </c>
      <c r="S9" s="8"/>
      <c r="T9" s="8"/>
      <c r="U9" s="8"/>
      <c r="V9" s="8"/>
      <c r="W9" s="93">
        <v>0</v>
      </c>
      <c r="X9" s="84"/>
      <c r="Y9" s="84"/>
      <c r="Z9" s="84"/>
      <c r="AA9" s="84"/>
      <c r="AB9" s="84"/>
      <c r="AC9" s="26"/>
      <c r="AD9" s="26"/>
      <c r="AE9" s="8"/>
      <c r="AF9" s="8"/>
      <c r="AG9" s="8"/>
      <c r="AH9" s="26"/>
      <c r="AI9" s="8"/>
      <c r="AJ9" s="8"/>
      <c r="AK9" s="8"/>
      <c r="AL9" s="8"/>
      <c r="AM9" s="26"/>
      <c r="AN9" s="8"/>
      <c r="AO9" s="8"/>
      <c r="AP9" s="8"/>
      <c r="AQ9" s="8"/>
      <c r="AR9" s="26"/>
      <c r="AS9" s="8"/>
      <c r="AT9" s="8"/>
      <c r="AU9" s="8"/>
      <c r="AV9" s="8"/>
      <c r="AW9" s="26"/>
      <c r="AX9" s="8"/>
      <c r="AY9" s="8"/>
      <c r="AZ9" s="8"/>
      <c r="BA9" s="8"/>
      <c r="BB9" s="26"/>
      <c r="BC9" s="8"/>
      <c r="BD9" s="8"/>
      <c r="BE9" s="8"/>
      <c r="BF9" s="8"/>
      <c r="BG9" s="26"/>
      <c r="BH9" s="8"/>
      <c r="BI9" s="8"/>
      <c r="BJ9" s="8"/>
      <c r="BK9" s="8"/>
      <c r="BL9" s="26"/>
      <c r="BM9" s="8"/>
      <c r="BN9" s="8"/>
      <c r="BO9" s="8"/>
      <c r="BP9" s="8"/>
      <c r="BQ9" s="26"/>
      <c r="BR9" s="8"/>
      <c r="BS9" s="8"/>
      <c r="BT9" s="8"/>
      <c r="BU9" s="8"/>
      <c r="BV9" s="26"/>
      <c r="BW9" s="8"/>
      <c r="BX9" s="8"/>
      <c r="BY9" s="8"/>
      <c r="BZ9" s="8"/>
      <c r="CA9" s="8"/>
      <c r="CB9" s="278"/>
      <c r="CC9" s="278"/>
      <c r="CD9"/>
      <c r="CE9" s="8"/>
      <c r="CF9" s="279"/>
      <c r="CG9" s="278"/>
      <c r="CH9" s="278"/>
      <c r="CI9"/>
      <c r="CJ9" s="8"/>
      <c r="CK9" s="279"/>
      <c r="CL9" s="278"/>
      <c r="CM9" s="278"/>
      <c r="CN9"/>
      <c r="CO9" s="8"/>
      <c r="CP9" s="279"/>
      <c r="CQ9"/>
      <c r="CR9"/>
      <c r="CS9"/>
      <c r="CT9" s="8"/>
      <c r="CU9"/>
      <c r="CV9"/>
      <c r="CW9"/>
      <c r="CX9"/>
      <c r="CY9" s="8"/>
      <c r="CZ9"/>
      <c r="DA9"/>
      <c r="DB9"/>
      <c r="DC9"/>
      <c r="DD9" s="8"/>
      <c r="DE9"/>
      <c r="DF9"/>
      <c r="DG9"/>
      <c r="DH9"/>
      <c r="DI9" s="8"/>
      <c r="DJ9"/>
      <c r="DK9"/>
      <c r="DL9"/>
      <c r="DM9"/>
      <c r="DN9" s="8"/>
      <c r="DO9"/>
      <c r="DP9"/>
      <c r="DQ9"/>
      <c r="DR9"/>
      <c r="DS9" s="8"/>
      <c r="DT9"/>
      <c r="DU9"/>
      <c r="DV9"/>
      <c r="DW9"/>
      <c r="DX9" s="8"/>
      <c r="DY9"/>
      <c r="DZ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L9" s="8"/>
      <c r="FM9" s="8"/>
      <c r="FN9" s="8"/>
      <c r="FO9" s="8"/>
      <c r="FP9" s="8"/>
      <c r="FQ9" s="8"/>
      <c r="FR9" s="8"/>
      <c r="FS9" s="8"/>
      <c r="FT9" s="8"/>
      <c r="FU9" s="8"/>
      <c r="FV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/>
      <c r="GJ9" s="8"/>
      <c r="GK9" s="8"/>
      <c r="GL9" s="8"/>
      <c r="GM9" s="8"/>
      <c r="GN9" s="8"/>
      <c r="GO9" s="8"/>
      <c r="GP9" s="8"/>
      <c r="GQ9" s="8"/>
      <c r="GR9" s="8"/>
      <c r="GS9" s="8"/>
      <c r="GT9" s="8"/>
      <c r="GV9" s="8"/>
      <c r="GW9" s="8"/>
      <c r="GX9" s="8"/>
      <c r="GY9" s="8"/>
      <c r="GZ9" s="8"/>
      <c r="HA9" s="8"/>
      <c r="HB9" s="8"/>
      <c r="HC9" s="8"/>
      <c r="HD9" s="8"/>
      <c r="HE9" s="8"/>
      <c r="HF9" s="8"/>
      <c r="HH9" s="8"/>
      <c r="HI9" s="8"/>
      <c r="HJ9" s="8"/>
      <c r="HK9" s="8"/>
      <c r="HL9" s="8"/>
      <c r="HM9" s="8"/>
      <c r="HN9" s="8"/>
      <c r="HO9" s="8"/>
      <c r="HP9" s="8"/>
      <c r="HQ9" s="8"/>
    </row>
    <row r="10" spans="1:226" s="19" customFormat="1" x14ac:dyDescent="0.25">
      <c r="A10" s="8" t="s">
        <v>1196</v>
      </c>
      <c r="B10" s="24" t="s">
        <v>875</v>
      </c>
      <c r="C10" s="25" t="s">
        <v>1197</v>
      </c>
      <c r="D10" s="26"/>
      <c r="E10" s="26" t="s">
        <v>1762</v>
      </c>
      <c r="F10" s="198" t="s">
        <v>2142</v>
      </c>
      <c r="G10" s="198" t="s">
        <v>946</v>
      </c>
      <c r="H10" s="25" t="s">
        <v>4747</v>
      </c>
      <c r="I10" s="27" t="s">
        <v>3894</v>
      </c>
      <c r="J10" s="27" t="s">
        <v>866</v>
      </c>
      <c r="K10" s="28" t="s">
        <v>853</v>
      </c>
      <c r="L10" s="29"/>
      <c r="M10" s="29"/>
      <c r="N10" s="29"/>
      <c r="O10" s="29"/>
      <c r="P10" s="17"/>
      <c r="Q10" s="176"/>
      <c r="R10" s="29" t="s">
        <v>853</v>
      </c>
      <c r="S10" s="8"/>
      <c r="T10" s="8"/>
      <c r="U10" s="8"/>
      <c r="V10" s="8"/>
      <c r="W10" s="93">
        <v>160</v>
      </c>
      <c r="X10" s="84" t="s">
        <v>1700</v>
      </c>
      <c r="Y10" s="84" t="s">
        <v>4750</v>
      </c>
      <c r="Z10" s="84"/>
      <c r="AA10" s="84" t="s">
        <v>4751</v>
      </c>
      <c r="AB10" s="84" t="s">
        <v>987</v>
      </c>
      <c r="AC10" s="26">
        <v>42453</v>
      </c>
      <c r="AD10" s="8" t="s">
        <v>853</v>
      </c>
      <c r="AE10" s="8" t="s">
        <v>4752</v>
      </c>
      <c r="AF10" s="8">
        <v>348</v>
      </c>
      <c r="AG10" s="8">
        <v>160</v>
      </c>
      <c r="AH10" s="26"/>
      <c r="AI10" s="8"/>
      <c r="AJ10" s="8"/>
      <c r="AK10" s="8"/>
      <c r="AL10" s="8"/>
      <c r="AM10" s="26"/>
      <c r="AN10" s="8"/>
      <c r="AO10" s="8"/>
      <c r="AP10" s="8"/>
      <c r="AQ10" s="8"/>
      <c r="AR10" s="26"/>
      <c r="AS10" s="8"/>
      <c r="AT10" s="8"/>
      <c r="AU10" s="8"/>
      <c r="AV10" s="8"/>
      <c r="AW10" s="26"/>
      <c r="AX10" s="8"/>
      <c r="AY10" s="8"/>
      <c r="AZ10" s="8"/>
      <c r="BA10" s="8"/>
      <c r="BB10" s="26"/>
      <c r="BC10" s="8"/>
      <c r="BD10" s="8"/>
      <c r="BE10" s="8"/>
      <c r="BF10" s="8"/>
      <c r="BG10" s="26"/>
      <c r="BH10" s="8"/>
      <c r="BI10" s="8"/>
      <c r="BJ10" s="8"/>
      <c r="BK10" s="8"/>
      <c r="BO10" s="8"/>
      <c r="BT10" s="8"/>
      <c r="BY10" s="8"/>
      <c r="CA10" s="8"/>
      <c r="CB10" s="26">
        <v>42097</v>
      </c>
      <c r="CC10" s="8" t="s">
        <v>853</v>
      </c>
      <c r="CD10" s="8" t="s">
        <v>2486</v>
      </c>
      <c r="CE10" s="8">
        <v>398.4</v>
      </c>
      <c r="CF10" s="8">
        <v>160</v>
      </c>
      <c r="CG10" s="26"/>
      <c r="CH10" s="8"/>
      <c r="CI10" s="8"/>
      <c r="CJ10" s="8"/>
      <c r="CK10" s="8"/>
      <c r="CL10" s="26"/>
      <c r="CM10" s="8"/>
      <c r="CN10" s="8"/>
      <c r="CO10" s="8"/>
      <c r="CP10" s="8"/>
      <c r="CQ10" s="26"/>
      <c r="CR10" s="8"/>
      <c r="CS10" s="8"/>
      <c r="CT10" s="8"/>
      <c r="CU10" s="8"/>
      <c r="CV10" s="26"/>
      <c r="CW10" s="8"/>
      <c r="CX10" s="8"/>
      <c r="CY10" s="8"/>
      <c r="CZ10" s="8"/>
      <c r="DA10" s="26"/>
      <c r="DB10" s="8"/>
      <c r="DC10" s="8"/>
      <c r="DD10" s="8"/>
      <c r="DE10" s="8"/>
      <c r="DF10" s="26"/>
      <c r="DG10" s="8"/>
      <c r="DH10" s="8"/>
      <c r="DI10" s="8"/>
      <c r="DJ10" s="8"/>
      <c r="DZ10" s="257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N10" s="8"/>
      <c r="EO10" s="8"/>
      <c r="EP10" s="8"/>
      <c r="EQ10" s="8"/>
      <c r="ER10" s="8"/>
      <c r="ES10" s="8"/>
      <c r="ET10" s="8"/>
      <c r="EU10" s="8"/>
      <c r="EV10" s="8"/>
      <c r="EW10" s="8"/>
      <c r="EX10" s="8"/>
      <c r="EZ10" s="8"/>
      <c r="FA10" s="8"/>
      <c r="FB10" s="8"/>
      <c r="FC10" s="8"/>
      <c r="FD10" s="8"/>
      <c r="FE10" s="8"/>
      <c r="FF10" s="8"/>
      <c r="FG10" s="8"/>
      <c r="FH10" s="8"/>
      <c r="FI10" s="8"/>
      <c r="FJ10" s="8"/>
      <c r="FL10" s="8"/>
      <c r="FM10" s="8"/>
      <c r="FN10" s="8"/>
      <c r="FO10" s="8"/>
      <c r="FP10" s="8"/>
      <c r="FQ10" s="8"/>
      <c r="FR10" s="8"/>
      <c r="FS10" s="8"/>
      <c r="FT10" s="8"/>
      <c r="FU10" s="8"/>
      <c r="FV10" s="8"/>
      <c r="FX10" s="8"/>
      <c r="FY10" s="8"/>
      <c r="FZ10" s="8"/>
      <c r="GA10" s="8"/>
      <c r="GB10" s="8"/>
      <c r="GC10" s="8"/>
      <c r="GD10" s="8"/>
      <c r="GE10" s="8"/>
      <c r="GF10" s="8"/>
      <c r="GG10" s="8"/>
      <c r="GH10" s="8"/>
      <c r="GJ10" s="8"/>
      <c r="GK10" s="8"/>
      <c r="GL10" s="8"/>
      <c r="GM10" s="8"/>
      <c r="GN10" s="8"/>
      <c r="GO10" s="8"/>
      <c r="GP10" s="8"/>
      <c r="GQ10" s="8"/>
      <c r="GR10" s="8"/>
      <c r="GS10" s="8"/>
      <c r="GT10" s="8"/>
      <c r="GV10" s="8"/>
      <c r="GW10" s="8"/>
      <c r="GX10" s="8"/>
      <c r="GY10" s="8"/>
      <c r="GZ10" s="8"/>
      <c r="HA10" s="8"/>
      <c r="HB10" s="8"/>
      <c r="HC10" s="8"/>
      <c r="HD10" s="8"/>
      <c r="HE10" s="8"/>
      <c r="HF10" s="8"/>
      <c r="HH10" s="8"/>
      <c r="HI10" s="8"/>
      <c r="HJ10" s="8"/>
      <c r="HK10" s="8"/>
      <c r="HL10" s="8"/>
      <c r="HM10" s="8"/>
      <c r="HN10" s="8"/>
      <c r="HO10" s="8"/>
      <c r="HP10" s="8"/>
      <c r="HQ10" s="8"/>
    </row>
    <row r="11" spans="1:226" s="19" customFormat="1" x14ac:dyDescent="0.25">
      <c r="A11" s="8" t="s">
        <v>3648</v>
      </c>
      <c r="B11" s="24" t="s">
        <v>3649</v>
      </c>
      <c r="C11" s="25" t="s">
        <v>3647</v>
      </c>
      <c r="D11" s="26"/>
      <c r="E11" s="26" t="s">
        <v>1762</v>
      </c>
      <c r="F11" s="198" t="s">
        <v>746</v>
      </c>
      <c r="G11" s="198" t="s">
        <v>1700</v>
      </c>
      <c r="H11" s="25" t="s">
        <v>3650</v>
      </c>
      <c r="I11" s="27"/>
      <c r="J11" s="27" t="s">
        <v>866</v>
      </c>
      <c r="K11" s="28"/>
      <c r="L11" s="29"/>
      <c r="M11" s="29"/>
      <c r="N11" s="29"/>
      <c r="O11" s="29"/>
      <c r="P11" s="17"/>
      <c r="Q11" s="176"/>
      <c r="R11" s="29" t="s">
        <v>853</v>
      </c>
      <c r="S11" s="8"/>
      <c r="T11" s="8"/>
      <c r="U11" s="8"/>
      <c r="V11" s="8"/>
      <c r="W11" s="93">
        <v>0</v>
      </c>
      <c r="X11" s="84" t="s">
        <v>1700</v>
      </c>
      <c r="Y11" s="84" t="s">
        <v>3477</v>
      </c>
      <c r="Z11" s="84"/>
      <c r="AA11" s="84" t="s">
        <v>3651</v>
      </c>
      <c r="AB11" s="84" t="s">
        <v>1193</v>
      </c>
      <c r="AC11" s="26"/>
      <c r="AD11" s="26"/>
      <c r="AE11" s="8"/>
      <c r="AF11" s="8"/>
      <c r="AG11" s="8"/>
      <c r="AH11" s="26"/>
      <c r="AI11" s="8"/>
      <c r="AJ11" s="8"/>
      <c r="AK11" s="8"/>
      <c r="AL11" s="8"/>
      <c r="AM11" s="26"/>
      <c r="AN11" s="8"/>
      <c r="AO11" s="8"/>
      <c r="AP11" s="8"/>
      <c r="AQ11" s="8"/>
      <c r="AR11" s="26"/>
      <c r="AS11" s="8"/>
      <c r="AT11" s="8"/>
      <c r="AU11" s="8"/>
      <c r="AV11" s="8"/>
      <c r="AW11" s="26"/>
      <c r="AX11" s="8"/>
      <c r="AY11" s="8"/>
      <c r="AZ11" s="8"/>
      <c r="BA11" s="8"/>
      <c r="BB11" s="26"/>
      <c r="BC11" s="8"/>
      <c r="BD11" s="8"/>
      <c r="BE11" s="8"/>
      <c r="BF11" s="8"/>
      <c r="BG11" s="26"/>
      <c r="BH11" s="8"/>
      <c r="BI11" s="8"/>
      <c r="BJ11" s="8"/>
      <c r="BK11" s="8"/>
      <c r="BL11" s="26"/>
      <c r="BM11" s="8"/>
      <c r="BN11" s="8"/>
      <c r="BO11" s="8"/>
      <c r="BP11" s="8"/>
      <c r="BQ11" s="26"/>
      <c r="BR11" s="8"/>
      <c r="BS11" s="8"/>
      <c r="BT11" s="8"/>
      <c r="BU11" s="8"/>
      <c r="BV11" s="26"/>
      <c r="BW11" s="8"/>
      <c r="BX11" s="8"/>
      <c r="BY11" s="8"/>
      <c r="BZ11" s="8"/>
      <c r="CA11" s="8"/>
      <c r="CB11" s="278">
        <v>42097</v>
      </c>
      <c r="CC11" s="278" t="s">
        <v>853</v>
      </c>
      <c r="CD11" s="8" t="s">
        <v>3652</v>
      </c>
      <c r="CE11" s="8">
        <v>391.8</v>
      </c>
      <c r="CF11" s="279">
        <v>160</v>
      </c>
      <c r="CG11" s="278"/>
      <c r="CH11" s="26"/>
      <c r="CI11" s="8"/>
      <c r="CJ11" s="8"/>
      <c r="CK11" s="8"/>
      <c r="CL11" s="26"/>
      <c r="CM11" s="26"/>
      <c r="CN11" s="8"/>
      <c r="CO11" s="8"/>
      <c r="CP11" s="8"/>
      <c r="CQ11" s="26"/>
      <c r="CR11" s="26"/>
      <c r="CS11" s="8"/>
      <c r="CT11" s="8"/>
      <c r="CU11" s="8"/>
      <c r="CV11" s="26"/>
      <c r="CW11" s="8"/>
      <c r="CX11" s="8"/>
      <c r="CY11" s="8"/>
      <c r="CZ11" s="8"/>
      <c r="DA11" s="26"/>
      <c r="DB11" s="8"/>
      <c r="DC11" s="8"/>
      <c r="DD11" s="8"/>
      <c r="DE11" s="8"/>
      <c r="DF11" s="26"/>
      <c r="DG11" s="8"/>
      <c r="DH11" s="8"/>
      <c r="DI11" s="8"/>
      <c r="DJ11" s="8"/>
      <c r="DK11" s="26"/>
      <c r="DL11" s="8"/>
      <c r="DM11" s="8"/>
      <c r="DN11" s="8"/>
      <c r="DO11" s="8"/>
      <c r="DP11" s="26"/>
      <c r="DQ11" s="8"/>
      <c r="DR11" s="8"/>
      <c r="DS11" s="8"/>
      <c r="DT11" s="8"/>
      <c r="DU11" s="26"/>
      <c r="DV11" s="8"/>
      <c r="DW11" s="8"/>
      <c r="DX11" s="8"/>
      <c r="DY11" s="8"/>
      <c r="DZ11" s="8"/>
      <c r="EB11" s="8"/>
      <c r="EC11" s="8"/>
      <c r="ED11" s="8"/>
      <c r="EE11" s="8"/>
      <c r="EF11" s="8"/>
      <c r="EG11" s="8"/>
      <c r="EH11" s="8"/>
      <c r="EI11" s="8"/>
      <c r="EJ11" s="8"/>
      <c r="EK11" s="8"/>
      <c r="EL11" s="8"/>
      <c r="EN11" s="8"/>
      <c r="EO11" s="8"/>
      <c r="EP11" s="8"/>
      <c r="EQ11" s="8"/>
      <c r="ER11" s="8"/>
      <c r="ES11" s="8"/>
      <c r="ET11" s="8"/>
      <c r="EU11" s="8"/>
      <c r="EV11" s="8"/>
      <c r="EW11" s="8"/>
      <c r="EX11" s="8"/>
      <c r="EZ11" s="8"/>
      <c r="FA11" s="8"/>
      <c r="FB11" s="8"/>
      <c r="FC11" s="8"/>
      <c r="FD11" s="8"/>
      <c r="FE11" s="8"/>
      <c r="FF11" s="8"/>
      <c r="FG11" s="8"/>
      <c r="FH11" s="8"/>
      <c r="FI11" s="8"/>
      <c r="FJ11" s="8"/>
      <c r="FL11" s="8"/>
      <c r="FM11" s="8"/>
      <c r="FN11" s="8"/>
      <c r="FO11" s="8"/>
      <c r="FP11" s="8"/>
      <c r="FQ11" s="8"/>
      <c r="FR11" s="8"/>
      <c r="FS11" s="8"/>
      <c r="FT11" s="8"/>
      <c r="FU11" s="8"/>
      <c r="FV11" s="8"/>
      <c r="FX11" s="8"/>
      <c r="FY11" s="8"/>
      <c r="FZ11" s="8"/>
      <c r="GA11" s="8"/>
      <c r="GB11" s="8"/>
      <c r="GC11" s="8"/>
      <c r="GD11" s="8"/>
      <c r="GE11" s="8"/>
      <c r="GF11" s="8"/>
      <c r="GG11" s="8"/>
      <c r="GH11" s="8"/>
      <c r="GJ11" s="8"/>
      <c r="GK11" s="8"/>
      <c r="GL11" s="8"/>
      <c r="GM11" s="8"/>
      <c r="GN11" s="8"/>
      <c r="GO11" s="8"/>
      <c r="GP11" s="8"/>
      <c r="GQ11" s="8"/>
      <c r="GR11" s="8"/>
      <c r="GS11" s="8"/>
      <c r="GT11" s="8"/>
      <c r="GV11" s="8"/>
      <c r="GW11" s="8"/>
      <c r="GX11" s="8"/>
      <c r="GY11" s="8"/>
      <c r="GZ11" s="8"/>
      <c r="HA11" s="8"/>
      <c r="HB11" s="8"/>
      <c r="HC11" s="8"/>
      <c r="HD11" s="8"/>
      <c r="HE11" s="8"/>
      <c r="HF11" s="8"/>
      <c r="HH11" s="8"/>
      <c r="HI11" s="8"/>
      <c r="HJ11" s="8"/>
      <c r="HK11" s="8"/>
      <c r="HL11" s="8"/>
      <c r="HM11" s="8"/>
      <c r="HN11" s="8"/>
      <c r="HO11" s="8"/>
      <c r="HP11" s="8"/>
      <c r="HQ11" s="8"/>
    </row>
    <row r="12" spans="1:226" s="19" customFormat="1" x14ac:dyDescent="0.25">
      <c r="A12" s="8" t="s">
        <v>2009</v>
      </c>
      <c r="B12" s="24" t="s">
        <v>1471</v>
      </c>
      <c r="C12" s="25" t="s">
        <v>997</v>
      </c>
      <c r="D12" s="26"/>
      <c r="E12" s="26" t="s">
        <v>1762</v>
      </c>
      <c r="F12" s="198" t="s">
        <v>2142</v>
      </c>
      <c r="G12" s="198" t="s">
        <v>1879</v>
      </c>
      <c r="H12" s="25" t="s">
        <v>3724</v>
      </c>
      <c r="I12" s="27" t="s">
        <v>3893</v>
      </c>
      <c r="J12" s="27" t="s">
        <v>866</v>
      </c>
      <c r="K12" s="28" t="s">
        <v>816</v>
      </c>
      <c r="L12" s="29"/>
      <c r="M12" s="29"/>
      <c r="N12" s="29"/>
      <c r="O12" s="29"/>
      <c r="P12" s="17"/>
      <c r="Q12" s="176"/>
      <c r="R12" s="29" t="s">
        <v>853</v>
      </c>
      <c r="S12" s="8"/>
      <c r="T12" s="8"/>
      <c r="U12" s="8"/>
      <c r="V12" s="8"/>
      <c r="W12" s="93">
        <v>0</v>
      </c>
      <c r="X12" s="84" t="s">
        <v>1700</v>
      </c>
      <c r="Y12" s="84" t="s">
        <v>791</v>
      </c>
      <c r="Z12" s="84"/>
      <c r="AA12" s="84" t="s">
        <v>998</v>
      </c>
      <c r="AB12" s="84" t="s">
        <v>126</v>
      </c>
      <c r="AC12" s="26"/>
      <c r="AD12" s="26"/>
      <c r="AE12" s="8"/>
      <c r="AF12" s="8"/>
      <c r="AG12" s="8"/>
      <c r="AH12" s="26"/>
      <c r="AI12" s="8"/>
      <c r="AJ12" s="8"/>
      <c r="AK12" s="8"/>
      <c r="AL12" s="8"/>
      <c r="AM12" s="26"/>
      <c r="AN12" s="8"/>
      <c r="AO12" s="8"/>
      <c r="AP12" s="8"/>
      <c r="AQ12" s="8"/>
      <c r="AR12" s="26"/>
      <c r="AS12" s="8"/>
      <c r="AT12" s="8"/>
      <c r="AU12" s="8"/>
      <c r="AV12" s="8"/>
      <c r="AW12" s="26"/>
      <c r="AX12" s="8"/>
      <c r="AY12" s="8"/>
      <c r="AZ12" s="8"/>
      <c r="BA12" s="8"/>
      <c r="BB12" s="26"/>
      <c r="BC12" s="8"/>
      <c r="BD12" s="8"/>
      <c r="BE12" s="8"/>
      <c r="BF12" s="8"/>
      <c r="BG12" s="26"/>
      <c r="BH12" s="8"/>
      <c r="BI12" s="8"/>
      <c r="BJ12" s="8"/>
      <c r="BK12" s="8"/>
      <c r="BL12" s="26"/>
      <c r="BM12" s="8"/>
      <c r="BN12" s="8"/>
      <c r="BO12" s="8"/>
      <c r="BP12" s="8"/>
      <c r="BQ12" s="26"/>
      <c r="BR12" s="8"/>
      <c r="BS12" s="8"/>
      <c r="BT12" s="8"/>
      <c r="BU12" s="8"/>
      <c r="BV12" s="26"/>
      <c r="BW12" s="8"/>
      <c r="BX12" s="8"/>
      <c r="BY12" s="8"/>
      <c r="BZ12" s="8"/>
      <c r="CB12" s="26">
        <v>42135</v>
      </c>
      <c r="CC12" s="26" t="s">
        <v>853</v>
      </c>
      <c r="CD12" s="8" t="s">
        <v>3725</v>
      </c>
      <c r="CE12" s="8">
        <v>60</v>
      </c>
      <c r="CF12" s="8">
        <v>30</v>
      </c>
      <c r="CG12" s="26">
        <v>42135</v>
      </c>
      <c r="CH12" s="8" t="s">
        <v>853</v>
      </c>
      <c r="CI12" s="8" t="s">
        <v>3726</v>
      </c>
      <c r="CJ12" s="8">
        <v>60</v>
      </c>
      <c r="CK12" s="8">
        <v>30</v>
      </c>
      <c r="CL12" s="26"/>
      <c r="CM12" s="8"/>
      <c r="CN12" s="8"/>
      <c r="CO12" s="8"/>
      <c r="CP12" s="8"/>
      <c r="CQ12" s="26"/>
      <c r="CR12" s="8"/>
      <c r="CS12" s="8"/>
      <c r="CT12" s="8"/>
      <c r="CU12" s="8"/>
      <c r="CV12" s="26"/>
      <c r="CW12" s="8"/>
      <c r="CX12" s="8"/>
      <c r="CY12" s="8"/>
      <c r="CZ12" s="8"/>
      <c r="DA12" s="26"/>
      <c r="DB12" s="8"/>
      <c r="DC12" s="8"/>
      <c r="DD12" s="8"/>
      <c r="DE12" s="8"/>
      <c r="DF12" s="26"/>
      <c r="DG12" s="8"/>
      <c r="DH12" s="8"/>
      <c r="DI12" s="8"/>
      <c r="DJ12" s="8"/>
      <c r="DK12" s="26"/>
      <c r="DL12" s="8"/>
      <c r="DM12" s="8"/>
      <c r="DN12" s="8"/>
      <c r="DO12" s="8"/>
      <c r="DP12" s="26"/>
      <c r="DQ12" s="8"/>
      <c r="DR12" s="8"/>
      <c r="DS12" s="8"/>
      <c r="DT12" s="8"/>
      <c r="DU12" s="26"/>
      <c r="DV12" s="8"/>
      <c r="DW12" s="8"/>
      <c r="DX12" s="8"/>
      <c r="DY12" s="8"/>
      <c r="DZ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Z12" s="8"/>
      <c r="FA12" s="8"/>
      <c r="FB12" s="8"/>
      <c r="FC12" s="8"/>
      <c r="FD12" s="8"/>
      <c r="FE12" s="8"/>
      <c r="FF12" s="8"/>
      <c r="FG12" s="8"/>
      <c r="FH12" s="8"/>
      <c r="FI12" s="8"/>
      <c r="FJ12" s="8"/>
      <c r="FL12" s="8"/>
      <c r="FM12" s="8"/>
      <c r="FN12" s="8"/>
      <c r="FO12" s="8"/>
      <c r="FP12" s="8"/>
      <c r="FQ12" s="8"/>
      <c r="FR12" s="8"/>
      <c r="FS12" s="8"/>
      <c r="FT12" s="8"/>
      <c r="FU12" s="8"/>
      <c r="FV12" s="8"/>
      <c r="FX12" s="8"/>
      <c r="FY12" s="8"/>
      <c r="FZ12" s="8"/>
      <c r="GA12" s="8"/>
      <c r="GB12" s="8"/>
      <c r="GC12" s="8"/>
      <c r="GD12" s="8"/>
      <c r="GE12" s="8"/>
      <c r="GF12" s="8"/>
      <c r="GG12" s="8"/>
      <c r="GH12" s="8"/>
      <c r="GJ12" s="8"/>
      <c r="GK12" s="8"/>
      <c r="GL12" s="8"/>
      <c r="GM12" s="8"/>
      <c r="GN12" s="8"/>
      <c r="GO12" s="8"/>
      <c r="GP12" s="8"/>
      <c r="GQ12" s="8"/>
      <c r="GR12" s="8"/>
      <c r="GS12" s="8"/>
      <c r="GT12" s="8"/>
      <c r="GV12" s="8"/>
      <c r="GW12" s="8"/>
      <c r="GX12" s="8"/>
      <c r="GY12" s="8"/>
      <c r="GZ12" s="8"/>
      <c r="HA12" s="8"/>
      <c r="HB12" s="8"/>
      <c r="HC12" s="8"/>
      <c r="HD12" s="8"/>
      <c r="HE12" s="8"/>
      <c r="HF12" s="8"/>
      <c r="HH12" s="8"/>
      <c r="HI12" s="8"/>
      <c r="HJ12" s="8"/>
      <c r="HK12" s="8"/>
      <c r="HL12" s="8"/>
      <c r="HM12" s="8"/>
      <c r="HN12" s="8"/>
      <c r="HO12" s="8"/>
      <c r="HP12" s="8"/>
      <c r="HQ12" s="8"/>
    </row>
    <row r="13" spans="1:226" s="19" customFormat="1" ht="13.5" x14ac:dyDescent="0.25">
      <c r="A13" s="8" t="s">
        <v>45</v>
      </c>
      <c r="B13" s="24" t="s">
        <v>1949</v>
      </c>
      <c r="C13" s="25" t="s">
        <v>44</v>
      </c>
      <c r="D13" s="26"/>
      <c r="E13" s="26" t="s">
        <v>1762</v>
      </c>
      <c r="F13" s="198" t="s">
        <v>2142</v>
      </c>
      <c r="G13" s="198" t="s">
        <v>502</v>
      </c>
      <c r="H13" s="25" t="s">
        <v>2667</v>
      </c>
      <c r="I13" s="27" t="s">
        <v>3901</v>
      </c>
      <c r="J13" s="27" t="s">
        <v>866</v>
      </c>
      <c r="K13" s="28" t="s">
        <v>853</v>
      </c>
      <c r="L13" s="29"/>
      <c r="M13" s="29"/>
      <c r="N13" s="29"/>
      <c r="O13" s="29"/>
      <c r="P13" s="17"/>
      <c r="Q13" s="176"/>
      <c r="R13" s="29" t="s">
        <v>853</v>
      </c>
      <c r="S13" s="8"/>
      <c r="T13" s="8"/>
      <c r="U13" s="8"/>
      <c r="V13" s="8"/>
      <c r="W13" s="93">
        <v>130</v>
      </c>
      <c r="X13" s="84" t="s">
        <v>1700</v>
      </c>
      <c r="Y13" s="84" t="s">
        <v>246</v>
      </c>
      <c r="Z13" s="84"/>
      <c r="AA13" s="84" t="s">
        <v>46</v>
      </c>
      <c r="AB13" s="84" t="s">
        <v>126</v>
      </c>
      <c r="AC13" s="26">
        <v>42311</v>
      </c>
      <c r="AD13" s="26" t="s">
        <v>853</v>
      </c>
      <c r="AE13" s="8" t="s">
        <v>4111</v>
      </c>
      <c r="AF13" s="8">
        <v>260</v>
      </c>
      <c r="AG13" s="8">
        <v>130</v>
      </c>
      <c r="AH13" s="26"/>
      <c r="AI13" s="8"/>
      <c r="AJ13" s="8"/>
      <c r="AK13" s="8"/>
      <c r="AL13" s="8"/>
      <c r="AM13" s="26"/>
      <c r="AN13" s="8"/>
      <c r="AO13" s="8"/>
      <c r="AP13" s="8"/>
      <c r="AQ13" s="8"/>
      <c r="AR13" s="26"/>
      <c r="AS13" s="8"/>
      <c r="AT13" s="8"/>
      <c r="AU13" s="8"/>
      <c r="AV13" s="8"/>
      <c r="AW13" s="26"/>
      <c r="AX13" s="8"/>
      <c r="AY13" s="8"/>
      <c r="AZ13" s="8"/>
      <c r="BA13" s="8"/>
      <c r="BB13" s="26"/>
      <c r="BC13" s="8"/>
      <c r="BD13" s="8"/>
      <c r="BE13" s="8"/>
      <c r="BF13" s="8"/>
      <c r="BG13" s="26"/>
      <c r="BH13" s="8"/>
      <c r="BI13" s="8"/>
      <c r="BJ13" s="8"/>
      <c r="BK13" s="8"/>
      <c r="BL13" s="26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26">
        <v>41921</v>
      </c>
      <c r="CC13" s="26" t="s">
        <v>853</v>
      </c>
      <c r="CD13" s="8" t="s">
        <v>2668</v>
      </c>
      <c r="CE13" s="8">
        <v>260</v>
      </c>
      <c r="CF13" s="8">
        <v>130</v>
      </c>
      <c r="CG13" s="26"/>
      <c r="CH13" s="8"/>
      <c r="CI13" s="8"/>
      <c r="CJ13" s="8"/>
      <c r="CK13" s="8"/>
      <c r="CL13" s="26"/>
      <c r="CM13" s="8"/>
      <c r="CN13" s="8"/>
      <c r="CO13" s="8"/>
      <c r="CP13" s="8"/>
      <c r="CQ13" s="26"/>
      <c r="CR13" s="8"/>
      <c r="CS13" s="8"/>
      <c r="CT13" s="8"/>
      <c r="CU13" s="8"/>
      <c r="CV13" s="26"/>
      <c r="CW13" s="8"/>
      <c r="CX13" s="8"/>
      <c r="CY13" s="8"/>
      <c r="CZ13" s="8"/>
      <c r="DA13" s="26"/>
      <c r="DB13" s="8"/>
      <c r="DC13" s="8"/>
      <c r="DD13" s="8"/>
      <c r="DE13" s="8"/>
      <c r="DF13" s="26"/>
      <c r="DG13" s="8"/>
      <c r="DH13" s="8"/>
      <c r="DI13" s="8"/>
      <c r="DJ13" s="8"/>
      <c r="DK13" s="26"/>
      <c r="DL13" s="8"/>
      <c r="DM13" s="8"/>
      <c r="DN13" s="8"/>
      <c r="DO13" s="8"/>
      <c r="DP13" s="26"/>
      <c r="DQ13" s="8"/>
      <c r="DR13" s="8"/>
      <c r="DS13" s="8"/>
      <c r="DT13" s="8"/>
      <c r="DU13" s="26"/>
      <c r="DV13" s="8"/>
      <c r="DW13" s="8"/>
      <c r="DX13" s="8"/>
      <c r="DY13" s="8"/>
      <c r="DZ13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N13" s="8"/>
      <c r="EO13" s="8"/>
      <c r="EP13" s="8"/>
      <c r="EQ13" s="8"/>
      <c r="ER13" s="8"/>
      <c r="ES13" s="8"/>
      <c r="ET13" s="8"/>
      <c r="EU13" s="8"/>
      <c r="EV13" s="8"/>
      <c r="EW13" s="8"/>
      <c r="EX13" s="8"/>
      <c r="EZ13" s="8"/>
      <c r="FA13" s="8"/>
      <c r="FB13" s="8"/>
      <c r="FC13" s="8"/>
      <c r="FD13" s="8"/>
      <c r="FE13" s="8"/>
      <c r="FF13" s="8"/>
      <c r="FG13" s="8"/>
      <c r="FH13" s="8"/>
      <c r="FI13" s="8"/>
      <c r="FJ13" s="8"/>
      <c r="FL13" s="8"/>
      <c r="FM13" s="8"/>
      <c r="FN13" s="8"/>
      <c r="FO13" s="8"/>
      <c r="FP13" s="8"/>
      <c r="FQ13" s="8"/>
      <c r="FR13" s="8"/>
      <c r="FS13" s="8"/>
      <c r="FT13" s="8"/>
      <c r="FU13" s="8"/>
      <c r="FV13" s="8"/>
      <c r="FX13" s="8"/>
      <c r="FY13" s="8"/>
      <c r="FZ13" s="8"/>
      <c r="GA13" s="8"/>
      <c r="GB13" s="8"/>
      <c r="GC13" s="8"/>
      <c r="GD13" s="8"/>
      <c r="GE13" s="8"/>
      <c r="GF13" s="8"/>
      <c r="GG13" s="8"/>
      <c r="GH13" s="8"/>
      <c r="GJ13" s="8"/>
      <c r="GK13" s="8"/>
      <c r="GL13" s="8"/>
      <c r="GM13" s="8"/>
      <c r="GN13" s="8"/>
      <c r="GO13" s="8"/>
      <c r="GP13" s="8"/>
      <c r="GQ13" s="8"/>
      <c r="GR13" s="8"/>
      <c r="GS13" s="8"/>
      <c r="GT13" s="8"/>
      <c r="GV13" s="8"/>
      <c r="GW13" s="8"/>
      <c r="GX13" s="8"/>
      <c r="GY13" s="8"/>
      <c r="GZ13" s="8"/>
      <c r="HA13" s="8"/>
      <c r="HB13" s="8"/>
      <c r="HC13" s="8"/>
      <c r="HD13" s="8"/>
      <c r="HE13" s="8"/>
      <c r="HF13" s="8"/>
      <c r="HH13" s="8"/>
      <c r="HI13" s="8"/>
      <c r="HJ13" s="8"/>
      <c r="HK13" s="8"/>
      <c r="HL13" s="8"/>
      <c r="HM13" s="8"/>
      <c r="HN13" s="8"/>
      <c r="HO13" s="8"/>
      <c r="HP13" s="8"/>
      <c r="HQ13" s="8"/>
    </row>
    <row r="14" spans="1:226" s="19" customFormat="1" x14ac:dyDescent="0.25">
      <c r="A14" s="8" t="s">
        <v>4106</v>
      </c>
      <c r="B14" s="24" t="s">
        <v>974</v>
      </c>
      <c r="C14" s="25"/>
      <c r="D14" s="26"/>
      <c r="E14" s="26"/>
      <c r="F14" s="198" t="s">
        <v>1700</v>
      </c>
      <c r="G14" s="198" t="s">
        <v>1700</v>
      </c>
      <c r="H14" s="25" t="s">
        <v>1700</v>
      </c>
      <c r="I14" s="27" t="s">
        <v>3902</v>
      </c>
      <c r="J14" s="27" t="s">
        <v>866</v>
      </c>
      <c r="K14" s="28" t="s">
        <v>3906</v>
      </c>
      <c r="L14" s="29" t="s">
        <v>816</v>
      </c>
      <c r="M14" s="29"/>
      <c r="N14" s="29"/>
      <c r="O14" s="29"/>
      <c r="P14" s="17"/>
      <c r="Q14" s="176"/>
      <c r="R14" s="29"/>
      <c r="S14" s="8"/>
      <c r="T14" s="8"/>
      <c r="U14" s="8"/>
      <c r="V14" s="8"/>
      <c r="W14" s="93">
        <v>0</v>
      </c>
      <c r="X14" s="84"/>
      <c r="Y14" s="84"/>
      <c r="Z14" s="84"/>
      <c r="AA14" s="84"/>
      <c r="AB14" s="84"/>
      <c r="AC14" s="26"/>
      <c r="AD14" s="26"/>
      <c r="AE14" s="8"/>
      <c r="AF14" s="8"/>
      <c r="AG14" s="8"/>
      <c r="AH14" s="26"/>
      <c r="AI14" s="8"/>
      <c r="AJ14" s="8"/>
      <c r="AK14" s="8"/>
      <c r="AL14" s="8"/>
      <c r="AM14" s="26"/>
      <c r="AN14" s="8"/>
      <c r="AO14" s="8"/>
      <c r="AP14" s="8"/>
      <c r="AQ14" s="8"/>
      <c r="AR14" s="26"/>
      <c r="AS14" s="8"/>
      <c r="AT14" s="8"/>
      <c r="AU14" s="8"/>
      <c r="AV14" s="8"/>
      <c r="AW14" s="26"/>
      <c r="AX14" s="8"/>
      <c r="AY14" s="8"/>
      <c r="AZ14" s="8"/>
      <c r="BA14" s="8"/>
      <c r="BB14" s="26"/>
      <c r="BC14" s="8"/>
      <c r="BD14" s="8"/>
      <c r="BE14" s="8"/>
      <c r="BF14" s="8"/>
      <c r="BG14" s="26"/>
      <c r="BH14" s="8"/>
      <c r="BI14" s="8"/>
      <c r="BJ14" s="8"/>
      <c r="BK14" s="8"/>
      <c r="BL14" s="26"/>
      <c r="BM14" s="8"/>
      <c r="BN14" s="8"/>
      <c r="BO14" s="8"/>
      <c r="BP14" s="8"/>
      <c r="BQ14" s="26"/>
      <c r="BR14" s="8"/>
      <c r="BS14" s="8"/>
      <c r="BT14" s="8"/>
      <c r="BU14" s="8"/>
      <c r="BV14" s="26"/>
      <c r="BW14" s="8"/>
      <c r="BX14" s="8"/>
      <c r="BY14" s="8"/>
      <c r="BZ14" s="8"/>
      <c r="CB14" s="278"/>
      <c r="CC14" s="278"/>
      <c r="CD14" s="279"/>
      <c r="CE14" s="8"/>
      <c r="CF14" s="279"/>
      <c r="CG14" s="278"/>
      <c r="CH14" s="278"/>
      <c r="CI14" s="279"/>
      <c r="CJ14" s="8"/>
      <c r="CK14" s="279"/>
      <c r="CL14" s="278"/>
      <c r="CM14" s="278"/>
      <c r="CN14" s="279"/>
      <c r="CO14" s="8"/>
      <c r="CP14" s="279"/>
      <c r="CQ14" s="278"/>
      <c r="CR14" s="279"/>
      <c r="CS14" s="279"/>
      <c r="CT14" s="8"/>
      <c r="CU14" s="279"/>
      <c r="CV14" s="278"/>
      <c r="CW14" s="279"/>
      <c r="CX14" s="279"/>
      <c r="CY14" s="8"/>
      <c r="CZ14" s="279"/>
      <c r="DA14" s="278"/>
      <c r="DB14" s="279"/>
      <c r="DC14" s="279"/>
      <c r="DD14" s="8"/>
      <c r="DE14" s="279"/>
      <c r="DF14" s="257"/>
      <c r="DG14" s="257"/>
      <c r="DH14" s="257"/>
      <c r="DI14" s="8"/>
      <c r="DJ14" s="257"/>
      <c r="DK14" s="257"/>
      <c r="DL14" s="257"/>
      <c r="DM14" s="257"/>
      <c r="DN14" s="8"/>
      <c r="DO14" s="257"/>
      <c r="DP14" s="257"/>
      <c r="DQ14" s="257"/>
      <c r="DR14" s="257"/>
      <c r="DS14" s="8"/>
      <c r="DT14" s="257"/>
      <c r="DU14" s="257"/>
      <c r="DV14" s="257"/>
      <c r="DW14" s="257"/>
      <c r="DX14" s="8"/>
      <c r="DY14" s="257"/>
      <c r="DZ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/>
      <c r="EN14" s="8"/>
      <c r="EO14" s="8"/>
      <c r="EP14" s="8"/>
      <c r="EQ14" s="8"/>
      <c r="ER14" s="8"/>
      <c r="ES14" s="8"/>
      <c r="ET14" s="8"/>
      <c r="EU14" s="8"/>
      <c r="EV14" s="8"/>
      <c r="EW14" s="8"/>
      <c r="EX14" s="8"/>
      <c r="EZ14" s="8"/>
      <c r="FA14" s="8"/>
      <c r="FB14" s="8"/>
      <c r="FC14" s="8"/>
      <c r="FD14" s="8"/>
      <c r="FE14" s="8"/>
      <c r="FF14" s="8"/>
      <c r="FG14" s="8"/>
      <c r="FH14" s="8"/>
      <c r="FI14" s="8"/>
      <c r="FJ14" s="8"/>
      <c r="FL14" s="8"/>
      <c r="FM14" s="8"/>
      <c r="FN14" s="8"/>
      <c r="FO14" s="8"/>
      <c r="FP14" s="8"/>
      <c r="FQ14" s="8"/>
      <c r="FR14" s="8"/>
      <c r="FS14" s="8"/>
      <c r="FT14" s="8"/>
      <c r="FU14" s="8"/>
      <c r="FV14" s="8"/>
      <c r="FX14" s="8"/>
      <c r="FY14" s="8"/>
      <c r="FZ14" s="8"/>
      <c r="GA14" s="8"/>
      <c r="GB14" s="8"/>
      <c r="GC14" s="8"/>
      <c r="GD14" s="8"/>
      <c r="GE14" s="8"/>
      <c r="GF14" s="8"/>
      <c r="GG14" s="8"/>
      <c r="GH14" s="8"/>
      <c r="GJ14" s="8"/>
      <c r="GK14" s="8"/>
      <c r="GL14" s="8"/>
      <c r="GM14" s="8"/>
      <c r="GN14" s="8"/>
      <c r="GO14" s="8"/>
      <c r="GP14" s="8"/>
      <c r="GQ14" s="8"/>
      <c r="GR14" s="8"/>
      <c r="GS14" s="8"/>
      <c r="GT14" s="8"/>
      <c r="GV14" s="8"/>
      <c r="GW14" s="8"/>
      <c r="GX14" s="8"/>
      <c r="GY14" s="8"/>
      <c r="GZ14" s="8"/>
      <c r="HA14" s="8"/>
      <c r="HB14" s="8"/>
      <c r="HC14" s="8"/>
      <c r="HD14" s="8"/>
      <c r="HE14" s="8"/>
      <c r="HF14" s="8"/>
      <c r="HH14" s="8"/>
      <c r="HI14" s="8"/>
      <c r="HJ14" s="8"/>
      <c r="HK14" s="8"/>
      <c r="HL14" s="8"/>
      <c r="HM14" s="8"/>
      <c r="HN14" s="8"/>
      <c r="HO14" s="8"/>
      <c r="HP14" s="8"/>
      <c r="HQ14" s="8"/>
    </row>
    <row r="15" spans="1:226" s="19" customFormat="1" x14ac:dyDescent="0.25">
      <c r="A15" s="8" t="s">
        <v>2602</v>
      </c>
      <c r="B15" s="24" t="s">
        <v>836</v>
      </c>
      <c r="C15" s="25" t="s">
        <v>837</v>
      </c>
      <c r="D15" s="26"/>
      <c r="E15" s="26" t="s">
        <v>1762</v>
      </c>
      <c r="F15" s="198" t="s">
        <v>194</v>
      </c>
      <c r="G15" s="198" t="s">
        <v>1700</v>
      </c>
      <c r="H15" s="25" t="s">
        <v>2707</v>
      </c>
      <c r="I15" s="27" t="s">
        <v>3901</v>
      </c>
      <c r="J15" s="27" t="s">
        <v>866</v>
      </c>
      <c r="K15" s="28" t="s">
        <v>853</v>
      </c>
      <c r="L15" s="29"/>
      <c r="M15" s="29"/>
      <c r="N15" s="29"/>
      <c r="O15" s="29"/>
      <c r="P15" s="17"/>
      <c r="Q15" s="176"/>
      <c r="R15" s="29" t="s">
        <v>853</v>
      </c>
      <c r="S15" s="8"/>
      <c r="T15" s="8"/>
      <c r="U15" s="8"/>
      <c r="V15" s="8"/>
      <c r="W15" s="93">
        <v>160</v>
      </c>
      <c r="X15" s="84" t="s">
        <v>1700</v>
      </c>
      <c r="Y15" s="84" t="s">
        <v>791</v>
      </c>
      <c r="Z15" s="84"/>
      <c r="AA15" s="84" t="s">
        <v>838</v>
      </c>
      <c r="AB15" s="84" t="s">
        <v>126</v>
      </c>
      <c r="AC15" s="26">
        <v>42311</v>
      </c>
      <c r="AD15" s="26" t="s">
        <v>853</v>
      </c>
      <c r="AE15" s="8" t="s">
        <v>4060</v>
      </c>
      <c r="AF15" s="8">
        <v>504</v>
      </c>
      <c r="AG15" s="8">
        <v>160</v>
      </c>
      <c r="AH15" s="26"/>
      <c r="AI15" s="8"/>
      <c r="AJ15" s="8"/>
      <c r="AK15" s="8"/>
      <c r="AL15" s="8"/>
      <c r="AM15" s="26"/>
      <c r="AN15" s="8"/>
      <c r="AO15" s="8"/>
      <c r="AP15" s="8"/>
      <c r="AQ15" s="8"/>
      <c r="AR15" s="26"/>
      <c r="AS15" s="8"/>
      <c r="AT15" s="8"/>
      <c r="AU15" s="8"/>
      <c r="AV15" s="8"/>
      <c r="AW15" s="26"/>
      <c r="AX15" s="8"/>
      <c r="AY15" s="8"/>
      <c r="AZ15" s="8"/>
      <c r="BA15" s="8"/>
      <c r="BB15" s="26"/>
      <c r="BC15" s="8"/>
      <c r="BD15" s="8"/>
      <c r="BE15" s="8"/>
      <c r="BF15" s="8"/>
      <c r="BG15" s="26"/>
      <c r="BH15" s="8"/>
      <c r="BI15" s="8"/>
      <c r="BJ15" s="8"/>
      <c r="BK15" s="8"/>
      <c r="BL15" s="26"/>
      <c r="BM15" s="8"/>
      <c r="BN15" s="8"/>
      <c r="BO15" s="8"/>
      <c r="BP15" s="8"/>
      <c r="BQ15" s="26"/>
      <c r="BR15" s="8"/>
      <c r="BS15" s="8"/>
      <c r="BT15" s="8"/>
      <c r="BU15" s="8"/>
      <c r="BV15" s="26"/>
      <c r="BW15" s="8"/>
      <c r="BX15" s="8"/>
      <c r="BY15" s="8"/>
      <c r="BZ15" s="8"/>
      <c r="CA15" s="8"/>
      <c r="CB15" s="26">
        <v>41921</v>
      </c>
      <c r="CC15" s="26" t="s">
        <v>853</v>
      </c>
      <c r="CD15" s="8" t="s">
        <v>2708</v>
      </c>
      <c r="CE15" s="8">
        <v>435</v>
      </c>
      <c r="CF15" s="8">
        <v>160</v>
      </c>
      <c r="CG15" s="26"/>
      <c r="CH15" s="8"/>
      <c r="CI15" s="8"/>
      <c r="CJ15" s="8"/>
      <c r="CK15" s="8"/>
      <c r="CL15" s="26"/>
      <c r="CM15" s="8"/>
      <c r="CN15" s="8"/>
      <c r="CO15" s="8"/>
      <c r="CP15" s="8"/>
      <c r="CQ15" s="26"/>
      <c r="CR15" s="8"/>
      <c r="CS15" s="8"/>
      <c r="CT15" s="8"/>
      <c r="CU15" s="8"/>
      <c r="CV15" s="26"/>
      <c r="CW15" s="8"/>
      <c r="CX15" s="8"/>
      <c r="CY15" s="8"/>
      <c r="CZ15" s="8"/>
      <c r="DA15" s="26"/>
      <c r="DB15" s="8"/>
      <c r="DC15" s="8"/>
      <c r="DD15" s="8"/>
      <c r="DE15" s="8"/>
      <c r="DF15" s="26"/>
      <c r="DG15" s="8"/>
      <c r="DH15" s="8"/>
      <c r="DI15" s="8"/>
      <c r="DJ15" s="8"/>
      <c r="DK15" s="26"/>
      <c r="DL15" s="8"/>
      <c r="DM15" s="8"/>
      <c r="DN15" s="8"/>
      <c r="DO15" s="8"/>
      <c r="DP15" s="26"/>
      <c r="DQ15" s="8"/>
      <c r="DR15" s="8"/>
      <c r="DS15" s="8"/>
      <c r="DT15" s="8"/>
      <c r="DU15" s="26"/>
      <c r="DV15" s="8"/>
      <c r="DW15" s="8"/>
      <c r="DX15" s="8"/>
      <c r="DY15" s="8"/>
      <c r="DZ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N15" s="8"/>
      <c r="EO15" s="8"/>
      <c r="EP15" s="8"/>
      <c r="EQ15" s="8"/>
      <c r="ER15" s="8"/>
      <c r="ES15" s="8"/>
      <c r="ET15" s="8"/>
      <c r="EU15" s="8"/>
      <c r="EV15" s="8"/>
      <c r="EW15" s="8"/>
      <c r="EX15" s="8"/>
      <c r="EZ15" s="8"/>
      <c r="FA15" s="8"/>
      <c r="FB15" s="8"/>
      <c r="FC15" s="8"/>
      <c r="FD15" s="8"/>
      <c r="FE15" s="8"/>
      <c r="FF15" s="8"/>
      <c r="FG15" s="8"/>
      <c r="FH15" s="8"/>
      <c r="FI15" s="8"/>
      <c r="FJ15" s="8"/>
      <c r="FL15" s="8"/>
      <c r="FM15" s="8"/>
      <c r="FN15" s="8"/>
      <c r="FO15" s="8"/>
      <c r="FP15" s="8"/>
      <c r="FQ15" s="8"/>
      <c r="FR15" s="8"/>
      <c r="FS15" s="8"/>
      <c r="FT15" s="8"/>
      <c r="FU15" s="8"/>
      <c r="FV15" s="8"/>
      <c r="FX15" s="8"/>
      <c r="FY15" s="8"/>
      <c r="FZ15" s="8"/>
      <c r="GA15" s="8"/>
      <c r="GB15" s="8"/>
      <c r="GC15" s="8"/>
      <c r="GD15" s="8"/>
      <c r="GE15" s="8"/>
      <c r="GF15" s="8"/>
      <c r="GG15" s="8"/>
      <c r="GH15" s="8"/>
      <c r="GJ15" s="8"/>
      <c r="GK15" s="8"/>
      <c r="GL15" s="8"/>
      <c r="GM15" s="8"/>
      <c r="GN15" s="8"/>
      <c r="GO15" s="8"/>
      <c r="GP15" s="8"/>
      <c r="GQ15" s="8"/>
      <c r="GR15" s="8"/>
      <c r="GS15" s="8"/>
      <c r="GT15" s="8"/>
      <c r="GV15" s="8"/>
      <c r="GW15" s="8"/>
      <c r="GX15" s="8"/>
      <c r="GY15" s="8"/>
      <c r="GZ15" s="8"/>
      <c r="HA15" s="8"/>
      <c r="HB15" s="8"/>
      <c r="HC15" s="8"/>
      <c r="HD15" s="8"/>
      <c r="HE15" s="8"/>
      <c r="HF15" s="8"/>
      <c r="HH15" s="8"/>
      <c r="HI15" s="8"/>
      <c r="HJ15" s="8"/>
      <c r="HK15" s="8"/>
      <c r="HL15" s="8"/>
      <c r="HM15" s="8"/>
      <c r="HN15" s="8"/>
      <c r="HO15" s="8"/>
      <c r="HP15" s="8"/>
      <c r="HQ15" s="8"/>
    </row>
    <row r="16" spans="1:226" s="19" customFormat="1" x14ac:dyDescent="0.25">
      <c r="A16" s="8" t="s">
        <v>2392</v>
      </c>
      <c r="B16" s="24" t="s">
        <v>792</v>
      </c>
      <c r="C16" s="25" t="s">
        <v>2393</v>
      </c>
      <c r="D16" s="26"/>
      <c r="E16" s="26" t="s">
        <v>896</v>
      </c>
      <c r="F16" s="198" t="s">
        <v>896</v>
      </c>
      <c r="G16" s="198" t="s">
        <v>1700</v>
      </c>
      <c r="H16" s="25" t="s">
        <v>2394</v>
      </c>
      <c r="I16" s="27"/>
      <c r="J16" s="27" t="s">
        <v>866</v>
      </c>
      <c r="K16" s="28"/>
      <c r="L16" s="29"/>
      <c r="M16" s="29"/>
      <c r="N16" s="29"/>
      <c r="O16" s="29"/>
      <c r="P16" s="17"/>
      <c r="Q16" s="176"/>
      <c r="R16" s="29"/>
      <c r="S16" s="8"/>
      <c r="T16" s="8"/>
      <c r="U16" s="8"/>
      <c r="V16" s="8"/>
      <c r="W16" s="93">
        <v>0</v>
      </c>
      <c r="X16" s="84" t="s">
        <v>1700</v>
      </c>
      <c r="Y16" s="84" t="s">
        <v>1000</v>
      </c>
      <c r="Z16" s="84"/>
      <c r="AA16" s="84" t="s">
        <v>2395</v>
      </c>
      <c r="AB16" s="84" t="s">
        <v>1001</v>
      </c>
      <c r="AC16" s="26"/>
      <c r="AD16" s="26"/>
      <c r="AE16" s="8"/>
      <c r="AF16" s="8"/>
      <c r="AG16" s="8"/>
      <c r="AH16" s="26"/>
      <c r="AI16" s="8"/>
      <c r="AJ16" s="8"/>
      <c r="AK16" s="8"/>
      <c r="AL16" s="8"/>
      <c r="AM16" s="26"/>
      <c r="AN16" s="8"/>
      <c r="AO16" s="8"/>
      <c r="AP16" s="8"/>
      <c r="AQ16" s="8"/>
      <c r="AR16" s="26"/>
      <c r="AS16" s="8"/>
      <c r="AT16" s="8"/>
      <c r="AU16" s="8"/>
      <c r="AV16" s="8"/>
      <c r="AW16" s="26"/>
      <c r="AX16" s="8"/>
      <c r="AY16" s="8"/>
      <c r="AZ16" s="8"/>
      <c r="BA16" s="8"/>
      <c r="BB16" s="26"/>
      <c r="BC16" s="8"/>
      <c r="BD16" s="8"/>
      <c r="BE16" s="8"/>
      <c r="BF16" s="8"/>
      <c r="BG16" s="26"/>
      <c r="BH16" s="8"/>
      <c r="BI16" s="8"/>
      <c r="BJ16" s="8"/>
      <c r="BK16" s="8"/>
      <c r="BL16" s="26"/>
      <c r="BM16" s="8"/>
      <c r="BN16" s="8"/>
      <c r="BO16" s="8"/>
      <c r="BP16" s="8"/>
      <c r="BQ16" s="26"/>
      <c r="BR16" s="8"/>
      <c r="BS16" s="8"/>
      <c r="BT16" s="8"/>
      <c r="BU16" s="8"/>
      <c r="BV16" s="26"/>
      <c r="BW16" s="8"/>
      <c r="BX16" s="8"/>
      <c r="BY16" s="8"/>
      <c r="BZ16" s="8"/>
      <c r="CA16" s="8"/>
      <c r="CB16" s="26"/>
      <c r="CC16" s="26"/>
      <c r="CD16" s="8"/>
      <c r="CE16" s="8"/>
      <c r="CF16" s="8"/>
      <c r="CG16" s="26"/>
      <c r="CH16" s="8"/>
      <c r="CI16" s="8"/>
      <c r="CJ16" s="8"/>
      <c r="CK16" s="8"/>
      <c r="CL16" s="26"/>
      <c r="CM16" s="8"/>
      <c r="CN16" s="8"/>
      <c r="CO16" s="8"/>
      <c r="CP16" s="8"/>
      <c r="CQ16" s="26"/>
      <c r="CR16" s="8"/>
      <c r="CS16" s="8"/>
      <c r="CT16" s="8"/>
      <c r="CU16" s="8"/>
      <c r="CV16" s="26"/>
      <c r="CW16" s="8"/>
      <c r="CX16" s="8"/>
      <c r="CY16" s="8"/>
      <c r="CZ16" s="8"/>
      <c r="DA16" s="26"/>
      <c r="DB16" s="8"/>
      <c r="DC16" s="8"/>
      <c r="DD16" s="8"/>
      <c r="DE16" s="8"/>
      <c r="DF16" s="26"/>
      <c r="DG16" s="8"/>
      <c r="DH16" s="8"/>
      <c r="DI16" s="8"/>
      <c r="DJ16" s="8"/>
      <c r="DK16" s="26"/>
      <c r="DL16" s="8"/>
      <c r="DM16" s="8"/>
      <c r="DN16" s="8"/>
      <c r="DO16" s="8"/>
      <c r="DP16" s="26"/>
      <c r="DQ16" s="8"/>
      <c r="DR16" s="8"/>
      <c r="DS16" s="8"/>
      <c r="DT16" s="8"/>
      <c r="DU16" s="26"/>
      <c r="DV16" s="8"/>
      <c r="DW16" s="8"/>
      <c r="DX16" s="8"/>
      <c r="DY16" s="8"/>
      <c r="DZ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N16" s="8"/>
      <c r="EO16" s="8"/>
      <c r="EP16" s="8"/>
      <c r="EQ16" s="8"/>
      <c r="ER16" s="8"/>
      <c r="ES16" s="8"/>
      <c r="ET16" s="8"/>
      <c r="EU16" s="8"/>
      <c r="EV16" s="8"/>
      <c r="EW16" s="8"/>
      <c r="EX16" s="8"/>
      <c r="EZ16" s="8"/>
      <c r="FA16" s="8"/>
      <c r="FB16" s="8"/>
      <c r="FC16" s="8"/>
      <c r="FD16" s="8"/>
      <c r="FE16" s="8"/>
      <c r="FF16" s="8"/>
      <c r="FG16" s="8"/>
      <c r="FH16" s="8"/>
      <c r="FI16" s="8"/>
      <c r="FJ16" s="8"/>
      <c r="FL16" s="8"/>
      <c r="FM16" s="8"/>
      <c r="FN16" s="8"/>
      <c r="FO16" s="8"/>
      <c r="FP16" s="8"/>
      <c r="FQ16" s="8"/>
      <c r="FR16" s="8"/>
      <c r="FS16" s="8"/>
      <c r="FT16" s="8"/>
      <c r="FU16" s="8"/>
      <c r="FV16" s="8"/>
      <c r="FX16" s="8"/>
      <c r="FY16" s="8"/>
      <c r="FZ16" s="8"/>
      <c r="GA16" s="8"/>
      <c r="GB16" s="8"/>
      <c r="GC16" s="8"/>
      <c r="GD16" s="8"/>
      <c r="GE16" s="8"/>
      <c r="GF16" s="8"/>
      <c r="GG16" s="8"/>
      <c r="GH16" s="8"/>
      <c r="GJ16" s="8"/>
      <c r="GK16" s="8"/>
      <c r="GL16" s="8"/>
      <c r="GM16" s="8"/>
      <c r="GN16" s="8"/>
      <c r="GO16" s="8"/>
      <c r="GP16" s="8"/>
      <c r="GQ16" s="8"/>
      <c r="GR16" s="8"/>
      <c r="GS16" s="8"/>
      <c r="GT16" s="8"/>
      <c r="GV16" s="8"/>
      <c r="GW16" s="8"/>
      <c r="GX16" s="8"/>
      <c r="GY16" s="8"/>
      <c r="GZ16" s="8"/>
      <c r="HA16" s="8"/>
      <c r="HB16" s="8"/>
      <c r="HC16" s="8"/>
      <c r="HD16" s="8"/>
      <c r="HE16" s="8"/>
      <c r="HF16" s="8"/>
      <c r="HH16" s="8"/>
      <c r="HI16" s="8"/>
      <c r="HJ16" s="8"/>
      <c r="HK16" s="8"/>
      <c r="HL16" s="8"/>
      <c r="HM16" s="8"/>
      <c r="HN16" s="8"/>
      <c r="HO16" s="8"/>
      <c r="HP16" s="8"/>
      <c r="HQ16" s="8"/>
    </row>
    <row r="17" spans="1:225" s="19" customFormat="1" x14ac:dyDescent="0.25">
      <c r="A17" s="8" t="s">
        <v>2041</v>
      </c>
      <c r="B17" s="24" t="s">
        <v>2042</v>
      </c>
      <c r="C17" s="25" t="s">
        <v>2274</v>
      </c>
      <c r="D17" s="26">
        <v>23201</v>
      </c>
      <c r="E17" s="26" t="s">
        <v>1762</v>
      </c>
      <c r="F17" s="198" t="s">
        <v>1700</v>
      </c>
      <c r="G17" s="198" t="s">
        <v>1700</v>
      </c>
      <c r="H17" s="25" t="s">
        <v>1700</v>
      </c>
      <c r="I17" s="27" t="s">
        <v>3893</v>
      </c>
      <c r="J17" s="27" t="s">
        <v>866</v>
      </c>
      <c r="K17" s="28" t="s">
        <v>816</v>
      </c>
      <c r="L17" s="29"/>
      <c r="M17" s="29"/>
      <c r="N17" s="29"/>
      <c r="O17" s="29"/>
      <c r="P17" s="17"/>
      <c r="Q17" s="176"/>
      <c r="R17" s="29" t="s">
        <v>1416</v>
      </c>
      <c r="S17" s="8" t="s">
        <v>816</v>
      </c>
      <c r="T17" s="8"/>
      <c r="U17" s="8"/>
      <c r="V17" s="8"/>
      <c r="W17" s="93">
        <v>0</v>
      </c>
      <c r="X17" s="84"/>
      <c r="Y17" s="84"/>
      <c r="Z17" s="84"/>
      <c r="AA17" s="84"/>
      <c r="AB17" s="84"/>
      <c r="AC17" s="26"/>
      <c r="AD17" s="26"/>
      <c r="AE17" s="8"/>
      <c r="AF17" s="8"/>
      <c r="AG17" s="8"/>
      <c r="AH17" s="26"/>
      <c r="AI17" s="8"/>
      <c r="AJ17" s="8"/>
      <c r="AK17" s="8"/>
      <c r="AL17" s="8"/>
      <c r="AM17" s="26"/>
      <c r="AN17" s="8"/>
      <c r="AO17" s="8"/>
      <c r="AP17" s="8"/>
      <c r="AQ17" s="8"/>
      <c r="AR17" s="26"/>
      <c r="AS17" s="8"/>
      <c r="AT17" s="8"/>
      <c r="AU17" s="8"/>
      <c r="AV17" s="8"/>
      <c r="AW17" s="26"/>
      <c r="AX17" s="8"/>
      <c r="AY17" s="8"/>
      <c r="AZ17" s="8"/>
      <c r="BA17" s="8"/>
      <c r="BB17" s="26"/>
      <c r="BC17" s="8"/>
      <c r="BD17" s="8"/>
      <c r="BE17" s="8"/>
      <c r="BF17" s="8"/>
      <c r="BG17" s="26"/>
      <c r="BH17" s="8"/>
      <c r="BI17" s="8"/>
      <c r="BJ17" s="8"/>
      <c r="BK17" s="8"/>
      <c r="BL17" s="26"/>
      <c r="BM17" s="8"/>
      <c r="BN17" s="8"/>
      <c r="BO17" s="8"/>
      <c r="BP17" s="8"/>
      <c r="BQ17" s="26"/>
      <c r="BR17" s="8"/>
      <c r="BS17" s="8"/>
      <c r="BT17" s="8"/>
      <c r="BU17" s="8"/>
      <c r="BV17" s="26"/>
      <c r="BW17" s="8"/>
      <c r="BX17" s="8"/>
      <c r="BY17" s="8"/>
      <c r="BZ17" s="8"/>
      <c r="CA17" s="8"/>
      <c r="CB17" s="26"/>
      <c r="CC17" s="26"/>
      <c r="CD17" s="8"/>
      <c r="CE17" s="8"/>
      <c r="CF17" s="8"/>
      <c r="CG17" s="26"/>
      <c r="CH17" s="8"/>
      <c r="CI17" s="8"/>
      <c r="CJ17" s="8"/>
      <c r="CK17" s="8"/>
      <c r="CL17" s="26"/>
      <c r="CM17" s="8"/>
      <c r="CN17" s="8"/>
      <c r="CO17" s="8"/>
      <c r="CP17" s="8"/>
      <c r="CQ17" s="26"/>
      <c r="CR17" s="8"/>
      <c r="CS17" s="8"/>
      <c r="CT17" s="8"/>
      <c r="CU17" s="8"/>
      <c r="CV17" s="26"/>
      <c r="CW17" s="8"/>
      <c r="CX17" s="8"/>
      <c r="CY17" s="8"/>
      <c r="CZ17" s="8"/>
      <c r="DA17" s="26"/>
      <c r="DB17" s="8"/>
      <c r="DC17" s="8"/>
      <c r="DD17" s="8"/>
      <c r="DE17" s="8"/>
      <c r="DF17" s="26"/>
      <c r="DG17" s="8"/>
      <c r="DH17" s="8"/>
      <c r="DI17" s="8"/>
      <c r="DJ17" s="8"/>
      <c r="DK17" s="26"/>
      <c r="DL17" s="8"/>
      <c r="DM17" s="8"/>
      <c r="DN17" s="8"/>
      <c r="DO17" s="8"/>
      <c r="DP17" s="26"/>
      <c r="DQ17" s="8"/>
      <c r="DR17" s="8"/>
      <c r="DS17" s="8"/>
      <c r="DT17" s="8"/>
      <c r="DU17" s="26"/>
      <c r="DV17" s="8"/>
      <c r="DW17" s="8"/>
      <c r="DX17" s="8"/>
      <c r="DY17" s="8"/>
      <c r="DZ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N17" s="8"/>
      <c r="EO17" s="8"/>
      <c r="EP17" s="8"/>
      <c r="EQ17" s="8"/>
      <c r="ER17" s="8"/>
      <c r="ES17" s="8"/>
      <c r="ET17" s="8"/>
      <c r="EU17" s="8"/>
      <c r="EV17" s="8"/>
      <c r="EW17" s="8"/>
      <c r="EX17" s="8"/>
      <c r="EZ17" s="8"/>
      <c r="FA17" s="8"/>
      <c r="FB17" s="8"/>
      <c r="FC17" s="8"/>
      <c r="FD17" s="8"/>
      <c r="FE17" s="8"/>
      <c r="FF17" s="8"/>
      <c r="FG17" s="8"/>
      <c r="FH17" s="8"/>
      <c r="FI17" s="8"/>
      <c r="FJ17" s="8"/>
      <c r="FL17" s="8"/>
      <c r="FM17" s="8"/>
      <c r="FN17" s="8"/>
      <c r="FO17" s="8"/>
      <c r="FP17" s="8"/>
      <c r="FQ17" s="8"/>
      <c r="FR17" s="8"/>
      <c r="FS17" s="8"/>
      <c r="FT17" s="8"/>
      <c r="FU17" s="8"/>
      <c r="FV17" s="8"/>
      <c r="FX17" s="8"/>
      <c r="FY17" s="8"/>
      <c r="FZ17" s="8"/>
      <c r="GA17" s="8"/>
      <c r="GB17" s="8"/>
      <c r="GC17" s="8"/>
      <c r="GD17" s="8"/>
      <c r="GE17" s="8"/>
      <c r="GF17" s="8"/>
      <c r="GG17" s="8"/>
      <c r="GH17" s="8"/>
      <c r="GJ17" s="8"/>
      <c r="GK17" s="8"/>
      <c r="GL17" s="8"/>
      <c r="GM17" s="8"/>
      <c r="GN17" s="8"/>
      <c r="GO17" s="8"/>
      <c r="GP17" s="8"/>
      <c r="GQ17" s="8"/>
      <c r="GR17" s="8"/>
      <c r="GS17" s="8"/>
      <c r="GT17" s="8"/>
      <c r="GV17" s="8"/>
      <c r="GW17" s="8"/>
      <c r="GX17" s="8"/>
      <c r="GY17" s="8"/>
      <c r="GZ17" s="8"/>
      <c r="HA17" s="8"/>
      <c r="HB17" s="8"/>
      <c r="HC17" s="8"/>
      <c r="HD17" s="8"/>
      <c r="HE17" s="8"/>
      <c r="HF17" s="8"/>
      <c r="HH17" s="8"/>
      <c r="HI17" s="8"/>
      <c r="HJ17" s="8"/>
      <c r="HK17" s="8"/>
      <c r="HL17" s="8"/>
      <c r="HM17" s="8"/>
      <c r="HN17" s="8"/>
      <c r="HO17" s="8"/>
      <c r="HP17" s="8"/>
      <c r="HQ17" s="8"/>
    </row>
    <row r="18" spans="1:225" s="19" customFormat="1" ht="13.5" x14ac:dyDescent="0.25">
      <c r="A18" s="8" t="s">
        <v>1304</v>
      </c>
      <c r="B18" s="24" t="s">
        <v>213</v>
      </c>
      <c r="C18" s="25" t="s">
        <v>3846</v>
      </c>
      <c r="D18" s="26">
        <v>25036</v>
      </c>
      <c r="E18" s="26"/>
      <c r="F18" s="198" t="s">
        <v>3848</v>
      </c>
      <c r="G18" s="198" t="s">
        <v>1700</v>
      </c>
      <c r="H18" s="25" t="s">
        <v>1700</v>
      </c>
      <c r="I18" s="27"/>
      <c r="J18" s="27" t="s">
        <v>866</v>
      </c>
      <c r="K18" s="28"/>
      <c r="L18" s="29"/>
      <c r="M18" s="29"/>
      <c r="N18" s="29"/>
      <c r="O18" s="29"/>
      <c r="P18" s="17"/>
      <c r="Q18" s="176"/>
      <c r="R18" s="29" t="s">
        <v>1973</v>
      </c>
      <c r="S18" s="8"/>
      <c r="T18" s="8"/>
      <c r="U18" s="8"/>
      <c r="V18" s="8"/>
      <c r="W18" s="93">
        <v>0</v>
      </c>
      <c r="X18" s="84"/>
      <c r="Y18" s="84"/>
      <c r="Z18" s="84"/>
      <c r="AA18" s="84"/>
      <c r="AB18" s="84"/>
      <c r="AC18" s="26"/>
      <c r="AD18" s="26"/>
      <c r="AE18" s="8"/>
      <c r="AF18" s="8"/>
      <c r="AG18" s="8"/>
      <c r="AH18" s="26"/>
      <c r="AI18" s="8"/>
      <c r="AJ18" s="8"/>
      <c r="AK18" s="8"/>
      <c r="AL18" s="8"/>
      <c r="AM18" s="26"/>
      <c r="AN18" s="8"/>
      <c r="AO18" s="8"/>
      <c r="AP18" s="8"/>
      <c r="AQ18" s="8"/>
      <c r="AR18" s="26"/>
      <c r="AS18" s="8"/>
      <c r="AT18" s="8"/>
      <c r="AU18" s="8"/>
      <c r="AV18" s="8"/>
      <c r="AW18" s="26"/>
      <c r="AX18" s="8"/>
      <c r="AY18" s="8"/>
      <c r="AZ18" s="8"/>
      <c r="BA18" s="8"/>
      <c r="BB18" s="26"/>
      <c r="BC18" s="8"/>
      <c r="BD18" s="8"/>
      <c r="BE18" s="8"/>
      <c r="BF18" s="8"/>
      <c r="BG18" s="26"/>
      <c r="BH18" s="8"/>
      <c r="BI18" s="8"/>
      <c r="BJ18" s="8"/>
      <c r="BK18" s="8"/>
      <c r="BL18" s="26"/>
      <c r="BM18" s="8"/>
      <c r="BN18" s="8"/>
      <c r="BO18" s="8"/>
      <c r="BP18" s="8"/>
      <c r="BQ18" s="26"/>
      <c r="BR18" s="8"/>
      <c r="BS18" s="8"/>
      <c r="BT18" s="8"/>
      <c r="BU18" s="8"/>
      <c r="BV18" s="26"/>
      <c r="BW18" s="8"/>
      <c r="BX18" s="8"/>
      <c r="BY18" s="8"/>
      <c r="BZ18" s="8"/>
      <c r="CA18" s="8"/>
      <c r="CB18" s="278"/>
      <c r="CC18" s="278"/>
      <c r="CD18"/>
      <c r="CE18" s="8"/>
      <c r="CF18" s="279"/>
      <c r="CG18" s="278"/>
      <c r="CH18" s="278"/>
      <c r="CI18"/>
      <c r="CJ18" s="8"/>
      <c r="CK18" s="279"/>
      <c r="CL18" s="278"/>
      <c r="CM18" s="278"/>
      <c r="CN18"/>
      <c r="CO18" s="8"/>
      <c r="CP18" s="279"/>
      <c r="CQ18"/>
      <c r="CR18"/>
      <c r="CS18"/>
      <c r="CT18" s="8"/>
      <c r="CU18"/>
      <c r="CV18"/>
      <c r="CW18"/>
      <c r="CX18"/>
      <c r="CY18" s="8"/>
      <c r="CZ18"/>
      <c r="DA18"/>
      <c r="DB18"/>
      <c r="DC18"/>
      <c r="DD18" s="8"/>
      <c r="DE18"/>
      <c r="DF18"/>
      <c r="DG18"/>
      <c r="DH18"/>
      <c r="DI18" s="8"/>
      <c r="DJ18"/>
      <c r="DK18"/>
      <c r="DL18"/>
      <c r="DM18"/>
      <c r="DN18" s="8"/>
      <c r="DO18"/>
      <c r="DP18"/>
      <c r="DQ18"/>
      <c r="DR18"/>
      <c r="DS18" s="8"/>
      <c r="DT18"/>
      <c r="DU18"/>
      <c r="DV18"/>
      <c r="DW18"/>
      <c r="DX18" s="8"/>
      <c r="DY18"/>
      <c r="DZ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N18" s="8"/>
      <c r="EO18" s="8"/>
      <c r="EP18" s="8"/>
      <c r="EQ18" s="8"/>
      <c r="ER18" s="8"/>
      <c r="ES18" s="8"/>
      <c r="ET18" s="8"/>
      <c r="EU18" s="8"/>
      <c r="EV18" s="8"/>
      <c r="EW18" s="8"/>
      <c r="EX18" s="8"/>
      <c r="EZ18" s="8"/>
      <c r="FA18" s="8"/>
      <c r="FB18" s="8"/>
      <c r="FC18" s="8"/>
      <c r="FD18" s="8"/>
      <c r="FE18" s="8"/>
      <c r="FF18" s="8"/>
      <c r="FG18" s="8"/>
      <c r="FH18" s="8"/>
      <c r="FI18" s="8"/>
      <c r="FJ18" s="8"/>
      <c r="FL18" s="8"/>
      <c r="FM18" s="8"/>
      <c r="FN18" s="8"/>
      <c r="FO18" s="8"/>
      <c r="FP18" s="8"/>
      <c r="FQ18" s="8"/>
      <c r="FR18" s="8"/>
      <c r="FS18" s="8"/>
      <c r="FT18" s="8"/>
      <c r="FU18" s="8"/>
      <c r="FV18" s="8"/>
      <c r="FX18" s="8"/>
      <c r="FY18" s="8"/>
      <c r="FZ18" s="8"/>
      <c r="GA18" s="8"/>
      <c r="GB18" s="8"/>
      <c r="GC18" s="8"/>
      <c r="GD18" s="8"/>
      <c r="GE18" s="8"/>
      <c r="GF18" s="8"/>
      <c r="GG18" s="8"/>
      <c r="GH18" s="8"/>
      <c r="GJ18" s="8"/>
      <c r="GK18" s="8"/>
      <c r="GL18" s="8"/>
      <c r="GM18" s="8"/>
      <c r="GN18" s="8"/>
      <c r="GO18" s="8"/>
      <c r="GP18" s="8"/>
      <c r="GQ18" s="8"/>
      <c r="GR18" s="8"/>
      <c r="GS18" s="8"/>
      <c r="GT18" s="8"/>
      <c r="GV18" s="8"/>
      <c r="GW18" s="8"/>
      <c r="GX18" s="8"/>
      <c r="GY18" s="8"/>
      <c r="GZ18" s="8"/>
      <c r="HA18" s="8"/>
      <c r="HB18" s="8"/>
      <c r="HC18" s="8"/>
      <c r="HD18" s="8"/>
      <c r="HE18" s="8"/>
      <c r="HF18" s="8"/>
      <c r="HH18" s="8"/>
      <c r="HI18" s="8"/>
      <c r="HJ18" s="8"/>
      <c r="HK18" s="8"/>
      <c r="HL18" s="8"/>
      <c r="HM18" s="8"/>
      <c r="HN18" s="8"/>
      <c r="HO18" s="8"/>
      <c r="HP18" s="8"/>
      <c r="HQ18" s="8"/>
    </row>
    <row r="19" spans="1:225" s="19" customFormat="1" x14ac:dyDescent="0.25">
      <c r="A19" s="8" t="s">
        <v>969</v>
      </c>
      <c r="B19" s="24" t="s">
        <v>1670</v>
      </c>
      <c r="C19" s="25" t="s">
        <v>1671</v>
      </c>
      <c r="D19" s="26"/>
      <c r="E19" s="26" t="s">
        <v>1764</v>
      </c>
      <c r="F19" s="198" t="s">
        <v>1672</v>
      </c>
      <c r="G19" s="198" t="s">
        <v>1700</v>
      </c>
      <c r="H19" s="25" t="s">
        <v>2844</v>
      </c>
      <c r="I19" s="27"/>
      <c r="J19" s="27" t="s">
        <v>866</v>
      </c>
      <c r="K19" s="28"/>
      <c r="L19" s="29"/>
      <c r="M19" s="29"/>
      <c r="N19" s="29"/>
      <c r="O19" s="29"/>
      <c r="P19" s="17"/>
      <c r="Q19" s="176"/>
      <c r="R19" s="29" t="s">
        <v>853</v>
      </c>
      <c r="S19" s="8"/>
      <c r="T19" s="8"/>
      <c r="U19" s="8"/>
      <c r="V19" s="8"/>
      <c r="W19" s="93">
        <v>0</v>
      </c>
      <c r="X19" s="84" t="s">
        <v>1700</v>
      </c>
      <c r="Y19" s="84" t="s">
        <v>791</v>
      </c>
      <c r="Z19" s="84"/>
      <c r="AA19" s="84" t="s">
        <v>1673</v>
      </c>
      <c r="AB19" s="84" t="s">
        <v>1650</v>
      </c>
      <c r="AC19" s="26"/>
      <c r="AD19" s="26"/>
      <c r="AE19" s="8"/>
      <c r="AF19" s="8"/>
      <c r="AG19" s="8"/>
      <c r="AH19" s="26"/>
      <c r="AI19" s="8"/>
      <c r="AJ19" s="8"/>
      <c r="AK19" s="8"/>
      <c r="AL19" s="8"/>
      <c r="AM19" s="26"/>
      <c r="AN19" s="8"/>
      <c r="AO19" s="8"/>
      <c r="AP19" s="8"/>
      <c r="AQ19" s="8"/>
      <c r="AR19" s="26"/>
      <c r="AS19" s="8"/>
      <c r="AT19" s="8"/>
      <c r="AU19" s="8"/>
      <c r="AV19" s="8"/>
      <c r="AW19" s="26"/>
      <c r="AX19" s="8"/>
      <c r="AY19" s="8"/>
      <c r="AZ19" s="8"/>
      <c r="BA19" s="8"/>
      <c r="BB19" s="26"/>
      <c r="BC19" s="8"/>
      <c r="BD19" s="8"/>
      <c r="BE19" s="8"/>
      <c r="BF19" s="8"/>
      <c r="BG19" s="26"/>
      <c r="BH19" s="8"/>
      <c r="BI19" s="8"/>
      <c r="BJ19" s="8"/>
      <c r="BK19" s="8"/>
      <c r="BL19" s="26"/>
      <c r="BM19" s="8"/>
      <c r="BN19" s="8"/>
      <c r="BO19" s="8"/>
      <c r="BP19" s="8"/>
      <c r="BQ19" s="26"/>
      <c r="BR19" s="8"/>
      <c r="BS19" s="8"/>
      <c r="BT19" s="8"/>
      <c r="BU19" s="8"/>
      <c r="BV19" s="26"/>
      <c r="BW19" s="8"/>
      <c r="BX19" s="8"/>
      <c r="BY19" s="8"/>
      <c r="BZ19" s="8"/>
      <c r="CA19" s="8"/>
      <c r="CB19" s="26">
        <v>41921</v>
      </c>
      <c r="CC19" s="26" t="s">
        <v>853</v>
      </c>
      <c r="CD19" s="8" t="s">
        <v>2845</v>
      </c>
      <c r="CE19" s="8">
        <v>234</v>
      </c>
      <c r="CF19" s="8">
        <v>117</v>
      </c>
      <c r="CG19" s="26"/>
      <c r="CH19" s="8"/>
      <c r="CI19" s="8"/>
      <c r="CJ19" s="8"/>
      <c r="CK19" s="8"/>
      <c r="CL19" s="26"/>
      <c r="CM19" s="8"/>
      <c r="CN19" s="8"/>
      <c r="CO19" s="8"/>
      <c r="CP19" s="8"/>
      <c r="CQ19" s="26"/>
      <c r="CR19" s="8"/>
      <c r="CS19" s="8"/>
      <c r="CT19" s="8"/>
      <c r="CU19" s="8"/>
      <c r="CV19" s="26"/>
      <c r="CW19" s="8"/>
      <c r="CX19" s="8"/>
      <c r="CY19" s="8"/>
      <c r="CZ19" s="8"/>
      <c r="DA19" s="26"/>
      <c r="DB19" s="8"/>
      <c r="DC19" s="8"/>
      <c r="DD19" s="8"/>
      <c r="DE19" s="8"/>
      <c r="DF19" s="26"/>
      <c r="DG19" s="8"/>
      <c r="DH19" s="8"/>
      <c r="DI19" s="8"/>
      <c r="DJ19" s="8"/>
      <c r="DK19" s="26"/>
      <c r="DL19" s="8"/>
      <c r="DM19" s="8"/>
      <c r="DN19" s="8"/>
      <c r="DO19" s="8"/>
      <c r="DP19" s="26"/>
      <c r="DQ19" s="8"/>
      <c r="DR19" s="8"/>
      <c r="DS19" s="8"/>
      <c r="DT19" s="8"/>
      <c r="DU19" s="26"/>
      <c r="DV19" s="8"/>
      <c r="DW19" s="8"/>
      <c r="DX19" s="8"/>
      <c r="DY19" s="8"/>
      <c r="DZ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N19" s="8"/>
      <c r="EO19" s="8"/>
      <c r="EP19" s="8"/>
      <c r="EQ19" s="8"/>
      <c r="ER19" s="8"/>
      <c r="ES19" s="8"/>
      <c r="ET19" s="8"/>
      <c r="EU19" s="8"/>
      <c r="EV19" s="8"/>
      <c r="EW19" s="8"/>
      <c r="EX19" s="8"/>
      <c r="EZ19" s="8"/>
      <c r="FA19" s="8"/>
      <c r="FB19" s="8"/>
      <c r="FC19" s="8"/>
      <c r="FD19" s="8"/>
      <c r="FE19" s="8"/>
      <c r="FF19" s="8"/>
      <c r="FG19" s="8"/>
      <c r="FH19" s="8"/>
      <c r="FI19" s="8"/>
      <c r="FJ19" s="8"/>
      <c r="FL19" s="8"/>
      <c r="FM19" s="8"/>
      <c r="FN19" s="8"/>
      <c r="FO19" s="8"/>
      <c r="FP19" s="8"/>
      <c r="FQ19" s="8"/>
      <c r="FR19" s="8"/>
      <c r="FS19" s="8"/>
      <c r="FT19" s="8"/>
      <c r="FU19" s="8"/>
      <c r="FV19" s="8"/>
      <c r="FX19" s="8"/>
      <c r="FY19" s="8"/>
      <c r="FZ19" s="8"/>
      <c r="GA19" s="8"/>
      <c r="GB19" s="8"/>
      <c r="GC19" s="8"/>
      <c r="GD19" s="8"/>
      <c r="GE19" s="8"/>
      <c r="GF19" s="8"/>
      <c r="GG19" s="8"/>
      <c r="GH19" s="8"/>
      <c r="GJ19" s="8"/>
      <c r="GK19" s="8"/>
      <c r="GL19" s="8"/>
      <c r="GM19" s="8"/>
      <c r="GN19" s="8"/>
      <c r="GO19" s="8"/>
      <c r="GP19" s="8"/>
      <c r="GQ19" s="8"/>
      <c r="GR19" s="8"/>
      <c r="GS19" s="8"/>
      <c r="GT19" s="8"/>
      <c r="GV19" s="8"/>
      <c r="GW19" s="8"/>
      <c r="GX19" s="8"/>
      <c r="GY19" s="8"/>
      <c r="GZ19" s="8"/>
      <c r="HA19" s="8"/>
      <c r="HB19" s="8"/>
      <c r="HC19" s="8"/>
      <c r="HD19" s="8"/>
      <c r="HE19" s="8"/>
      <c r="HF19" s="8"/>
      <c r="HH19" s="8"/>
      <c r="HI19" s="8"/>
      <c r="HJ19" s="8"/>
      <c r="HK19" s="8"/>
      <c r="HL19" s="8"/>
      <c r="HM19" s="8"/>
      <c r="HN19" s="8"/>
      <c r="HO19" s="8"/>
      <c r="HP19" s="8"/>
      <c r="HQ19" s="8"/>
    </row>
    <row r="20" spans="1:225" s="19" customFormat="1" x14ac:dyDescent="0.25">
      <c r="A20" s="8" t="s">
        <v>2326</v>
      </c>
      <c r="B20" s="24" t="s">
        <v>2327</v>
      </c>
      <c r="C20" s="25" t="s">
        <v>2328</v>
      </c>
      <c r="D20" s="26"/>
      <c r="E20" s="26" t="s">
        <v>1764</v>
      </c>
      <c r="F20" s="198" t="s">
        <v>1467</v>
      </c>
      <c r="G20" s="198" t="s">
        <v>1700</v>
      </c>
      <c r="H20" s="25" t="s">
        <v>2329</v>
      </c>
      <c r="I20" s="27"/>
      <c r="J20" s="27" t="s">
        <v>866</v>
      </c>
      <c r="K20" s="28"/>
      <c r="L20" s="29"/>
      <c r="M20" s="29"/>
      <c r="N20" s="29"/>
      <c r="O20" s="29"/>
      <c r="P20" s="17"/>
      <c r="Q20" s="176"/>
      <c r="R20" s="29" t="s">
        <v>853</v>
      </c>
      <c r="S20" s="8"/>
      <c r="T20" s="8"/>
      <c r="U20" s="8"/>
      <c r="V20" s="8"/>
      <c r="W20" s="93">
        <v>0</v>
      </c>
      <c r="X20" s="84" t="s">
        <v>1700</v>
      </c>
      <c r="Y20" s="84" t="s">
        <v>2324</v>
      </c>
      <c r="Z20" s="84"/>
      <c r="AA20" s="84" t="s">
        <v>2331</v>
      </c>
      <c r="AB20" s="84" t="s">
        <v>2330</v>
      </c>
      <c r="AC20" s="26"/>
      <c r="AD20" s="26"/>
      <c r="AE20" s="8"/>
      <c r="AF20" s="8"/>
      <c r="AG20" s="8"/>
      <c r="AH20" s="26"/>
      <c r="AI20" s="8"/>
      <c r="AJ20" s="8"/>
      <c r="AK20" s="8"/>
      <c r="AL20" s="8"/>
      <c r="AM20" s="26"/>
      <c r="AN20" s="8"/>
      <c r="AO20" s="8"/>
      <c r="AP20" s="8"/>
      <c r="AQ20" s="8"/>
      <c r="AR20" s="26"/>
      <c r="AS20" s="8"/>
      <c r="AT20" s="8"/>
      <c r="AU20" s="8"/>
      <c r="AV20" s="8"/>
      <c r="AW20" s="26"/>
      <c r="AX20" s="8"/>
      <c r="AY20" s="8"/>
      <c r="AZ20" s="8"/>
      <c r="BA20" s="8"/>
      <c r="BB20" s="26"/>
      <c r="BC20" s="8"/>
      <c r="BD20" s="8"/>
      <c r="BE20" s="8"/>
      <c r="BF20" s="8"/>
      <c r="BG20" s="26"/>
      <c r="BH20" s="8"/>
      <c r="BI20" s="8"/>
      <c r="BJ20" s="8"/>
      <c r="BK20" s="8"/>
      <c r="BL20" s="26"/>
      <c r="BM20" s="8"/>
      <c r="BN20" s="8"/>
      <c r="BO20" s="8"/>
      <c r="BP20" s="8"/>
      <c r="BQ20" s="26"/>
      <c r="BR20" s="8"/>
      <c r="BS20" s="8"/>
      <c r="BT20" s="8"/>
      <c r="BU20" s="8"/>
      <c r="BV20" s="26"/>
      <c r="BW20" s="8"/>
      <c r="BX20" s="8"/>
      <c r="BY20" s="8"/>
      <c r="BZ20" s="8"/>
      <c r="CA20" s="8"/>
      <c r="CB20" s="26"/>
      <c r="CC20" s="26"/>
      <c r="CD20" s="8"/>
      <c r="CE20" s="8"/>
      <c r="CF20" s="8"/>
      <c r="CG20" s="26"/>
      <c r="CH20" s="8"/>
      <c r="CI20" s="8"/>
      <c r="CJ20" s="8"/>
      <c r="CK20" s="8"/>
      <c r="CL20" s="26"/>
      <c r="CM20" s="8"/>
      <c r="CN20" s="8"/>
      <c r="CO20" s="8"/>
      <c r="CP20" s="8"/>
      <c r="CQ20" s="26"/>
      <c r="CR20" s="8"/>
      <c r="CS20" s="8"/>
      <c r="CT20" s="8"/>
      <c r="CU20" s="8"/>
      <c r="CV20" s="26"/>
      <c r="CW20" s="8"/>
      <c r="CX20" s="8"/>
      <c r="CY20" s="8"/>
      <c r="CZ20" s="8"/>
      <c r="DA20" s="26"/>
      <c r="DB20" s="8"/>
      <c r="DC20" s="8"/>
      <c r="DD20" s="8"/>
      <c r="DE20" s="8"/>
      <c r="DF20" s="26"/>
      <c r="DG20" s="8"/>
      <c r="DH20" s="8"/>
      <c r="DI20" s="8"/>
      <c r="DJ20" s="8"/>
      <c r="DK20" s="26"/>
      <c r="DL20" s="8"/>
      <c r="DM20" s="8"/>
      <c r="DN20" s="8"/>
      <c r="DO20" s="8"/>
      <c r="DP20" s="26"/>
      <c r="DQ20" s="8"/>
      <c r="DR20" s="8"/>
      <c r="DS20" s="8"/>
      <c r="DT20" s="8"/>
      <c r="DU20" s="26"/>
      <c r="DV20" s="8"/>
      <c r="DW20" s="8"/>
      <c r="DX20" s="8"/>
      <c r="DY20" s="8"/>
      <c r="DZ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N20" s="8"/>
      <c r="EO20" s="8"/>
      <c r="EP20" s="8"/>
      <c r="EQ20" s="8"/>
      <c r="ER20" s="8"/>
      <c r="ES20" s="8"/>
      <c r="ET20" s="8"/>
      <c r="EU20" s="8"/>
      <c r="EV20" s="8"/>
      <c r="EW20" s="8"/>
      <c r="EX20" s="8"/>
      <c r="EZ20" s="8"/>
      <c r="FA20" s="8"/>
      <c r="FB20" s="8"/>
      <c r="FC20" s="8"/>
      <c r="FD20" s="8"/>
      <c r="FE20" s="8"/>
      <c r="FF20" s="8"/>
      <c r="FG20" s="8"/>
      <c r="FH20" s="8"/>
      <c r="FI20" s="8"/>
      <c r="FJ20" s="8"/>
      <c r="FL20" s="8"/>
      <c r="FM20" s="8"/>
      <c r="FN20" s="8"/>
      <c r="FO20" s="8"/>
      <c r="FP20" s="8"/>
      <c r="FQ20" s="8"/>
      <c r="FR20" s="8"/>
      <c r="FS20" s="8"/>
      <c r="FT20" s="8"/>
      <c r="FU20" s="8"/>
      <c r="FV20" s="8"/>
      <c r="FX20" s="8"/>
      <c r="FY20" s="8"/>
      <c r="FZ20" s="8"/>
      <c r="GA20" s="8"/>
      <c r="GB20" s="8"/>
      <c r="GC20" s="8"/>
      <c r="GD20" s="8"/>
      <c r="GE20" s="8"/>
      <c r="GF20" s="8"/>
      <c r="GG20" s="8"/>
      <c r="GH20" s="8"/>
      <c r="GJ20" s="8"/>
      <c r="GK20" s="8"/>
      <c r="GL20" s="8"/>
      <c r="GM20" s="8"/>
      <c r="GN20" s="8"/>
      <c r="GO20" s="8"/>
      <c r="GP20" s="8"/>
      <c r="GQ20" s="8"/>
      <c r="GR20" s="8"/>
      <c r="GS20" s="8"/>
      <c r="GT20" s="8"/>
      <c r="GV20" s="8"/>
      <c r="GW20" s="8"/>
      <c r="GX20" s="8"/>
      <c r="GY20" s="8"/>
      <c r="GZ20" s="8"/>
      <c r="HA20" s="8"/>
      <c r="HB20" s="8"/>
      <c r="HC20" s="8"/>
      <c r="HD20" s="8"/>
      <c r="HE20" s="8"/>
      <c r="HF20" s="8"/>
      <c r="HH20" s="8"/>
      <c r="HI20" s="8"/>
      <c r="HJ20" s="8"/>
      <c r="HK20" s="8"/>
      <c r="HL20" s="8"/>
      <c r="HM20" s="8"/>
      <c r="HN20" s="8"/>
      <c r="HO20" s="8"/>
      <c r="HP20" s="8"/>
      <c r="HQ20" s="8"/>
    </row>
    <row r="21" spans="1:225" s="19" customFormat="1" x14ac:dyDescent="0.25">
      <c r="A21" s="8" t="s">
        <v>7</v>
      </c>
      <c r="B21" s="24" t="s">
        <v>1415</v>
      </c>
      <c r="C21" s="25" t="s">
        <v>8</v>
      </c>
      <c r="D21" s="26"/>
      <c r="E21" s="26" t="s">
        <v>1762</v>
      </c>
      <c r="F21" s="198" t="s">
        <v>1448</v>
      </c>
      <c r="G21" s="198" t="s">
        <v>1700</v>
      </c>
      <c r="H21" s="25" t="s">
        <v>3447</v>
      </c>
      <c r="I21" s="27" t="s">
        <v>3893</v>
      </c>
      <c r="J21" s="27" t="s">
        <v>866</v>
      </c>
      <c r="K21" s="28" t="s">
        <v>853</v>
      </c>
      <c r="L21" s="29"/>
      <c r="M21" s="29"/>
      <c r="N21" s="29"/>
      <c r="O21" s="29"/>
      <c r="P21" s="17"/>
      <c r="Q21" s="176"/>
      <c r="R21" s="29" t="s">
        <v>853</v>
      </c>
      <c r="S21" s="8"/>
      <c r="T21" s="8"/>
      <c r="U21" s="8"/>
      <c r="V21" s="8"/>
      <c r="W21" s="93">
        <v>160</v>
      </c>
      <c r="X21" s="84" t="s">
        <v>1700</v>
      </c>
      <c r="Y21" s="84" t="s">
        <v>2367</v>
      </c>
      <c r="Z21" s="84"/>
      <c r="AA21" s="84" t="s">
        <v>9</v>
      </c>
      <c r="AB21" s="84" t="s">
        <v>221</v>
      </c>
      <c r="AC21" s="26">
        <v>42416</v>
      </c>
      <c r="AD21" s="26" t="s">
        <v>853</v>
      </c>
      <c r="AE21" s="8" t="s">
        <v>4680</v>
      </c>
      <c r="AF21" s="8">
        <v>528</v>
      </c>
      <c r="AG21" s="8">
        <v>160</v>
      </c>
      <c r="AH21" s="26"/>
      <c r="AI21" s="8"/>
      <c r="AJ21" s="8"/>
      <c r="AK21" s="8"/>
      <c r="AL21" s="8"/>
      <c r="AM21" s="26"/>
      <c r="AN21" s="8"/>
      <c r="AO21" s="8"/>
      <c r="AP21" s="8"/>
      <c r="AQ21" s="8"/>
      <c r="AR21" s="26"/>
      <c r="AS21" s="8"/>
      <c r="AT21" s="8"/>
      <c r="AU21" s="8"/>
      <c r="AV21" s="8"/>
      <c r="AW21" s="26"/>
      <c r="AX21" s="8"/>
      <c r="AY21" s="8"/>
      <c r="AZ21" s="8"/>
      <c r="BA21" s="8"/>
      <c r="BB21" s="26"/>
      <c r="BC21" s="8"/>
      <c r="BD21" s="8"/>
      <c r="BE21" s="8"/>
      <c r="BF21" s="8"/>
      <c r="BG21" s="26"/>
      <c r="BH21" s="8"/>
      <c r="BI21" s="8"/>
      <c r="BJ21" s="8"/>
      <c r="BK21" s="8"/>
      <c r="BL21" s="26"/>
      <c r="BM21" s="8"/>
      <c r="BN21" s="8"/>
      <c r="BO21" s="8"/>
      <c r="BP21" s="8"/>
      <c r="BQ21" s="26"/>
      <c r="BR21" s="8"/>
      <c r="BS21" s="8"/>
      <c r="BT21" s="8"/>
      <c r="BU21" s="8"/>
      <c r="BV21" s="26"/>
      <c r="BW21" s="8"/>
      <c r="BX21" s="8"/>
      <c r="BY21" s="8"/>
      <c r="BZ21" s="8"/>
      <c r="CA21" s="8"/>
      <c r="CB21" s="26">
        <v>42032</v>
      </c>
      <c r="CC21" s="26" t="s">
        <v>853</v>
      </c>
      <c r="CD21" s="8" t="s">
        <v>3448</v>
      </c>
      <c r="CE21" s="8">
        <v>480</v>
      </c>
      <c r="CF21" s="8">
        <v>160</v>
      </c>
      <c r="CG21" s="26"/>
      <c r="CH21" s="8"/>
      <c r="CI21" s="8"/>
      <c r="CJ21" s="8"/>
      <c r="CK21" s="8"/>
      <c r="CL21" s="26"/>
      <c r="CM21" s="8"/>
      <c r="CN21" s="8"/>
      <c r="CO21" s="8"/>
      <c r="CP21" s="8"/>
      <c r="CQ21" s="26"/>
      <c r="CR21" s="8"/>
      <c r="CS21" s="8"/>
      <c r="CT21" s="8"/>
      <c r="CU21" s="8"/>
      <c r="CV21" s="26"/>
      <c r="CW21" s="8"/>
      <c r="CX21" s="8"/>
      <c r="CY21" s="8"/>
      <c r="CZ21" s="8"/>
      <c r="DA21" s="26"/>
      <c r="DB21" s="8"/>
      <c r="DC21" s="8"/>
      <c r="DD21" s="8"/>
      <c r="DE21" s="8"/>
      <c r="DF21" s="26"/>
      <c r="DG21" s="8"/>
      <c r="DH21" s="8"/>
      <c r="DI21" s="8"/>
      <c r="DJ21" s="8"/>
      <c r="DK21" s="26"/>
      <c r="DL21" s="8"/>
      <c r="DM21" s="8"/>
      <c r="DN21" s="8"/>
      <c r="DO21" s="8"/>
      <c r="DP21" s="26"/>
      <c r="DQ21" s="8"/>
      <c r="DR21" s="8"/>
      <c r="DS21" s="8"/>
      <c r="DT21" s="8"/>
      <c r="DU21" s="26"/>
      <c r="DV21" s="8"/>
      <c r="DW21" s="8"/>
      <c r="DX21" s="8"/>
      <c r="DY21" s="8"/>
      <c r="DZ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N21" s="8"/>
      <c r="EO21" s="8"/>
      <c r="EP21" s="8"/>
      <c r="EQ21" s="8"/>
      <c r="ER21" s="8"/>
      <c r="ES21" s="8"/>
      <c r="ET21" s="8"/>
      <c r="EU21" s="8"/>
      <c r="EV21" s="8"/>
      <c r="EW21" s="8"/>
      <c r="EX21" s="8"/>
      <c r="EZ21" s="8"/>
      <c r="FA21" s="8"/>
      <c r="FB21" s="8"/>
      <c r="FC21" s="8"/>
      <c r="FD21" s="8"/>
      <c r="FE21" s="8"/>
      <c r="FF21" s="8"/>
      <c r="FG21" s="8"/>
      <c r="FH21" s="8"/>
      <c r="FI21" s="8"/>
      <c r="FJ21" s="8"/>
      <c r="FL21" s="8"/>
      <c r="FM21" s="8"/>
      <c r="FN21" s="8"/>
      <c r="FO21" s="8"/>
      <c r="FP21" s="8"/>
      <c r="FQ21" s="8"/>
      <c r="FR21" s="8"/>
      <c r="FS21" s="8"/>
      <c r="FT21" s="8"/>
      <c r="FU21" s="8"/>
      <c r="FV21" s="8"/>
      <c r="FX21" s="8"/>
      <c r="FY21" s="8"/>
      <c r="FZ21" s="8"/>
      <c r="GA21" s="8"/>
      <c r="GB21" s="8"/>
      <c r="GC21" s="8"/>
      <c r="GD21" s="8"/>
      <c r="GE21" s="8"/>
      <c r="GF21" s="8"/>
      <c r="GG21" s="8"/>
      <c r="GH21" s="8"/>
      <c r="GJ21" s="8"/>
      <c r="GK21" s="8"/>
      <c r="GL21" s="8"/>
      <c r="GM21" s="8"/>
      <c r="GN21" s="8"/>
      <c r="GO21" s="8"/>
      <c r="GP21" s="8"/>
      <c r="GQ21" s="8"/>
      <c r="GR21" s="8"/>
      <c r="GS21" s="8"/>
      <c r="GT21" s="8"/>
      <c r="GV21" s="8"/>
      <c r="GW21" s="8"/>
      <c r="GX21" s="8"/>
      <c r="GY21" s="8"/>
      <c r="GZ21" s="8"/>
      <c r="HA21" s="8"/>
      <c r="HB21" s="8"/>
      <c r="HC21" s="8"/>
      <c r="HD21" s="8"/>
      <c r="HE21" s="8"/>
      <c r="HF21" s="8"/>
      <c r="HH21" s="8"/>
      <c r="HI21" s="8"/>
      <c r="HJ21" s="8"/>
      <c r="HK21" s="8"/>
      <c r="HL21" s="8"/>
      <c r="HM21" s="8"/>
      <c r="HN21" s="8"/>
      <c r="HO21" s="8"/>
      <c r="HP21" s="8"/>
      <c r="HQ21" s="8"/>
    </row>
    <row r="22" spans="1:225" s="19" customFormat="1" x14ac:dyDescent="0.25">
      <c r="A22" s="8" t="s">
        <v>506</v>
      </c>
      <c r="B22" s="24" t="s">
        <v>962</v>
      </c>
      <c r="C22" s="25"/>
      <c r="D22" s="26"/>
      <c r="E22" s="26" t="s">
        <v>1762</v>
      </c>
      <c r="F22" s="198" t="s">
        <v>1700</v>
      </c>
      <c r="G22" s="198" t="s">
        <v>1700</v>
      </c>
      <c r="H22" s="25" t="s">
        <v>1700</v>
      </c>
      <c r="I22" s="27" t="s">
        <v>3897</v>
      </c>
      <c r="J22" s="27" t="s">
        <v>866</v>
      </c>
      <c r="K22" s="28" t="s">
        <v>3907</v>
      </c>
      <c r="L22" s="29"/>
      <c r="M22" s="29"/>
      <c r="N22" s="29"/>
      <c r="O22" s="29"/>
      <c r="P22" s="17">
        <v>1</v>
      </c>
      <c r="Q22" s="176"/>
      <c r="R22" s="29" t="s">
        <v>1763</v>
      </c>
      <c r="S22" s="8"/>
      <c r="T22" s="8"/>
      <c r="U22" s="8"/>
      <c r="V22" s="8"/>
      <c r="W22" s="93">
        <v>0</v>
      </c>
      <c r="X22" s="84"/>
      <c r="Y22" s="84"/>
      <c r="Z22" s="84"/>
      <c r="AA22" s="84"/>
      <c r="AB22" s="84"/>
      <c r="AC22" s="26"/>
      <c r="AD22" s="26"/>
      <c r="AE22" s="8"/>
      <c r="AF22" s="8"/>
      <c r="AG22" s="8"/>
      <c r="AH22" s="26"/>
      <c r="AI22" s="8"/>
      <c r="AJ22" s="8"/>
      <c r="AK22" s="8"/>
      <c r="AL22" s="8"/>
      <c r="AM22" s="26"/>
      <c r="AN22" s="8"/>
      <c r="AO22" s="8"/>
      <c r="AP22" s="8"/>
      <c r="AQ22" s="8"/>
      <c r="AR22" s="26"/>
      <c r="AS22" s="8"/>
      <c r="AT22" s="8"/>
      <c r="AU22" s="8"/>
      <c r="AV22" s="8"/>
      <c r="AW22" s="26"/>
      <c r="AX22" s="8"/>
      <c r="AY22" s="8"/>
      <c r="AZ22" s="8"/>
      <c r="BA22" s="8"/>
      <c r="BB22" s="26"/>
      <c r="BC22" s="8"/>
      <c r="BD22" s="8"/>
      <c r="BE22" s="8"/>
      <c r="BF22" s="8"/>
      <c r="BG22" s="26"/>
      <c r="BH22" s="8"/>
      <c r="BI22" s="8"/>
      <c r="BJ22" s="8"/>
      <c r="BK22" s="8"/>
      <c r="BL22" s="26"/>
      <c r="BM22" s="8"/>
      <c r="BN22" s="8"/>
      <c r="BO22" s="8"/>
      <c r="BP22" s="8"/>
      <c r="BQ22" s="26"/>
      <c r="BR22" s="8"/>
      <c r="BS22" s="8"/>
      <c r="BT22" s="8"/>
      <c r="BU22" s="8"/>
      <c r="BV22" s="26"/>
      <c r="BW22" s="8"/>
      <c r="BX22" s="8"/>
      <c r="BY22" s="8"/>
      <c r="BZ22" s="8"/>
      <c r="CA22" s="8"/>
      <c r="CB22" s="26"/>
      <c r="CC22" s="26"/>
      <c r="CD22" s="8"/>
      <c r="CE22" s="8"/>
      <c r="CF22" s="8"/>
      <c r="CG22" s="26"/>
      <c r="CH22" s="8"/>
      <c r="CI22" s="8"/>
      <c r="CJ22" s="8"/>
      <c r="CK22" s="8"/>
      <c r="CL22" s="26"/>
      <c r="CM22" s="8"/>
      <c r="CN22" s="8"/>
      <c r="CO22" s="8"/>
      <c r="CP22" s="8"/>
      <c r="CQ22" s="26"/>
      <c r="CR22" s="8"/>
      <c r="CS22" s="8"/>
      <c r="CT22" s="8"/>
      <c r="CU22" s="8"/>
      <c r="CV22" s="26"/>
      <c r="CW22" s="8"/>
      <c r="CX22" s="8"/>
      <c r="CY22" s="8"/>
      <c r="CZ22" s="8"/>
      <c r="DA22" s="26"/>
      <c r="DB22" s="8"/>
      <c r="DC22" s="8"/>
      <c r="DD22" s="8"/>
      <c r="DE22" s="8"/>
      <c r="DF22" s="26"/>
      <c r="DG22" s="8"/>
      <c r="DH22" s="8"/>
      <c r="DI22" s="8"/>
      <c r="DJ22" s="8"/>
      <c r="DK22" s="26"/>
      <c r="DL22" s="8"/>
      <c r="DM22" s="8"/>
      <c r="DN22" s="8"/>
      <c r="DO22" s="8"/>
      <c r="DP22" s="26"/>
      <c r="DQ22" s="8"/>
      <c r="DR22" s="8"/>
      <c r="DS22" s="8"/>
      <c r="DT22" s="8"/>
      <c r="DU22" s="26"/>
      <c r="DV22" s="8"/>
      <c r="DW22" s="8"/>
      <c r="DX22" s="8"/>
      <c r="DY22" s="8"/>
      <c r="DZ22" s="8"/>
      <c r="EB22" s="8"/>
      <c r="EC22" s="8"/>
      <c r="ED22" s="8"/>
      <c r="EE22" s="8"/>
      <c r="EF22" s="8"/>
      <c r="EG22" s="8"/>
      <c r="EH22" s="8"/>
      <c r="EI22" s="8"/>
      <c r="EJ22" s="8"/>
      <c r="EK22" s="8"/>
      <c r="EL22" s="8"/>
      <c r="EN22" s="8"/>
      <c r="EO22" s="8"/>
      <c r="EP22" s="8"/>
      <c r="EQ22" s="8"/>
      <c r="ER22" s="8"/>
      <c r="ES22" s="8"/>
      <c r="ET22" s="8"/>
      <c r="EU22" s="8"/>
      <c r="EV22" s="8"/>
      <c r="EW22" s="8"/>
      <c r="EX22" s="8"/>
      <c r="EZ22" s="8"/>
      <c r="FA22" s="8"/>
      <c r="FB22" s="8"/>
      <c r="FC22" s="8"/>
      <c r="FD22" s="8"/>
      <c r="FE22" s="8"/>
      <c r="FF22" s="8"/>
      <c r="FG22" s="8"/>
      <c r="FH22" s="8"/>
      <c r="FI22" s="8"/>
      <c r="FJ22" s="8"/>
      <c r="FL22" s="8"/>
      <c r="FM22" s="8"/>
      <c r="FN22" s="8"/>
      <c r="FO22" s="8"/>
      <c r="FP22" s="8"/>
      <c r="FQ22" s="8"/>
      <c r="FR22" s="8"/>
      <c r="FS22" s="8"/>
      <c r="FT22" s="8"/>
      <c r="FU22" s="8"/>
      <c r="FV22" s="8"/>
      <c r="FX22" s="8"/>
      <c r="FY22" s="8"/>
      <c r="FZ22" s="8"/>
      <c r="GA22" s="8"/>
      <c r="GB22" s="8"/>
      <c r="GC22" s="8"/>
      <c r="GD22" s="8"/>
      <c r="GE22" s="8"/>
      <c r="GF22" s="8"/>
      <c r="GG22" s="8"/>
      <c r="GH22" s="8"/>
      <c r="GJ22" s="8"/>
      <c r="GK22" s="8"/>
      <c r="GL22" s="8"/>
      <c r="GM22" s="8"/>
      <c r="GN22" s="8"/>
      <c r="GO22" s="8"/>
      <c r="GP22" s="8"/>
      <c r="GQ22" s="8"/>
      <c r="GR22" s="8"/>
      <c r="GS22" s="8"/>
      <c r="GT22" s="8"/>
      <c r="GV22" s="8"/>
      <c r="GW22" s="8"/>
      <c r="GX22" s="8"/>
      <c r="GY22" s="8"/>
      <c r="GZ22" s="8"/>
      <c r="HA22" s="8"/>
      <c r="HB22" s="8"/>
      <c r="HC22" s="8"/>
      <c r="HD22" s="8"/>
      <c r="HE22" s="8"/>
      <c r="HF22" s="8"/>
      <c r="HH22" s="8"/>
      <c r="HI22" s="8"/>
      <c r="HJ22" s="8"/>
      <c r="HK22" s="8"/>
      <c r="HL22" s="8"/>
      <c r="HM22" s="8"/>
      <c r="HN22" s="8"/>
      <c r="HO22" s="8"/>
      <c r="HP22" s="8"/>
      <c r="HQ22" s="8"/>
    </row>
    <row r="23" spans="1:225" s="19" customFormat="1" x14ac:dyDescent="0.25">
      <c r="A23" s="8" t="s">
        <v>1897</v>
      </c>
      <c r="B23" s="24" t="s">
        <v>3341</v>
      </c>
      <c r="C23" s="25" t="s">
        <v>1898</v>
      </c>
      <c r="D23" s="26"/>
      <c r="E23" s="26" t="s">
        <v>1762</v>
      </c>
      <c r="F23" s="198" t="s">
        <v>1700</v>
      </c>
      <c r="G23" s="198" t="s">
        <v>1700</v>
      </c>
      <c r="H23" s="25" t="s">
        <v>1700</v>
      </c>
      <c r="I23" s="27" t="s">
        <v>3902</v>
      </c>
      <c r="J23" s="27" t="s">
        <v>866</v>
      </c>
      <c r="K23" s="28" t="s">
        <v>853</v>
      </c>
      <c r="L23" s="29"/>
      <c r="M23" s="29"/>
      <c r="N23" s="29"/>
      <c r="O23" s="29"/>
      <c r="P23" s="17"/>
      <c r="Q23" s="176"/>
      <c r="R23" s="29" t="s">
        <v>853</v>
      </c>
      <c r="S23" s="8"/>
      <c r="T23" s="8"/>
      <c r="U23" s="8"/>
      <c r="V23" s="8"/>
      <c r="W23" s="93">
        <v>87</v>
      </c>
      <c r="X23" s="84" t="s">
        <v>1700</v>
      </c>
      <c r="Y23" s="84" t="s">
        <v>1205</v>
      </c>
      <c r="Z23" s="84"/>
      <c r="AA23" s="84" t="s">
        <v>1902</v>
      </c>
      <c r="AB23" s="84" t="s">
        <v>122</v>
      </c>
      <c r="AC23" s="26">
        <v>42313</v>
      </c>
      <c r="AD23" s="26" t="s">
        <v>853</v>
      </c>
      <c r="AE23" s="8" t="s">
        <v>4216</v>
      </c>
      <c r="AF23" s="8">
        <v>175</v>
      </c>
      <c r="AG23" s="8">
        <v>87</v>
      </c>
      <c r="AH23" s="26"/>
      <c r="AI23" s="8"/>
      <c r="AJ23" s="8"/>
      <c r="AK23" s="8"/>
      <c r="AL23" s="8"/>
      <c r="AM23" s="26"/>
      <c r="AN23" s="8"/>
      <c r="AO23" s="8"/>
      <c r="AP23" s="8"/>
      <c r="AQ23" s="8"/>
      <c r="AR23" s="26"/>
      <c r="AS23" s="8"/>
      <c r="AT23" s="8"/>
      <c r="AU23" s="8"/>
      <c r="AV23" s="8"/>
      <c r="AW23" s="26"/>
      <c r="AX23" s="8"/>
      <c r="AY23" s="8"/>
      <c r="AZ23" s="8"/>
      <c r="BA23" s="8"/>
      <c r="BB23" s="26"/>
      <c r="BC23" s="8"/>
      <c r="BD23" s="8"/>
      <c r="BE23" s="8"/>
      <c r="BF23" s="8"/>
      <c r="BG23" s="26"/>
      <c r="BH23" s="8"/>
      <c r="BI23" s="8"/>
      <c r="BJ23" s="8"/>
      <c r="BK23" s="8"/>
      <c r="BL23" s="26"/>
      <c r="BM23" s="8"/>
      <c r="BN23" s="8"/>
      <c r="BO23" s="8"/>
      <c r="BP23" s="8"/>
      <c r="BQ23" s="26"/>
      <c r="BR23" s="8"/>
      <c r="BS23" s="8"/>
      <c r="BT23" s="8"/>
      <c r="BU23" s="8"/>
      <c r="BV23" s="26"/>
      <c r="BW23" s="8"/>
      <c r="BX23" s="8"/>
      <c r="BY23" s="8"/>
      <c r="BZ23" s="8"/>
      <c r="CA23" s="8"/>
      <c r="CB23" s="26">
        <v>41934</v>
      </c>
      <c r="CC23" s="26" t="s">
        <v>853</v>
      </c>
      <c r="CD23" s="8" t="s">
        <v>2911</v>
      </c>
      <c r="CE23" s="8">
        <v>197.25</v>
      </c>
      <c r="CF23" s="8">
        <v>99</v>
      </c>
      <c r="CG23" s="26"/>
      <c r="CH23" s="8"/>
      <c r="CI23" s="8"/>
      <c r="CJ23" s="8"/>
      <c r="CK23" s="8"/>
      <c r="CL23" s="26"/>
      <c r="CM23" s="8"/>
      <c r="CN23" s="8"/>
      <c r="CO23" s="8"/>
      <c r="CP23" s="8"/>
      <c r="CQ23" s="26"/>
      <c r="CR23" s="8"/>
      <c r="CS23" s="8"/>
      <c r="CT23" s="8"/>
      <c r="CU23" s="8"/>
      <c r="CV23" s="26"/>
      <c r="CW23" s="8"/>
      <c r="CX23" s="8"/>
      <c r="CY23" s="8"/>
      <c r="CZ23" s="8"/>
      <c r="DA23" s="26"/>
      <c r="DB23" s="8"/>
      <c r="DC23" s="8"/>
      <c r="DD23" s="8"/>
      <c r="DE23" s="8"/>
      <c r="DF23" s="26"/>
      <c r="DG23" s="8"/>
      <c r="DH23" s="8"/>
      <c r="DI23" s="8"/>
      <c r="DJ23" s="8"/>
      <c r="DK23" s="26"/>
      <c r="DL23" s="8"/>
      <c r="DM23" s="8"/>
      <c r="DN23" s="8"/>
      <c r="DO23" s="8"/>
      <c r="DP23" s="26"/>
      <c r="DQ23" s="8"/>
      <c r="DR23" s="8"/>
      <c r="DS23" s="8"/>
      <c r="DT23" s="8"/>
      <c r="DU23" s="26"/>
      <c r="DV23" s="8"/>
      <c r="DW23" s="8"/>
      <c r="DX23" s="8"/>
      <c r="DY23" s="8"/>
      <c r="EB23" s="8"/>
      <c r="EC23" s="8"/>
      <c r="ED23" s="8"/>
      <c r="EE23" s="8"/>
      <c r="EF23" s="8"/>
      <c r="EG23" s="8"/>
      <c r="EH23" s="8"/>
      <c r="EI23" s="8"/>
      <c r="EJ23" s="8"/>
      <c r="EK23" s="8"/>
      <c r="EL23" s="8"/>
      <c r="EN23" s="8"/>
      <c r="EO23" s="8"/>
      <c r="EP23" s="8"/>
      <c r="EQ23" s="8"/>
      <c r="ER23" s="8"/>
      <c r="ES23" s="8"/>
      <c r="ET23" s="8"/>
      <c r="EU23" s="8"/>
      <c r="EV23" s="8"/>
      <c r="EW23" s="8"/>
      <c r="EX23" s="8"/>
      <c r="EZ23" s="8"/>
      <c r="FA23" s="8"/>
      <c r="FB23" s="8"/>
      <c r="FC23" s="8"/>
      <c r="FD23" s="8"/>
      <c r="FE23" s="8"/>
      <c r="FF23" s="8"/>
      <c r="FG23" s="8"/>
      <c r="FH23" s="8"/>
      <c r="FI23" s="8"/>
      <c r="FJ23" s="8"/>
      <c r="FL23" s="8"/>
      <c r="FM23" s="8"/>
      <c r="FN23" s="8"/>
      <c r="FO23" s="8"/>
      <c r="FP23" s="8"/>
      <c r="FQ23" s="8"/>
      <c r="FR23" s="8"/>
      <c r="FS23" s="8"/>
      <c r="FT23" s="8"/>
      <c r="FU23" s="8"/>
      <c r="FV23" s="8"/>
      <c r="FX23" s="8"/>
      <c r="FY23" s="8"/>
      <c r="FZ23" s="8"/>
      <c r="GA23" s="8"/>
      <c r="GB23" s="8"/>
      <c r="GC23" s="8"/>
      <c r="GD23" s="8"/>
      <c r="GE23" s="8"/>
      <c r="GF23" s="8"/>
      <c r="GG23" s="8"/>
      <c r="GH23" s="8"/>
      <c r="GJ23" s="8"/>
      <c r="GK23" s="8"/>
      <c r="GL23" s="8"/>
      <c r="GM23" s="8"/>
      <c r="GN23" s="8"/>
      <c r="GO23" s="8"/>
      <c r="GP23" s="8"/>
      <c r="GQ23" s="8"/>
      <c r="GR23" s="8"/>
      <c r="GS23" s="8"/>
      <c r="GT23" s="8"/>
      <c r="GV23" s="8"/>
      <c r="GW23" s="8"/>
      <c r="GX23" s="8"/>
      <c r="GY23" s="8"/>
      <c r="GZ23" s="8"/>
      <c r="HA23" s="8"/>
      <c r="HB23" s="8"/>
      <c r="HC23" s="8"/>
      <c r="HD23" s="8"/>
      <c r="HE23" s="8"/>
      <c r="HF23" s="8"/>
      <c r="HH23" s="8"/>
      <c r="HI23" s="8"/>
      <c r="HJ23" s="8"/>
      <c r="HK23" s="8"/>
      <c r="HL23" s="8"/>
      <c r="HM23" s="8"/>
      <c r="HN23" s="8"/>
      <c r="HO23" s="8"/>
      <c r="HP23" s="8"/>
      <c r="HQ23" s="8"/>
    </row>
    <row r="24" spans="1:225" s="19" customFormat="1" ht="12.75" customHeight="1" x14ac:dyDescent="0.25">
      <c r="A24" s="8" t="s">
        <v>2847</v>
      </c>
      <c r="B24" s="24" t="s">
        <v>2848</v>
      </c>
      <c r="C24" s="25" t="s">
        <v>2846</v>
      </c>
      <c r="D24" s="26"/>
      <c r="E24" s="26" t="s">
        <v>1762</v>
      </c>
      <c r="F24" s="198" t="s">
        <v>1448</v>
      </c>
      <c r="G24" s="198" t="s">
        <v>1700</v>
      </c>
      <c r="H24" s="25" t="s">
        <v>2849</v>
      </c>
      <c r="I24" s="27"/>
      <c r="J24" s="27" t="s">
        <v>866</v>
      </c>
      <c r="K24" s="28"/>
      <c r="L24" s="29"/>
      <c r="M24" s="29"/>
      <c r="N24" s="29"/>
      <c r="O24" s="29"/>
      <c r="P24" s="17"/>
      <c r="Q24" s="176"/>
      <c r="R24" s="29" t="s">
        <v>853</v>
      </c>
      <c r="S24" s="8"/>
      <c r="T24" s="8"/>
      <c r="U24" s="8"/>
      <c r="V24" s="8"/>
      <c r="W24" s="93">
        <v>0</v>
      </c>
      <c r="X24" s="84" t="s">
        <v>1700</v>
      </c>
      <c r="Y24" s="84" t="s">
        <v>2850</v>
      </c>
      <c r="Z24" s="84"/>
      <c r="AA24" s="84" t="s">
        <v>2851</v>
      </c>
      <c r="AB24" s="84" t="s">
        <v>2852</v>
      </c>
      <c r="AC24" s="26"/>
      <c r="AD24" s="26"/>
      <c r="AE24" s="8"/>
      <c r="AF24" s="8"/>
      <c r="AG24" s="8"/>
      <c r="AH24" s="26"/>
      <c r="AI24" s="8"/>
      <c r="AJ24" s="8"/>
      <c r="AK24" s="8"/>
      <c r="AL24" s="8"/>
      <c r="AM24" s="26"/>
      <c r="AN24" s="8"/>
      <c r="AO24" s="8"/>
      <c r="AP24" s="8"/>
      <c r="AQ24" s="8"/>
      <c r="AR24" s="26"/>
      <c r="AS24" s="8"/>
      <c r="AT24" s="8"/>
      <c r="AU24" s="8"/>
      <c r="AV24" s="8"/>
      <c r="AW24" s="26"/>
      <c r="AX24" s="8"/>
      <c r="AY24" s="8"/>
      <c r="AZ24" s="8"/>
      <c r="BA24" s="8"/>
      <c r="BB24" s="26"/>
      <c r="BC24" s="8"/>
      <c r="BD24" s="8"/>
      <c r="BE24" s="8"/>
      <c r="BF24" s="8"/>
      <c r="BG24" s="26"/>
      <c r="BH24" s="8"/>
      <c r="BI24" s="8"/>
      <c r="BJ24" s="8"/>
      <c r="BK24" s="8"/>
      <c r="BL24" s="26"/>
      <c r="BM24" s="8"/>
      <c r="BN24" s="8"/>
      <c r="BO24" s="8"/>
      <c r="BP24" s="8"/>
      <c r="BQ24" s="26"/>
      <c r="BR24" s="8"/>
      <c r="BS24" s="8"/>
      <c r="BT24" s="8"/>
      <c r="BU24" s="8"/>
      <c r="BV24" s="26"/>
      <c r="BW24" s="8"/>
      <c r="BX24" s="8"/>
      <c r="BY24" s="8"/>
      <c r="BZ24" s="8"/>
      <c r="CA24" s="8"/>
      <c r="CB24" s="26">
        <v>41921</v>
      </c>
      <c r="CC24" s="26" t="s">
        <v>853</v>
      </c>
      <c r="CD24" s="8" t="s">
        <v>2853</v>
      </c>
      <c r="CE24" s="8">
        <v>130</v>
      </c>
      <c r="CF24" s="8">
        <v>65</v>
      </c>
      <c r="CG24" s="26">
        <v>41977</v>
      </c>
      <c r="CH24" s="8" t="s">
        <v>853</v>
      </c>
      <c r="CI24" s="8" t="s">
        <v>3312</v>
      </c>
      <c r="CJ24" s="8">
        <v>138</v>
      </c>
      <c r="CK24" s="8">
        <v>69</v>
      </c>
      <c r="CL24" s="26"/>
      <c r="CM24" s="8"/>
      <c r="CN24" s="8"/>
      <c r="CO24" s="8"/>
      <c r="CP24" s="8"/>
      <c r="CQ24" s="26"/>
      <c r="CR24" s="8"/>
      <c r="CS24" s="8"/>
      <c r="CT24" s="8"/>
      <c r="CU24" s="8"/>
      <c r="CV24" s="26"/>
      <c r="CW24" s="8"/>
      <c r="CX24" s="8"/>
      <c r="CY24" s="8"/>
      <c r="CZ24" s="8"/>
      <c r="DA24" s="26"/>
      <c r="DB24" s="8"/>
      <c r="DC24" s="8"/>
      <c r="DD24" s="8"/>
      <c r="DE24" s="8"/>
      <c r="DF24" s="26"/>
      <c r="DG24" s="8"/>
      <c r="DH24" s="8"/>
      <c r="DI24" s="8"/>
      <c r="DJ24" s="8"/>
      <c r="DK24" s="26"/>
      <c r="DL24" s="8"/>
      <c r="DM24" s="8"/>
      <c r="DN24" s="8"/>
      <c r="DO24" s="8"/>
      <c r="DP24" s="26"/>
      <c r="DQ24" s="8"/>
      <c r="DR24" s="8"/>
      <c r="DS24" s="8"/>
      <c r="DT24" s="8"/>
      <c r="DU24" s="26"/>
      <c r="DV24" s="8"/>
      <c r="DW24" s="8"/>
      <c r="DX24" s="8"/>
      <c r="DY24" s="8"/>
      <c r="DZ24"/>
      <c r="EB24" s="8"/>
      <c r="EC24" s="8"/>
      <c r="ED24" s="8"/>
      <c r="EE24" s="8"/>
      <c r="EF24" s="8"/>
      <c r="EG24" s="8"/>
      <c r="EH24" s="8"/>
      <c r="EI24" s="8"/>
      <c r="EJ24" s="8"/>
      <c r="EK24" s="8"/>
      <c r="EL24" s="8"/>
      <c r="EN24" s="8"/>
      <c r="EO24" s="8"/>
      <c r="EP24" s="8"/>
      <c r="EQ24" s="8"/>
      <c r="ER24" s="8"/>
      <c r="ES24" s="8"/>
      <c r="ET24" s="8"/>
      <c r="EU24" s="8"/>
      <c r="EV24" s="8"/>
      <c r="EW24" s="8"/>
      <c r="EX24" s="8"/>
      <c r="EZ24" s="8"/>
      <c r="FA24" s="8"/>
      <c r="FB24" s="8"/>
      <c r="FC24" s="8"/>
      <c r="FD24" s="8"/>
      <c r="FE24" s="8"/>
      <c r="FF24" s="8"/>
      <c r="FG24" s="8"/>
      <c r="FH24" s="8"/>
      <c r="FI24" s="8"/>
      <c r="FJ24" s="8"/>
      <c r="FL24" s="8"/>
      <c r="FM24" s="8"/>
      <c r="FN24" s="8"/>
      <c r="FO24" s="8"/>
      <c r="FP24" s="8"/>
      <c r="FQ24" s="8"/>
      <c r="FR24" s="8"/>
      <c r="FS24" s="8"/>
      <c r="FT24" s="8"/>
      <c r="FU24" s="8"/>
      <c r="FV24" s="8"/>
      <c r="FX24" s="8"/>
      <c r="FY24" s="8"/>
      <c r="FZ24" s="8"/>
      <c r="GA24" s="8"/>
      <c r="GB24" s="8"/>
      <c r="GC24" s="8"/>
      <c r="GD24" s="8"/>
      <c r="GE24" s="8"/>
      <c r="GF24" s="8"/>
      <c r="GG24" s="8"/>
      <c r="GH24" s="8"/>
      <c r="GJ24" s="8"/>
      <c r="GK24" s="8"/>
      <c r="GL24" s="8"/>
      <c r="GM24" s="8"/>
      <c r="GN24" s="8"/>
      <c r="GO24" s="8"/>
      <c r="GP24" s="8"/>
      <c r="GQ24" s="8"/>
      <c r="GR24" s="8"/>
      <c r="GS24" s="8"/>
      <c r="GT24" s="8"/>
      <c r="GV24" s="8"/>
      <c r="GW24" s="8"/>
      <c r="GX24" s="8"/>
      <c r="GY24" s="8"/>
      <c r="GZ24" s="8"/>
      <c r="HA24" s="8"/>
      <c r="HB24" s="8"/>
      <c r="HC24" s="8"/>
      <c r="HD24" s="8"/>
      <c r="HE24" s="8"/>
      <c r="HF24" s="8"/>
      <c r="HH24" s="8"/>
      <c r="HI24" s="8"/>
      <c r="HJ24" s="8"/>
      <c r="HK24" s="8"/>
      <c r="HL24" s="8"/>
      <c r="HM24" s="8"/>
      <c r="HN24" s="8"/>
      <c r="HO24" s="8"/>
      <c r="HP24" s="8"/>
      <c r="HQ24" s="8"/>
    </row>
    <row r="25" spans="1:225" s="19" customFormat="1" ht="12.75" customHeight="1" x14ac:dyDescent="0.25">
      <c r="A25" s="8" t="s">
        <v>2233</v>
      </c>
      <c r="B25" s="24" t="s">
        <v>2234</v>
      </c>
      <c r="C25" s="25" t="s">
        <v>2235</v>
      </c>
      <c r="D25" s="26"/>
      <c r="E25" s="26" t="s">
        <v>1762</v>
      </c>
      <c r="F25" s="198" t="s">
        <v>1700</v>
      </c>
      <c r="G25" s="198" t="s">
        <v>1700</v>
      </c>
      <c r="H25" s="25" t="s">
        <v>2232</v>
      </c>
      <c r="I25" s="27" t="s">
        <v>3901</v>
      </c>
      <c r="J25" s="27" t="s">
        <v>866</v>
      </c>
      <c r="K25" s="28" t="s">
        <v>859</v>
      </c>
      <c r="L25" s="29"/>
      <c r="M25" s="29"/>
      <c r="N25" s="29"/>
      <c r="O25" s="29"/>
      <c r="P25" s="17"/>
      <c r="Q25" s="176"/>
      <c r="R25" s="29" t="s">
        <v>859</v>
      </c>
      <c r="S25" s="8"/>
      <c r="T25" s="8"/>
      <c r="U25" s="8"/>
      <c r="V25" s="8"/>
      <c r="W25" s="93">
        <v>280</v>
      </c>
      <c r="X25" s="84" t="s">
        <v>1700</v>
      </c>
      <c r="Y25" s="84" t="s">
        <v>1700</v>
      </c>
      <c r="Z25" s="84"/>
      <c r="AA25" s="84" t="s">
        <v>2236</v>
      </c>
      <c r="AB25" s="84" t="s">
        <v>126</v>
      </c>
      <c r="AC25" s="26">
        <v>42313</v>
      </c>
      <c r="AD25" s="26" t="s">
        <v>859</v>
      </c>
      <c r="AE25" s="8" t="s">
        <v>4107</v>
      </c>
      <c r="AF25" s="8">
        <v>588</v>
      </c>
      <c r="AG25" s="8">
        <v>280</v>
      </c>
      <c r="AH25" s="26"/>
      <c r="AI25" s="8"/>
      <c r="AJ25" s="8"/>
      <c r="AK25" s="8"/>
      <c r="AL25" s="8"/>
      <c r="AM25" s="26"/>
      <c r="AN25" s="8"/>
      <c r="AO25" s="8"/>
      <c r="AP25" s="8"/>
      <c r="AQ25" s="8"/>
      <c r="AR25" s="26"/>
      <c r="AS25" s="8"/>
      <c r="AT25" s="8"/>
      <c r="AU25" s="8"/>
      <c r="AV25" s="8"/>
      <c r="AW25" s="26"/>
      <c r="AX25" s="8"/>
      <c r="AY25" s="8"/>
      <c r="AZ25" s="8"/>
      <c r="BA25" s="8"/>
      <c r="BB25" s="26"/>
      <c r="BC25" s="8"/>
      <c r="BD25" s="8"/>
      <c r="BE25" s="8"/>
      <c r="BF25" s="8"/>
      <c r="BG25" s="26"/>
      <c r="BH25" s="8"/>
      <c r="BI25" s="8"/>
      <c r="BJ25" s="8"/>
      <c r="BK25" s="8"/>
      <c r="BL25" s="26"/>
      <c r="BM25" s="8"/>
      <c r="BN25" s="8"/>
      <c r="BO25" s="8"/>
      <c r="BP25" s="8"/>
      <c r="BQ25" s="26"/>
      <c r="BR25" s="8"/>
      <c r="BS25" s="8"/>
      <c r="BT25" s="8"/>
      <c r="BU25" s="8"/>
      <c r="BV25" s="26"/>
      <c r="BW25" s="8"/>
      <c r="BX25" s="8"/>
      <c r="BY25" s="8"/>
      <c r="BZ25" s="8"/>
      <c r="CA25" s="8"/>
      <c r="CB25" s="26" t="s">
        <v>503</v>
      </c>
      <c r="CC25" s="26" t="s">
        <v>859</v>
      </c>
      <c r="CD25" s="8" t="s">
        <v>3891</v>
      </c>
      <c r="CE25" s="8">
        <v>624</v>
      </c>
      <c r="CF25" s="8">
        <v>280</v>
      </c>
      <c r="CG25" s="26"/>
      <c r="CH25" s="8"/>
      <c r="CI25" s="8"/>
      <c r="CJ25" s="8"/>
      <c r="CK25" s="8"/>
      <c r="CL25" s="26"/>
      <c r="CM25" s="8"/>
      <c r="CN25" s="8"/>
      <c r="CO25" s="8"/>
      <c r="CP25" s="8"/>
      <c r="CQ25" s="26"/>
      <c r="CR25" s="8"/>
      <c r="CS25" s="8"/>
      <c r="CT25" s="8"/>
      <c r="CU25" s="8"/>
      <c r="CV25" s="26"/>
      <c r="CW25" s="8"/>
      <c r="CX25" s="8"/>
      <c r="CY25" s="8"/>
      <c r="CZ25" s="8"/>
      <c r="DA25" s="26"/>
      <c r="DB25" s="8"/>
      <c r="DC25" s="8"/>
      <c r="DD25" s="8"/>
      <c r="DE25" s="8"/>
      <c r="DF25" s="26"/>
      <c r="DG25" s="8"/>
      <c r="DH25" s="8"/>
      <c r="DI25" s="8"/>
      <c r="DJ25" s="8"/>
      <c r="DK25" s="26"/>
      <c r="DL25" s="8"/>
      <c r="DM25" s="8"/>
      <c r="DN25" s="8"/>
      <c r="DO25" s="8"/>
      <c r="DP25" s="26"/>
      <c r="DQ25" s="8"/>
      <c r="DR25" s="8"/>
      <c r="DS25" s="8"/>
      <c r="DT25" s="8"/>
      <c r="DU25" s="26"/>
      <c r="DV25" s="8"/>
      <c r="DW25" s="8"/>
      <c r="DX25" s="8"/>
      <c r="DY25" s="8"/>
      <c r="DZ25" s="8"/>
      <c r="EB25" s="8"/>
      <c r="EC25" s="8"/>
      <c r="ED25" s="8"/>
      <c r="EE25" s="8"/>
      <c r="EF25" s="8"/>
      <c r="EG25" s="8"/>
      <c r="EH25" s="8"/>
      <c r="EI25" s="8"/>
      <c r="EJ25" s="8"/>
      <c r="EK25" s="8"/>
      <c r="EL25" s="8"/>
      <c r="EN25" s="8"/>
      <c r="EO25" s="8"/>
      <c r="EP25" s="8"/>
      <c r="EQ25" s="8"/>
      <c r="ER25" s="8"/>
      <c r="ES25" s="8"/>
      <c r="ET25" s="8"/>
      <c r="EU25" s="8"/>
      <c r="EV25" s="8"/>
      <c r="EW25" s="8"/>
      <c r="EX25" s="8"/>
      <c r="EZ25" s="8"/>
      <c r="FA25" s="8"/>
      <c r="FB25" s="8"/>
      <c r="FC25" s="8"/>
      <c r="FD25" s="8"/>
      <c r="FE25" s="8"/>
      <c r="FF25" s="8"/>
      <c r="FG25" s="8"/>
      <c r="FH25" s="8"/>
      <c r="FI25" s="8"/>
      <c r="FJ25" s="8"/>
      <c r="FL25" s="8"/>
      <c r="FM25" s="8"/>
      <c r="FN25" s="8"/>
      <c r="FO25" s="8"/>
      <c r="FP25" s="8"/>
      <c r="FQ25" s="8"/>
      <c r="FR25" s="8"/>
      <c r="FS25" s="8"/>
      <c r="FT25" s="8"/>
      <c r="FU25" s="8"/>
      <c r="FV25" s="8"/>
      <c r="FX25" s="8"/>
      <c r="FY25" s="8"/>
      <c r="FZ25" s="8"/>
      <c r="GA25" s="8"/>
      <c r="GB25" s="8"/>
      <c r="GC25" s="8"/>
      <c r="GD25" s="8"/>
      <c r="GE25" s="8"/>
      <c r="GF25" s="8"/>
      <c r="GG25" s="8"/>
      <c r="GH25" s="8"/>
      <c r="GJ25" s="8"/>
      <c r="GK25" s="8"/>
      <c r="GL25" s="8"/>
      <c r="GM25" s="8"/>
      <c r="GN25" s="8"/>
      <c r="GO25" s="8"/>
      <c r="GP25" s="8"/>
      <c r="GQ25" s="8"/>
      <c r="GR25" s="8"/>
      <c r="GS25" s="8"/>
      <c r="GT25" s="8"/>
      <c r="GV25" s="8"/>
      <c r="GW25" s="8"/>
      <c r="GX25" s="8"/>
      <c r="GY25" s="8"/>
      <c r="GZ25" s="8"/>
      <c r="HA25" s="8"/>
      <c r="HB25" s="8"/>
      <c r="HC25" s="8"/>
      <c r="HD25" s="8"/>
      <c r="HE25" s="8"/>
      <c r="HF25" s="8"/>
      <c r="HH25" s="8"/>
      <c r="HI25" s="8"/>
      <c r="HJ25" s="8"/>
      <c r="HK25" s="8"/>
      <c r="HL25" s="8"/>
      <c r="HM25" s="8"/>
      <c r="HN25" s="8"/>
      <c r="HO25" s="8"/>
      <c r="HP25" s="8"/>
      <c r="HQ25" s="8"/>
    </row>
    <row r="26" spans="1:225" s="19" customFormat="1" ht="12.75" customHeight="1" x14ac:dyDescent="0.25">
      <c r="A26" s="8" t="s">
        <v>2233</v>
      </c>
      <c r="B26" s="24" t="s">
        <v>139</v>
      </c>
      <c r="C26" s="25"/>
      <c r="D26" s="26"/>
      <c r="E26" s="26"/>
      <c r="F26" s="198" t="s">
        <v>1392</v>
      </c>
      <c r="G26" s="198" t="s">
        <v>1700</v>
      </c>
      <c r="H26" s="25" t="s">
        <v>1700</v>
      </c>
      <c r="I26" s="27"/>
      <c r="J26" s="27" t="s">
        <v>866</v>
      </c>
      <c r="K26" s="28"/>
      <c r="L26" s="29"/>
      <c r="M26" s="29"/>
      <c r="N26" s="29"/>
      <c r="O26" s="29"/>
      <c r="P26" s="17"/>
      <c r="Q26" s="176"/>
      <c r="R26" s="29" t="s">
        <v>854</v>
      </c>
      <c r="S26" s="8"/>
      <c r="T26" s="8"/>
      <c r="U26" s="8"/>
      <c r="V26" s="8"/>
      <c r="W26" s="93">
        <v>0</v>
      </c>
      <c r="X26" s="84"/>
      <c r="Y26" s="84"/>
      <c r="Z26" s="84"/>
      <c r="AA26" s="84"/>
      <c r="AB26" s="84"/>
      <c r="AC26" s="26"/>
      <c r="AD26" s="26"/>
      <c r="AE26" s="8"/>
      <c r="AF26" s="8"/>
      <c r="AG26" s="8"/>
      <c r="AH26" s="26"/>
      <c r="AI26" s="8"/>
      <c r="AJ26" s="8"/>
      <c r="AK26" s="8"/>
      <c r="AL26" s="8"/>
      <c r="AM26" s="26"/>
      <c r="AN26" s="8"/>
      <c r="AO26" s="8"/>
      <c r="AP26" s="8"/>
      <c r="AQ26" s="8"/>
      <c r="AR26" s="26"/>
      <c r="AS26" s="8"/>
      <c r="AT26" s="8"/>
      <c r="AU26" s="8"/>
      <c r="AV26" s="8"/>
      <c r="AW26" s="26"/>
      <c r="AX26" s="8"/>
      <c r="AY26" s="8"/>
      <c r="AZ26" s="8"/>
      <c r="BA26" s="8"/>
      <c r="BB26" s="26"/>
      <c r="BC26" s="8"/>
      <c r="BD26" s="8"/>
      <c r="BE26" s="8"/>
      <c r="BF26" s="8"/>
      <c r="BG26" s="26"/>
      <c r="BH26" s="8"/>
      <c r="BI26" s="8"/>
      <c r="BJ26" s="8"/>
      <c r="BK26" s="8"/>
      <c r="BL26" s="26"/>
      <c r="BM26" s="8"/>
      <c r="BN26" s="8"/>
      <c r="BO26" s="8"/>
      <c r="BP26" s="8"/>
      <c r="BQ26" s="26"/>
      <c r="BR26" s="8"/>
      <c r="BS26" s="8"/>
      <c r="BT26" s="8"/>
      <c r="BU26" s="8"/>
      <c r="BV26" s="26"/>
      <c r="BW26" s="8"/>
      <c r="BX26" s="8"/>
      <c r="BY26" s="8"/>
      <c r="BZ26" s="8"/>
      <c r="CA26" s="8"/>
      <c r="CB26" s="278"/>
      <c r="CC26" s="278"/>
      <c r="CD26" s="8"/>
      <c r="CE26" s="8"/>
      <c r="CF26" s="279"/>
      <c r="CG26" s="278"/>
      <c r="CH26" s="26"/>
      <c r="CI26" s="8"/>
      <c r="CJ26" s="8"/>
      <c r="CK26" s="8"/>
      <c r="CL26" s="26"/>
      <c r="CM26" s="26"/>
      <c r="CN26" s="8"/>
      <c r="CO26" s="8"/>
      <c r="CP26" s="8"/>
      <c r="CQ26" s="26"/>
      <c r="CR26" s="26"/>
      <c r="CS26" s="8"/>
      <c r="CT26" s="8"/>
      <c r="CU26" s="8"/>
      <c r="CV26" s="26"/>
      <c r="CW26" s="8"/>
      <c r="CX26" s="8"/>
      <c r="CY26" s="8"/>
      <c r="CZ26" s="8"/>
      <c r="DA26" s="26"/>
      <c r="DB26" s="8"/>
      <c r="DC26" s="8"/>
      <c r="DD26" s="8"/>
      <c r="DE26" s="8"/>
      <c r="DF26" s="26"/>
      <c r="DG26" s="8"/>
      <c r="DH26" s="8"/>
      <c r="DI26" s="8"/>
      <c r="DJ26" s="8"/>
      <c r="DK26" s="26"/>
      <c r="DL26" s="8"/>
      <c r="DM26" s="8"/>
      <c r="DN26" s="8"/>
      <c r="DO26" s="8"/>
      <c r="DP26" s="26"/>
      <c r="DQ26" s="8"/>
      <c r="DR26" s="8"/>
      <c r="DS26" s="8"/>
      <c r="DT26" s="8"/>
      <c r="DU26" s="26"/>
      <c r="DV26" s="8"/>
      <c r="DW26" s="8"/>
      <c r="DX26" s="8"/>
      <c r="DY26" s="8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  <c r="EN26" s="8"/>
      <c r="EO26" s="8"/>
      <c r="EP26" s="8"/>
      <c r="EQ26" s="8"/>
      <c r="ER26" s="8"/>
      <c r="ES26" s="8"/>
      <c r="ET26" s="8"/>
      <c r="EU26" s="8"/>
      <c r="EV26" s="8"/>
      <c r="EW26" s="8"/>
      <c r="EX26" s="8"/>
      <c r="EZ26" s="8"/>
      <c r="FA26" s="8"/>
      <c r="FB26" s="8"/>
      <c r="FC26" s="8"/>
      <c r="FD26" s="8"/>
      <c r="FE26" s="8"/>
      <c r="FF26" s="8"/>
      <c r="FG26" s="8"/>
      <c r="FH26" s="8"/>
      <c r="FI26" s="8"/>
      <c r="FJ26" s="8"/>
      <c r="FL26" s="8"/>
      <c r="FM26" s="8"/>
      <c r="FN26" s="8"/>
      <c r="FO26" s="8"/>
      <c r="FP26" s="8"/>
      <c r="FQ26" s="8"/>
      <c r="FR26" s="8"/>
      <c r="FS26" s="8"/>
      <c r="FT26" s="8"/>
      <c r="FU26" s="8"/>
      <c r="FV26" s="8"/>
      <c r="FX26" s="8"/>
      <c r="FY26" s="8"/>
      <c r="FZ26" s="8"/>
      <c r="GA26" s="8"/>
      <c r="GB26" s="8"/>
      <c r="GC26" s="8"/>
      <c r="GD26" s="8"/>
      <c r="GE26" s="8"/>
      <c r="GF26" s="8"/>
      <c r="GG26" s="8"/>
      <c r="GH26" s="8"/>
      <c r="GJ26" s="8"/>
      <c r="GK26" s="8"/>
      <c r="GL26" s="8"/>
      <c r="GM26" s="8"/>
      <c r="GN26" s="8"/>
      <c r="GO26" s="8"/>
      <c r="GP26" s="8"/>
      <c r="GQ26" s="8"/>
      <c r="GR26" s="8"/>
      <c r="GS26" s="8"/>
      <c r="GT26" s="8"/>
      <c r="GV26" s="8"/>
      <c r="GW26" s="8"/>
      <c r="GX26" s="8"/>
      <c r="GY26" s="8"/>
      <c r="GZ26" s="8"/>
      <c r="HA26" s="8"/>
      <c r="HB26" s="8"/>
      <c r="HC26" s="8"/>
      <c r="HD26" s="8"/>
      <c r="HE26" s="8"/>
      <c r="HF26" s="8"/>
      <c r="HH26" s="8"/>
      <c r="HI26" s="8"/>
      <c r="HJ26" s="8"/>
      <c r="HK26" s="8"/>
      <c r="HL26" s="8"/>
      <c r="HM26" s="8"/>
      <c r="HN26" s="8"/>
      <c r="HO26" s="8"/>
      <c r="HP26" s="8"/>
      <c r="HQ26" s="8"/>
    </row>
    <row r="27" spans="1:225" s="19" customFormat="1" x14ac:dyDescent="0.25">
      <c r="A27" s="8" t="s">
        <v>4695</v>
      </c>
      <c r="B27" s="24" t="s">
        <v>880</v>
      </c>
      <c r="C27" s="25"/>
      <c r="D27" s="26"/>
      <c r="E27" s="26"/>
      <c r="F27" s="198" t="s">
        <v>1700</v>
      </c>
      <c r="G27" s="198" t="s">
        <v>1700</v>
      </c>
      <c r="H27" s="25" t="s">
        <v>1700</v>
      </c>
      <c r="I27" s="27" t="s">
        <v>3894</v>
      </c>
      <c r="J27" s="27" t="s">
        <v>866</v>
      </c>
      <c r="K27" s="28" t="s">
        <v>3907</v>
      </c>
      <c r="L27" s="29"/>
      <c r="M27" s="29"/>
      <c r="N27" s="29"/>
      <c r="O27" s="29"/>
      <c r="P27" s="17">
        <v>1</v>
      </c>
      <c r="Q27" s="176"/>
      <c r="R27" s="29"/>
      <c r="S27" s="8"/>
      <c r="T27" s="8"/>
      <c r="U27" s="8"/>
      <c r="V27" s="8"/>
      <c r="W27" s="93"/>
      <c r="X27" s="84"/>
      <c r="Y27" s="84"/>
      <c r="Z27" s="84"/>
      <c r="AA27" s="84"/>
      <c r="AB27" s="84"/>
      <c r="AC27" s="26"/>
      <c r="AD27" s="26"/>
      <c r="AE27" s="8"/>
      <c r="AF27" s="8"/>
      <c r="AG27" s="8"/>
      <c r="AH27" s="26"/>
      <c r="AI27" s="8"/>
      <c r="AJ27" s="8"/>
      <c r="AK27" s="8"/>
      <c r="AL27" s="8"/>
      <c r="AM27" s="26"/>
      <c r="AN27" s="8"/>
      <c r="AO27" s="8"/>
      <c r="AP27" s="8"/>
      <c r="AQ27" s="8"/>
      <c r="AR27" s="26"/>
      <c r="AS27" s="8"/>
      <c r="AT27" s="8"/>
      <c r="AU27" s="8"/>
      <c r="AV27" s="8"/>
      <c r="AW27" s="26"/>
      <c r="AX27" s="8"/>
      <c r="AY27" s="8"/>
      <c r="AZ27" s="8"/>
      <c r="BA27" s="8"/>
      <c r="BB27" s="26"/>
      <c r="BC27" s="8"/>
      <c r="BD27" s="8"/>
      <c r="BE27" s="8"/>
      <c r="BF27" s="8"/>
      <c r="BG27" s="26"/>
      <c r="BH27" s="8"/>
      <c r="BI27" s="8"/>
      <c r="BJ27" s="8"/>
      <c r="BK27" s="8"/>
      <c r="BL27" s="26"/>
      <c r="BM27" s="8"/>
      <c r="BN27" s="8"/>
      <c r="BO27" s="8"/>
      <c r="BP27" s="8"/>
      <c r="BQ27" s="26"/>
      <c r="BR27" s="8"/>
      <c r="BS27" s="8"/>
      <c r="BT27" s="8"/>
      <c r="BU27" s="8"/>
      <c r="BV27" s="26"/>
      <c r="BW27" s="8"/>
      <c r="BX27" s="8"/>
      <c r="BY27" s="8"/>
      <c r="BZ27" s="8"/>
      <c r="CA27" s="8"/>
      <c r="CB27" s="278"/>
      <c r="CC27" s="278"/>
      <c r="CD27" s="8"/>
      <c r="CE27" s="8"/>
      <c r="CF27" s="279"/>
      <c r="CG27" s="278"/>
      <c r="CH27" s="26"/>
      <c r="CI27" s="8"/>
      <c r="CJ27" s="8"/>
      <c r="CK27" s="8"/>
      <c r="CL27" s="26"/>
      <c r="CM27" s="26"/>
      <c r="CN27" s="8"/>
      <c r="CO27" s="8"/>
      <c r="CP27" s="8"/>
      <c r="CQ27" s="26"/>
      <c r="CR27" s="26"/>
      <c r="CS27" s="8"/>
      <c r="CT27" s="8"/>
      <c r="CU27" s="8"/>
      <c r="CV27" s="26"/>
      <c r="CW27" s="8"/>
      <c r="CX27" s="8"/>
      <c r="CY27" s="8"/>
      <c r="CZ27" s="8"/>
      <c r="DA27" s="26"/>
      <c r="DB27" s="8"/>
      <c r="DC27" s="8"/>
      <c r="DD27" s="8"/>
      <c r="DE27" s="8"/>
      <c r="DF27" s="26"/>
      <c r="DG27" s="8"/>
      <c r="DH27" s="8"/>
      <c r="DI27" s="8"/>
      <c r="DJ27" s="8"/>
      <c r="DK27" s="26"/>
      <c r="DL27" s="8"/>
      <c r="DM27" s="8"/>
      <c r="DN27" s="8"/>
      <c r="DO27" s="8"/>
      <c r="DP27" s="26"/>
      <c r="DQ27" s="8"/>
      <c r="DR27" s="8"/>
      <c r="DS27" s="8"/>
      <c r="DT27" s="8"/>
      <c r="DU27" s="26"/>
      <c r="DV27" s="8"/>
      <c r="DW27" s="8"/>
      <c r="DX27" s="8"/>
      <c r="DY27" s="8"/>
      <c r="DZ27" s="279"/>
      <c r="EB27" s="8"/>
      <c r="EC27" s="8"/>
      <c r="ED27" s="8"/>
      <c r="EE27" s="8"/>
      <c r="EF27" s="8"/>
      <c r="EG27" s="8"/>
      <c r="EH27" s="8"/>
      <c r="EI27" s="8"/>
      <c r="EJ27" s="8"/>
      <c r="EK27" s="8"/>
      <c r="EL27" s="8"/>
      <c r="EN27" s="8"/>
      <c r="EO27" s="8"/>
      <c r="EP27" s="8"/>
      <c r="EQ27" s="8"/>
      <c r="ER27" s="8"/>
      <c r="ES27" s="8"/>
      <c r="ET27" s="8"/>
      <c r="EU27" s="8"/>
      <c r="EV27" s="8"/>
      <c r="EW27" s="8"/>
      <c r="EX27" s="8"/>
      <c r="EZ27" s="8"/>
      <c r="FA27" s="8"/>
      <c r="FB27" s="8"/>
      <c r="FC27" s="8"/>
      <c r="FD27" s="8"/>
      <c r="FE27" s="8"/>
      <c r="FF27" s="8"/>
      <c r="FG27" s="8"/>
      <c r="FH27" s="8"/>
      <c r="FI27" s="8"/>
      <c r="FJ27" s="8"/>
      <c r="FL27" s="8"/>
      <c r="FM27" s="8"/>
      <c r="FN27" s="8"/>
      <c r="FO27" s="8"/>
      <c r="FP27" s="8"/>
      <c r="FQ27" s="8"/>
      <c r="FR27" s="8"/>
      <c r="FS27" s="8"/>
      <c r="FT27" s="8"/>
      <c r="FU27" s="8"/>
      <c r="FV27" s="8"/>
      <c r="FX27" s="8"/>
      <c r="FY27" s="8"/>
      <c r="FZ27" s="8"/>
      <c r="GA27" s="8"/>
      <c r="GB27" s="8"/>
      <c r="GC27" s="8"/>
      <c r="GD27" s="8"/>
      <c r="GE27" s="8"/>
      <c r="GF27" s="8"/>
      <c r="GG27" s="8"/>
      <c r="GH27" s="8"/>
      <c r="GJ27" s="8"/>
      <c r="GK27" s="8"/>
      <c r="GL27" s="8"/>
      <c r="GM27" s="8"/>
      <c r="GN27" s="8"/>
      <c r="GO27" s="8"/>
      <c r="GP27" s="8"/>
      <c r="GQ27" s="8"/>
      <c r="GR27" s="8"/>
      <c r="GS27" s="8"/>
      <c r="GT27" s="8"/>
      <c r="GV27" s="8"/>
      <c r="GW27" s="8"/>
      <c r="GX27" s="8"/>
      <c r="GY27" s="8"/>
      <c r="GZ27" s="8"/>
      <c r="HA27" s="8"/>
      <c r="HB27" s="8"/>
      <c r="HC27" s="8"/>
      <c r="HD27" s="8"/>
      <c r="HE27" s="8"/>
      <c r="HF27" s="8"/>
      <c r="HH27" s="8"/>
      <c r="HI27" s="8"/>
      <c r="HJ27" s="8"/>
      <c r="HK27" s="8"/>
      <c r="HL27" s="8"/>
      <c r="HM27" s="8"/>
      <c r="HN27" s="8"/>
      <c r="HO27" s="8"/>
      <c r="HP27" s="8"/>
      <c r="HQ27" s="8"/>
    </row>
    <row r="28" spans="1:225" s="19" customFormat="1" x14ac:dyDescent="0.25">
      <c r="A28" s="8" t="s">
        <v>2238</v>
      </c>
      <c r="B28" s="24" t="s">
        <v>2239</v>
      </c>
      <c r="C28" s="25" t="s">
        <v>2240</v>
      </c>
      <c r="D28" s="26"/>
      <c r="E28" s="26" t="s">
        <v>1762</v>
      </c>
      <c r="F28" s="198" t="s">
        <v>1700</v>
      </c>
      <c r="G28" s="198" t="s">
        <v>1700</v>
      </c>
      <c r="H28" s="25" t="s">
        <v>1700</v>
      </c>
      <c r="I28" s="27"/>
      <c r="J28" s="27" t="s">
        <v>866</v>
      </c>
      <c r="K28" s="28"/>
      <c r="L28" s="29"/>
      <c r="M28" s="29"/>
      <c r="N28" s="29"/>
      <c r="O28" s="29"/>
      <c r="P28" s="17"/>
      <c r="Q28" s="176"/>
      <c r="R28" s="29"/>
      <c r="S28" s="8"/>
      <c r="T28" s="8"/>
      <c r="U28" s="8"/>
      <c r="V28" s="8"/>
      <c r="W28" s="93">
        <v>0</v>
      </c>
      <c r="X28" s="84" t="s">
        <v>1700</v>
      </c>
      <c r="Y28" s="84" t="s">
        <v>1700</v>
      </c>
      <c r="Z28" s="84"/>
      <c r="AA28" s="84" t="s">
        <v>2241</v>
      </c>
      <c r="AB28" s="84" t="s">
        <v>221</v>
      </c>
      <c r="AC28" s="26"/>
      <c r="AD28" s="26"/>
      <c r="AE28" s="8"/>
      <c r="AF28" s="8"/>
      <c r="AG28" s="8"/>
      <c r="AH28" s="26"/>
      <c r="AI28" s="8"/>
      <c r="AJ28" s="8"/>
      <c r="AK28" s="8"/>
      <c r="AL28" s="8"/>
      <c r="AM28" s="26"/>
      <c r="AN28" s="8"/>
      <c r="AO28" s="8"/>
      <c r="AP28" s="8"/>
      <c r="AQ28" s="8"/>
      <c r="AR28" s="26"/>
      <c r="AS28" s="8"/>
      <c r="AT28" s="8"/>
      <c r="AU28" s="8"/>
      <c r="AV28" s="8"/>
      <c r="AW28" s="26"/>
      <c r="AX28" s="8"/>
      <c r="AY28" s="8"/>
      <c r="AZ28" s="8"/>
      <c r="BA28" s="8"/>
      <c r="BB28" s="26"/>
      <c r="BC28" s="8"/>
      <c r="BD28" s="8"/>
      <c r="BE28" s="8"/>
      <c r="BF28" s="8"/>
      <c r="BG28" s="26"/>
      <c r="BH28" s="8"/>
      <c r="BI28" s="8"/>
      <c r="BJ28" s="8"/>
      <c r="BK28" s="8"/>
      <c r="BL28" s="26"/>
      <c r="BM28" s="8"/>
      <c r="BN28" s="8"/>
      <c r="BO28" s="8"/>
      <c r="BP28" s="8"/>
      <c r="BQ28" s="26"/>
      <c r="BR28" s="8"/>
      <c r="BS28" s="8"/>
      <c r="BT28" s="8"/>
      <c r="BU28" s="8"/>
      <c r="BV28" s="26"/>
      <c r="BW28" s="8"/>
      <c r="BX28" s="8"/>
      <c r="BY28" s="8"/>
      <c r="BZ28" s="8"/>
      <c r="CB28" s="26"/>
      <c r="CC28" s="26"/>
      <c r="CD28" s="8"/>
      <c r="CE28" s="8"/>
      <c r="CF28" s="8"/>
      <c r="CG28" s="26"/>
      <c r="CH28" s="8"/>
      <c r="CI28" s="8"/>
      <c r="CJ28" s="8"/>
      <c r="CK28" s="8"/>
      <c r="CL28" s="26"/>
      <c r="CM28" s="8"/>
      <c r="CN28" s="8"/>
      <c r="CO28" s="8"/>
      <c r="CP28" s="8"/>
      <c r="CQ28" s="26"/>
      <c r="CR28" s="8"/>
      <c r="CS28" s="8"/>
      <c r="CT28" s="8"/>
      <c r="CU28" s="8"/>
      <c r="CV28" s="26"/>
      <c r="CW28" s="8"/>
      <c r="CX28" s="8"/>
      <c r="CY28" s="8"/>
      <c r="CZ28" s="8"/>
      <c r="DA28" s="26"/>
      <c r="DB28" s="8"/>
      <c r="DC28" s="8"/>
      <c r="DD28" s="8"/>
      <c r="DE28" s="8"/>
      <c r="DF28" s="26"/>
      <c r="DG28" s="8"/>
      <c r="DH28" s="8"/>
      <c r="DI28" s="8"/>
      <c r="DJ28" s="8"/>
      <c r="DK28" s="26"/>
      <c r="DL28" s="8"/>
      <c r="DM28" s="8"/>
      <c r="DN28" s="8"/>
      <c r="DO28" s="8"/>
      <c r="DP28" s="26"/>
      <c r="DQ28" s="8"/>
      <c r="DR28" s="8"/>
      <c r="DS28" s="8"/>
      <c r="DT28" s="8"/>
      <c r="DU28" s="26"/>
      <c r="DV28" s="8"/>
      <c r="DW28" s="8"/>
      <c r="DX28" s="8"/>
      <c r="DY28" s="8"/>
      <c r="DZ28" s="257"/>
      <c r="EB28" s="8"/>
      <c r="EC28" s="8"/>
      <c r="ED28" s="8"/>
      <c r="EE28" s="8"/>
      <c r="EF28" s="8"/>
      <c r="EG28" s="8"/>
      <c r="EH28" s="8"/>
      <c r="EI28" s="8"/>
      <c r="EJ28" s="8"/>
      <c r="EK28" s="8"/>
      <c r="EL28" s="8"/>
      <c r="EN28" s="8"/>
      <c r="EO28" s="8"/>
      <c r="EP28" s="8"/>
      <c r="EQ28" s="8"/>
      <c r="ER28" s="8"/>
      <c r="ES28" s="8"/>
      <c r="ET28" s="8"/>
      <c r="EU28" s="8"/>
      <c r="EV28" s="8"/>
      <c r="EW28" s="8"/>
      <c r="EX28" s="8"/>
      <c r="EZ28" s="8"/>
      <c r="FA28" s="8"/>
      <c r="FB28" s="8"/>
      <c r="FC28" s="8"/>
      <c r="FD28" s="8"/>
      <c r="FE28" s="8"/>
      <c r="FF28" s="8"/>
      <c r="FG28" s="8"/>
      <c r="FH28" s="8"/>
      <c r="FI28" s="8"/>
      <c r="FJ28" s="8"/>
      <c r="FL28" s="8"/>
      <c r="FM28" s="8"/>
      <c r="FN28" s="8"/>
      <c r="FO28" s="8"/>
      <c r="FP28" s="8"/>
      <c r="FQ28" s="8"/>
      <c r="FR28" s="8"/>
      <c r="FS28" s="8"/>
      <c r="FT28" s="8"/>
      <c r="FU28" s="8"/>
      <c r="FV28" s="8"/>
      <c r="FX28" s="8"/>
      <c r="FY28" s="8"/>
      <c r="FZ28" s="8"/>
      <c r="GA28" s="8"/>
      <c r="GB28" s="8"/>
      <c r="GC28" s="8"/>
      <c r="GD28" s="8"/>
      <c r="GE28" s="8"/>
      <c r="GF28" s="8"/>
      <c r="GG28" s="8"/>
      <c r="GH28" s="8"/>
      <c r="GJ28" s="8"/>
      <c r="GK28" s="8"/>
      <c r="GL28" s="8"/>
      <c r="GM28" s="8"/>
      <c r="GN28" s="8"/>
      <c r="GO28" s="8"/>
      <c r="GP28" s="8"/>
      <c r="GQ28" s="8"/>
      <c r="GR28" s="8"/>
      <c r="GS28" s="8"/>
      <c r="GT28" s="8"/>
      <c r="GV28" s="8"/>
      <c r="GW28" s="8"/>
      <c r="GX28" s="8"/>
      <c r="GY28" s="8"/>
      <c r="GZ28" s="8"/>
      <c r="HA28" s="8"/>
      <c r="HB28" s="8"/>
      <c r="HC28" s="8"/>
      <c r="HD28" s="8"/>
      <c r="HE28" s="8"/>
      <c r="HF28" s="8"/>
      <c r="HH28" s="8"/>
      <c r="HI28" s="8"/>
      <c r="HJ28" s="8"/>
      <c r="HK28" s="8"/>
      <c r="HL28" s="8"/>
      <c r="HM28" s="8"/>
      <c r="HN28" s="8"/>
      <c r="HO28" s="8"/>
      <c r="HP28" s="8"/>
      <c r="HQ28" s="8"/>
    </row>
    <row r="29" spans="1:225" s="19" customFormat="1" x14ac:dyDescent="0.25">
      <c r="A29" s="8" t="s">
        <v>339</v>
      </c>
      <c r="B29" s="24" t="s">
        <v>944</v>
      </c>
      <c r="C29" s="25" t="s">
        <v>1524</v>
      </c>
      <c r="D29" s="26"/>
      <c r="E29" s="26" t="s">
        <v>1762</v>
      </c>
      <c r="F29" s="198" t="s">
        <v>1700</v>
      </c>
      <c r="G29" s="198" t="s">
        <v>1700</v>
      </c>
      <c r="H29" s="25" t="s">
        <v>1700</v>
      </c>
      <c r="I29" s="27" t="s">
        <v>3893</v>
      </c>
      <c r="J29" s="27" t="s">
        <v>866</v>
      </c>
      <c r="K29" s="28" t="s">
        <v>3907</v>
      </c>
      <c r="L29" s="29"/>
      <c r="M29" s="29"/>
      <c r="N29" s="29"/>
      <c r="O29" s="29"/>
      <c r="P29" s="17">
        <v>1</v>
      </c>
      <c r="Q29" s="176"/>
      <c r="R29" s="29" t="s">
        <v>1763</v>
      </c>
      <c r="S29" s="8"/>
      <c r="T29" s="8"/>
      <c r="U29" s="8"/>
      <c r="V29" s="8"/>
      <c r="W29" s="93">
        <v>0</v>
      </c>
      <c r="X29" s="84" t="s">
        <v>1700</v>
      </c>
      <c r="Y29" s="84" t="s">
        <v>190</v>
      </c>
      <c r="Z29" s="84"/>
      <c r="AA29" s="84" t="s">
        <v>1525</v>
      </c>
      <c r="AB29" s="84" t="s">
        <v>1957</v>
      </c>
      <c r="AC29" s="26"/>
      <c r="AD29" s="8"/>
      <c r="AE29" s="8"/>
      <c r="AF29" s="8"/>
      <c r="AG29" s="8"/>
      <c r="AH29" s="26"/>
      <c r="AI29" s="8"/>
      <c r="AJ29" s="8"/>
      <c r="AK29" s="8"/>
      <c r="AL29" s="8"/>
      <c r="AM29" s="26"/>
      <c r="AN29" s="8"/>
      <c r="AO29" s="8"/>
      <c r="AP29" s="8"/>
      <c r="AQ29" s="8"/>
      <c r="AR29" s="26"/>
      <c r="AS29" s="8"/>
      <c r="AT29" s="8"/>
      <c r="AU29" s="8"/>
      <c r="AV29" s="8"/>
      <c r="AW29" s="26"/>
      <c r="AX29" s="8"/>
      <c r="AY29" s="8"/>
      <c r="AZ29" s="8"/>
      <c r="BA29" s="8"/>
      <c r="BB29" s="26"/>
      <c r="BC29" s="8"/>
      <c r="BD29" s="8"/>
      <c r="BE29" s="8"/>
      <c r="BF29" s="8"/>
      <c r="BG29" s="26"/>
      <c r="BH29" s="8"/>
      <c r="BI29" s="8"/>
      <c r="BJ29" s="8"/>
      <c r="BK29" s="8"/>
      <c r="BL29" s="26"/>
      <c r="BM29" s="8"/>
      <c r="BN29" s="8"/>
      <c r="BO29" s="8"/>
      <c r="BP29" s="8"/>
      <c r="BQ29" s="26"/>
      <c r="BR29" s="8"/>
      <c r="BS29" s="8"/>
      <c r="BT29" s="8"/>
      <c r="BU29" s="8"/>
      <c r="BY29" s="8"/>
      <c r="CA29" s="8"/>
      <c r="CB29" s="26"/>
      <c r="CC29" s="8"/>
      <c r="CD29" s="8"/>
      <c r="CE29" s="8"/>
      <c r="CF29" s="8"/>
      <c r="CG29" s="26"/>
      <c r="CH29" s="8"/>
      <c r="CI29" s="8"/>
      <c r="CJ29" s="8"/>
      <c r="CK29" s="8"/>
      <c r="CL29" s="26"/>
      <c r="CM29" s="8"/>
      <c r="CN29" s="8"/>
      <c r="CO29" s="8"/>
      <c r="CP29" s="8"/>
      <c r="CQ29" s="26"/>
      <c r="CR29" s="8"/>
      <c r="CS29" s="8"/>
      <c r="CT29" s="8"/>
      <c r="CU29" s="8"/>
      <c r="CV29" s="26"/>
      <c r="CW29" s="8"/>
      <c r="CX29" s="8"/>
      <c r="CY29" s="8"/>
      <c r="CZ29" s="8"/>
      <c r="DA29" s="26"/>
      <c r="DB29" s="8"/>
      <c r="DC29" s="8"/>
      <c r="DD29" s="8"/>
      <c r="DE29" s="8"/>
      <c r="DF29" s="26"/>
      <c r="DG29" s="8"/>
      <c r="DH29" s="8"/>
      <c r="DI29" s="8"/>
      <c r="DJ29" s="8"/>
      <c r="DK29" s="26"/>
      <c r="DL29" s="8"/>
      <c r="DM29" s="8"/>
      <c r="DN29" s="8"/>
      <c r="DO29" s="8"/>
      <c r="DP29" s="26"/>
      <c r="DQ29" s="8"/>
      <c r="DR29" s="8"/>
      <c r="DS29" s="8"/>
      <c r="DT29" s="8"/>
      <c r="DZ29" s="279"/>
      <c r="EB29" s="8"/>
      <c r="EC29" s="8"/>
      <c r="ED29" s="8"/>
      <c r="EE29" s="8"/>
      <c r="EF29" s="8"/>
      <c r="EG29" s="8"/>
      <c r="EH29" s="8"/>
      <c r="EI29" s="8"/>
      <c r="EJ29" s="8"/>
      <c r="EK29" s="8"/>
      <c r="EL29" s="8"/>
      <c r="EN29" s="8"/>
      <c r="EO29" s="8"/>
      <c r="EP29" s="8"/>
      <c r="EQ29" s="8"/>
      <c r="ER29" s="8"/>
      <c r="ES29" s="8"/>
      <c r="ET29" s="8"/>
      <c r="EU29" s="8"/>
      <c r="EV29" s="8"/>
      <c r="EW29" s="8"/>
      <c r="EX29" s="8"/>
      <c r="EZ29" s="8"/>
      <c r="FA29" s="8"/>
      <c r="FB29" s="8"/>
      <c r="FC29" s="8"/>
      <c r="FD29" s="8"/>
      <c r="FE29" s="8"/>
      <c r="FF29" s="8"/>
      <c r="FG29" s="8"/>
      <c r="FH29" s="8"/>
      <c r="FI29" s="8"/>
      <c r="FJ29" s="8"/>
      <c r="FL29" s="8"/>
      <c r="FM29" s="8"/>
      <c r="FN29" s="8"/>
      <c r="FO29" s="8"/>
      <c r="FP29" s="8"/>
      <c r="FQ29" s="8"/>
      <c r="FR29" s="8"/>
      <c r="FS29" s="8"/>
      <c r="FT29" s="8"/>
      <c r="FU29" s="8"/>
      <c r="FV29" s="8"/>
      <c r="FX29" s="8"/>
      <c r="FY29" s="8"/>
      <c r="FZ29" s="8"/>
      <c r="GA29" s="8"/>
      <c r="GB29" s="8"/>
      <c r="GC29" s="8"/>
      <c r="GD29" s="8"/>
      <c r="GE29" s="8"/>
      <c r="GF29" s="8"/>
      <c r="GG29" s="8"/>
      <c r="GH29" s="8"/>
      <c r="GJ29" s="8"/>
      <c r="GK29" s="8"/>
      <c r="GL29" s="8"/>
      <c r="GM29" s="8"/>
      <c r="GN29" s="8"/>
      <c r="GO29" s="8"/>
      <c r="GP29" s="8"/>
      <c r="GQ29" s="8"/>
      <c r="GR29" s="8"/>
      <c r="GS29" s="8"/>
      <c r="GT29" s="8"/>
      <c r="GV29" s="8"/>
      <c r="GW29" s="8"/>
      <c r="GX29" s="8"/>
      <c r="GY29" s="8"/>
      <c r="GZ29" s="8"/>
      <c r="HA29" s="8"/>
      <c r="HB29" s="8"/>
      <c r="HC29" s="8"/>
      <c r="HD29" s="8"/>
      <c r="HE29" s="8"/>
      <c r="HF29" s="8"/>
      <c r="HH29" s="8"/>
      <c r="HI29" s="8"/>
      <c r="HJ29" s="8"/>
      <c r="HK29" s="8"/>
      <c r="HL29" s="8"/>
      <c r="HM29" s="8"/>
      <c r="HN29" s="8"/>
      <c r="HO29" s="8"/>
      <c r="HP29" s="8"/>
      <c r="HQ29" s="8"/>
    </row>
    <row r="30" spans="1:225" s="19" customFormat="1" ht="13.5" x14ac:dyDescent="0.25">
      <c r="A30" s="8" t="s">
        <v>970</v>
      </c>
      <c r="B30" s="24" t="s">
        <v>971</v>
      </c>
      <c r="C30" s="25"/>
      <c r="D30" s="26">
        <v>29787</v>
      </c>
      <c r="E30" s="26" t="s">
        <v>1762</v>
      </c>
      <c r="F30" s="198" t="s">
        <v>2971</v>
      </c>
      <c r="G30" s="198" t="s">
        <v>1700</v>
      </c>
      <c r="H30" s="25" t="s">
        <v>1700</v>
      </c>
      <c r="I30" s="27"/>
      <c r="J30" s="27" t="s">
        <v>866</v>
      </c>
      <c r="K30" s="28"/>
      <c r="L30" s="29" t="s">
        <v>816</v>
      </c>
      <c r="M30" s="29"/>
      <c r="N30" s="29"/>
      <c r="O30" s="29"/>
      <c r="P30" s="17"/>
      <c r="Q30" s="176"/>
      <c r="R30" s="29" t="s">
        <v>855</v>
      </c>
      <c r="S30" s="8"/>
      <c r="T30" s="8"/>
      <c r="U30" s="8"/>
      <c r="V30" s="8"/>
      <c r="W30" s="93">
        <v>0</v>
      </c>
      <c r="X30" s="84"/>
      <c r="Y30" s="84"/>
      <c r="Z30" s="84"/>
      <c r="AA30" s="84"/>
      <c r="AB30" s="84"/>
      <c r="AC30" s="26"/>
      <c r="AD30" s="26"/>
      <c r="AE30" s="8"/>
      <c r="AF30" s="8"/>
      <c r="AG30" s="8"/>
      <c r="AH30" s="26"/>
      <c r="AI30" s="8"/>
      <c r="AJ30" s="8"/>
      <c r="AK30" s="8"/>
      <c r="AL30" s="8"/>
      <c r="AM30" s="26"/>
      <c r="AN30" s="8"/>
      <c r="AO30" s="8"/>
      <c r="AP30" s="8"/>
      <c r="AQ30" s="8"/>
      <c r="AR30" s="26"/>
      <c r="AS30" s="8"/>
      <c r="AT30" s="8"/>
      <c r="AU30" s="8"/>
      <c r="AV30" s="8"/>
      <c r="AW30" s="26"/>
      <c r="AX30" s="8"/>
      <c r="AY30" s="8"/>
      <c r="AZ30" s="8"/>
      <c r="BA30" s="8"/>
      <c r="BB30" s="26"/>
      <c r="BC30" s="8"/>
      <c r="BD30" s="8"/>
      <c r="BE30" s="8"/>
      <c r="BF30" s="8"/>
      <c r="BG30" s="26"/>
      <c r="BH30" s="8"/>
      <c r="BI30" s="8"/>
      <c r="BJ30" s="8"/>
      <c r="BK30" s="8"/>
      <c r="BL30" s="26"/>
      <c r="BM30" s="8"/>
      <c r="BN30" s="8"/>
      <c r="BO30" s="8"/>
      <c r="BP30" s="8"/>
      <c r="BQ30" s="26"/>
      <c r="BR30" s="8"/>
      <c r="BS30" s="8"/>
      <c r="BT30" s="8"/>
      <c r="BU30" s="8"/>
      <c r="BV30" s="26"/>
      <c r="BW30" s="8"/>
      <c r="BX30" s="8"/>
      <c r="BY30" s="8"/>
      <c r="BZ30" s="8"/>
      <c r="CA30" s="8"/>
      <c r="CB30" s="278"/>
      <c r="CC30" s="278"/>
      <c r="CD30"/>
      <c r="CF30" s="279"/>
      <c r="CG30" s="278"/>
      <c r="CH30" s="278"/>
      <c r="CI30"/>
      <c r="CK30" s="279"/>
      <c r="CL30" s="278"/>
      <c r="CM30" s="278"/>
      <c r="CN30"/>
      <c r="CP30" s="279"/>
      <c r="CQ30"/>
      <c r="CR30"/>
      <c r="CS30"/>
      <c r="CU30"/>
      <c r="CV30"/>
      <c r="CW30"/>
      <c r="CX30"/>
      <c r="CZ30"/>
      <c r="DA30"/>
      <c r="DB30"/>
      <c r="DC30"/>
      <c r="DE30"/>
      <c r="DF30"/>
      <c r="DG30"/>
      <c r="DH30"/>
      <c r="DJ30"/>
      <c r="DK30"/>
      <c r="DL30"/>
      <c r="DM30"/>
      <c r="DO30"/>
      <c r="DP30"/>
      <c r="DQ30"/>
      <c r="DR30"/>
      <c r="DT30"/>
      <c r="DU30"/>
      <c r="DV30"/>
      <c r="DW30"/>
      <c r="DY30"/>
      <c r="DZ30" s="8"/>
      <c r="EB30" s="8"/>
      <c r="EC30" s="8"/>
      <c r="ED30" s="8"/>
      <c r="EE30" s="8"/>
      <c r="EF30" s="8"/>
      <c r="EG30" s="8"/>
      <c r="EH30" s="8"/>
      <c r="EI30" s="8"/>
      <c r="EJ30" s="8"/>
      <c r="EK30" s="8"/>
      <c r="EL30" s="8"/>
      <c r="EN30" s="8"/>
      <c r="EO30" s="8"/>
      <c r="EP30" s="8"/>
      <c r="EQ30" s="8"/>
      <c r="ER30" s="8"/>
      <c r="ES30" s="8"/>
      <c r="ET30" s="8"/>
      <c r="EU30" s="8"/>
      <c r="EV30" s="8"/>
      <c r="EW30" s="8"/>
      <c r="EX30" s="8"/>
      <c r="EZ30" s="8"/>
      <c r="FA30" s="8"/>
      <c r="FB30" s="8"/>
      <c r="FC30" s="8"/>
      <c r="FD30" s="8"/>
      <c r="FE30" s="8"/>
      <c r="FF30" s="8"/>
      <c r="FG30" s="8"/>
      <c r="FH30" s="8"/>
      <c r="FI30" s="8"/>
      <c r="FJ30" s="8"/>
      <c r="FL30" s="8"/>
      <c r="FM30" s="8"/>
      <c r="FN30" s="8"/>
      <c r="FO30" s="8"/>
      <c r="FP30" s="8"/>
      <c r="FQ30" s="8"/>
      <c r="FR30" s="8"/>
      <c r="FS30" s="8"/>
      <c r="FT30" s="8"/>
      <c r="FU30" s="8"/>
      <c r="FV30" s="8"/>
      <c r="FX30" s="8"/>
      <c r="FY30" s="8"/>
      <c r="FZ30" s="8"/>
      <c r="GA30" s="8"/>
      <c r="GB30" s="8"/>
      <c r="GC30" s="8"/>
      <c r="GD30" s="8"/>
      <c r="GE30" s="8"/>
      <c r="GF30" s="8"/>
      <c r="GG30" s="8"/>
      <c r="GH30" s="8"/>
      <c r="GJ30" s="8"/>
      <c r="GK30" s="8"/>
      <c r="GL30" s="8"/>
      <c r="GM30" s="8"/>
      <c r="GN30" s="8"/>
      <c r="GO30" s="8"/>
      <c r="GP30" s="8"/>
      <c r="GQ30" s="8"/>
      <c r="GR30" s="8"/>
      <c r="GS30" s="8"/>
      <c r="GT30" s="8"/>
      <c r="GV30" s="8"/>
      <c r="GW30" s="8"/>
      <c r="GX30" s="8"/>
      <c r="GY30" s="8"/>
      <c r="GZ30" s="8"/>
      <c r="HA30" s="8"/>
      <c r="HB30" s="8"/>
      <c r="HC30" s="8"/>
      <c r="HD30" s="8"/>
      <c r="HE30" s="8"/>
      <c r="HF30" s="8"/>
      <c r="HH30" s="8"/>
      <c r="HI30" s="8"/>
      <c r="HJ30" s="8"/>
      <c r="HK30" s="8"/>
      <c r="HL30" s="8"/>
      <c r="HM30" s="8"/>
      <c r="HN30" s="8"/>
      <c r="HO30" s="8"/>
      <c r="HP30" s="8"/>
      <c r="HQ30" s="8"/>
    </row>
    <row r="31" spans="1:225" s="19" customFormat="1" x14ac:dyDescent="0.25">
      <c r="A31" s="8" t="s">
        <v>1677</v>
      </c>
      <c r="B31" s="24" t="s">
        <v>281</v>
      </c>
      <c r="C31" s="25" t="s">
        <v>1678</v>
      </c>
      <c r="D31" s="26"/>
      <c r="E31" s="26" t="s">
        <v>1764</v>
      </c>
      <c r="F31" s="198" t="s">
        <v>1672</v>
      </c>
      <c r="G31" s="198" t="s">
        <v>1700</v>
      </c>
      <c r="H31" s="25" t="s">
        <v>3531</v>
      </c>
      <c r="I31" s="27"/>
      <c r="J31" s="27" t="s">
        <v>866</v>
      </c>
      <c r="K31" s="28"/>
      <c r="L31" s="29"/>
      <c r="M31" s="29"/>
      <c r="N31" s="29"/>
      <c r="O31" s="29"/>
      <c r="P31" s="17"/>
      <c r="Q31" s="176"/>
      <c r="R31" s="29" t="s">
        <v>853</v>
      </c>
      <c r="S31" s="8"/>
      <c r="T31" s="8"/>
      <c r="U31" s="8"/>
      <c r="V31" s="8"/>
      <c r="W31" s="93">
        <v>0</v>
      </c>
      <c r="X31" s="84" t="s">
        <v>1700</v>
      </c>
      <c r="Y31" s="84" t="s">
        <v>195</v>
      </c>
      <c r="Z31" s="84"/>
      <c r="AA31" s="84" t="s">
        <v>1679</v>
      </c>
      <c r="AB31" s="84" t="s">
        <v>1575</v>
      </c>
      <c r="AC31" s="26"/>
      <c r="AD31" s="26"/>
      <c r="AE31" s="8"/>
      <c r="AF31" s="8"/>
      <c r="AG31" s="8"/>
      <c r="AH31" s="26"/>
      <c r="AI31" s="8"/>
      <c r="AJ31" s="8"/>
      <c r="AK31" s="8"/>
      <c r="AL31" s="8"/>
      <c r="AM31" s="26"/>
      <c r="AN31" s="8"/>
      <c r="AO31" s="8"/>
      <c r="AP31" s="8"/>
      <c r="AQ31" s="8"/>
      <c r="AR31" s="26"/>
      <c r="AS31" s="8"/>
      <c r="AT31" s="8"/>
      <c r="AU31" s="8"/>
      <c r="AV31" s="8"/>
      <c r="AW31" s="26"/>
      <c r="AX31" s="8"/>
      <c r="AY31" s="8"/>
      <c r="AZ31" s="8"/>
      <c r="BA31" s="8"/>
      <c r="BB31" s="26"/>
      <c r="BC31" s="8"/>
      <c r="BD31" s="8"/>
      <c r="BE31" s="8"/>
      <c r="BF31" s="8"/>
      <c r="BG31" s="26"/>
      <c r="BH31" s="8"/>
      <c r="BI31" s="8"/>
      <c r="BJ31" s="8"/>
      <c r="BK31" s="8"/>
      <c r="BL31" s="26"/>
      <c r="BM31" s="8"/>
      <c r="BN31" s="8"/>
      <c r="BO31" s="8"/>
      <c r="BP31" s="8"/>
      <c r="BQ31" s="26"/>
      <c r="BR31" s="8"/>
      <c r="BS31" s="8"/>
      <c r="BT31" s="8"/>
      <c r="BU31" s="8"/>
      <c r="BV31" s="26"/>
      <c r="BW31" s="8"/>
      <c r="BX31" s="8"/>
      <c r="BY31" s="8"/>
      <c r="BZ31" s="8"/>
      <c r="CB31" s="26">
        <v>42074</v>
      </c>
      <c r="CC31" s="26" t="s">
        <v>853</v>
      </c>
      <c r="CD31" s="8" t="s">
        <v>3532</v>
      </c>
      <c r="CE31" s="8">
        <v>393</v>
      </c>
      <c r="CF31" s="8">
        <v>160</v>
      </c>
      <c r="CG31" s="26"/>
      <c r="CH31" s="8"/>
      <c r="CI31" s="8"/>
      <c r="CJ31" s="8"/>
      <c r="CK31" s="8"/>
      <c r="CL31" s="26"/>
      <c r="CM31" s="8"/>
      <c r="CN31" s="8"/>
      <c r="CO31" s="8"/>
      <c r="CP31" s="8"/>
      <c r="CQ31" s="26"/>
      <c r="CR31" s="8"/>
      <c r="CS31" s="8"/>
      <c r="CT31" s="8"/>
      <c r="CU31" s="8"/>
      <c r="CV31" s="26"/>
      <c r="CW31" s="8"/>
      <c r="CX31" s="8"/>
      <c r="CY31" s="8"/>
      <c r="CZ31" s="8"/>
      <c r="DA31" s="26"/>
      <c r="DB31" s="8"/>
      <c r="DC31" s="8"/>
      <c r="DD31" s="8"/>
      <c r="DE31" s="8"/>
      <c r="DF31" s="26"/>
      <c r="DG31" s="8"/>
      <c r="DH31" s="8"/>
      <c r="DI31" s="8"/>
      <c r="DJ31" s="8"/>
      <c r="DK31" s="26"/>
      <c r="DL31" s="8"/>
      <c r="DM31" s="8"/>
      <c r="DN31" s="8"/>
      <c r="DO31" s="8"/>
      <c r="DP31" s="26"/>
      <c r="DQ31" s="8"/>
      <c r="DR31" s="8"/>
      <c r="DS31" s="8"/>
      <c r="DT31" s="8"/>
      <c r="DU31" s="26"/>
      <c r="DV31" s="8"/>
      <c r="DW31" s="8"/>
      <c r="DX31" s="8"/>
      <c r="DY31" s="8"/>
      <c r="DZ31" s="8"/>
      <c r="EB31" s="8"/>
      <c r="EC31" s="8"/>
      <c r="ED31" s="8"/>
      <c r="EE31" s="8"/>
      <c r="EF31" s="8"/>
      <c r="EG31" s="8"/>
      <c r="EH31" s="8"/>
      <c r="EI31" s="8"/>
      <c r="EJ31" s="8"/>
      <c r="EK31" s="8"/>
      <c r="EL31" s="8"/>
      <c r="EN31" s="8"/>
      <c r="EO31" s="8"/>
      <c r="EP31" s="8"/>
      <c r="EQ31" s="8"/>
      <c r="ER31" s="8"/>
      <c r="ES31" s="8"/>
      <c r="ET31" s="8"/>
      <c r="EU31" s="8"/>
      <c r="EV31" s="8"/>
      <c r="EW31" s="8"/>
      <c r="EX31" s="8"/>
      <c r="EZ31" s="8"/>
      <c r="FA31" s="8"/>
      <c r="FB31" s="8"/>
      <c r="FC31" s="8"/>
      <c r="FD31" s="8"/>
      <c r="FE31" s="8"/>
      <c r="FF31" s="8"/>
      <c r="FG31" s="8"/>
      <c r="FH31" s="8"/>
      <c r="FI31" s="8"/>
      <c r="FJ31" s="8"/>
      <c r="FL31" s="8"/>
      <c r="FM31" s="8"/>
      <c r="FN31" s="8"/>
      <c r="FO31" s="8"/>
      <c r="FP31" s="8"/>
      <c r="FQ31" s="8"/>
      <c r="FR31" s="8"/>
      <c r="FS31" s="8"/>
      <c r="FT31" s="8"/>
      <c r="FU31" s="8"/>
      <c r="FV31" s="8"/>
      <c r="FX31" s="8"/>
      <c r="FY31" s="8"/>
      <c r="FZ31" s="8"/>
      <c r="GA31" s="8"/>
      <c r="GB31" s="8"/>
      <c r="GC31" s="8"/>
      <c r="GD31" s="8"/>
      <c r="GE31" s="8"/>
      <c r="GF31" s="8"/>
      <c r="GG31" s="8"/>
      <c r="GH31" s="8"/>
      <c r="GJ31" s="8"/>
      <c r="GK31" s="8"/>
      <c r="GL31" s="8"/>
      <c r="GM31" s="8"/>
      <c r="GN31" s="8"/>
      <c r="GO31" s="8"/>
      <c r="GP31" s="8"/>
      <c r="GQ31" s="8"/>
      <c r="GR31" s="8"/>
      <c r="GS31" s="8"/>
      <c r="GT31" s="8"/>
      <c r="GV31" s="8"/>
      <c r="GW31" s="8"/>
      <c r="GX31" s="8"/>
      <c r="GY31" s="8"/>
      <c r="GZ31" s="8"/>
      <c r="HA31" s="8"/>
      <c r="HB31" s="8"/>
      <c r="HC31" s="8"/>
      <c r="HD31" s="8"/>
      <c r="HE31" s="8"/>
      <c r="HF31" s="8"/>
      <c r="HH31" s="8"/>
      <c r="HI31" s="8"/>
      <c r="HJ31" s="8"/>
      <c r="HK31" s="8"/>
      <c r="HL31" s="8"/>
      <c r="HM31" s="8"/>
      <c r="HN31" s="8"/>
      <c r="HO31" s="8"/>
      <c r="HP31" s="8"/>
      <c r="HQ31" s="8"/>
    </row>
    <row r="32" spans="1:225" s="19" customFormat="1" x14ac:dyDescent="0.25">
      <c r="A32" s="8" t="s">
        <v>1951</v>
      </c>
      <c r="B32" s="24" t="s">
        <v>966</v>
      </c>
      <c r="C32" s="25" t="s">
        <v>741</v>
      </c>
      <c r="D32" s="26"/>
      <c r="E32" s="26" t="s">
        <v>1762</v>
      </c>
      <c r="F32" s="198" t="s">
        <v>1609</v>
      </c>
      <c r="G32" s="198" t="s">
        <v>1700</v>
      </c>
      <c r="H32" s="25" t="s">
        <v>3523</v>
      </c>
      <c r="I32" s="27" t="s">
        <v>3894</v>
      </c>
      <c r="J32" s="27" t="s">
        <v>866</v>
      </c>
      <c r="K32" s="28" t="s">
        <v>853</v>
      </c>
      <c r="L32" s="29"/>
      <c r="M32" s="29"/>
      <c r="N32" s="29"/>
      <c r="O32" s="29"/>
      <c r="P32" s="17"/>
      <c r="Q32" s="93"/>
      <c r="R32" s="28" t="s">
        <v>853</v>
      </c>
      <c r="S32" s="29"/>
      <c r="T32" s="29"/>
      <c r="U32" s="29"/>
      <c r="V32" s="29"/>
      <c r="W32" s="95">
        <v>160</v>
      </c>
      <c r="X32" s="86" t="s">
        <v>1700</v>
      </c>
      <c r="Y32" s="86" t="s">
        <v>2499</v>
      </c>
      <c r="Z32" s="86"/>
      <c r="AA32" s="86" t="s">
        <v>16</v>
      </c>
      <c r="AB32" s="84" t="s">
        <v>126</v>
      </c>
      <c r="AC32" s="26">
        <v>42453</v>
      </c>
      <c r="AD32" s="8" t="s">
        <v>853</v>
      </c>
      <c r="AE32" s="8" t="s">
        <v>4753</v>
      </c>
      <c r="AF32" s="8">
        <v>384</v>
      </c>
      <c r="AG32" s="8">
        <v>160</v>
      </c>
      <c r="AH32" s="26"/>
      <c r="AM32" s="26"/>
      <c r="AR32" s="26"/>
      <c r="AW32" s="26"/>
      <c r="BB32" s="26"/>
      <c r="BG32" s="26"/>
      <c r="BL32" s="26"/>
      <c r="BQ32" s="26"/>
      <c r="BV32" s="26"/>
      <c r="CA32" s="8"/>
      <c r="CB32" s="26">
        <v>42074</v>
      </c>
      <c r="CC32" s="8" t="s">
        <v>853</v>
      </c>
      <c r="CD32" s="8" t="s">
        <v>3524</v>
      </c>
      <c r="CE32" s="8">
        <v>384</v>
      </c>
      <c r="CF32" s="8">
        <v>160</v>
      </c>
      <c r="CG32" s="26"/>
      <c r="CL32" s="26"/>
      <c r="CQ32" s="26"/>
      <c r="CV32" s="26"/>
      <c r="DA32" s="26"/>
      <c r="DF32" s="26"/>
      <c r="DK32" s="26"/>
      <c r="DP32" s="26"/>
      <c r="DU32" s="26"/>
      <c r="DZ32" s="8"/>
      <c r="EB32" s="8"/>
      <c r="EC32" s="8"/>
      <c r="ED32" s="8"/>
      <c r="EE32" s="8"/>
      <c r="EF32" s="8"/>
      <c r="EG32" s="8"/>
      <c r="EH32" s="8"/>
      <c r="EI32" s="8"/>
      <c r="EJ32" s="8"/>
      <c r="EK32" s="8"/>
      <c r="EL32" s="8"/>
      <c r="EN32" s="8"/>
      <c r="EO32" s="8"/>
      <c r="EP32" s="8"/>
      <c r="EQ32" s="8"/>
      <c r="ER32" s="8"/>
      <c r="ES32" s="8"/>
      <c r="ET32" s="8"/>
      <c r="EU32" s="8"/>
      <c r="EV32" s="8"/>
      <c r="EW32" s="8"/>
      <c r="EX32" s="8"/>
      <c r="EZ32" s="8"/>
      <c r="FA32" s="8"/>
      <c r="FB32" s="8"/>
      <c r="FC32" s="8"/>
      <c r="FD32" s="8"/>
      <c r="FE32" s="8"/>
      <c r="FF32" s="8"/>
      <c r="FG32" s="8"/>
      <c r="FH32" s="8"/>
      <c r="FI32" s="8"/>
      <c r="FJ32" s="8"/>
      <c r="FL32" s="8"/>
      <c r="FM32" s="8"/>
      <c r="FN32" s="8"/>
      <c r="FO32" s="8"/>
      <c r="FP32" s="8"/>
      <c r="FQ32" s="8"/>
      <c r="FR32" s="8"/>
      <c r="FS32" s="8"/>
      <c r="FT32" s="8"/>
      <c r="FU32" s="8"/>
      <c r="FV32" s="8"/>
      <c r="FX32" s="8"/>
      <c r="FY32" s="8"/>
      <c r="FZ32" s="8"/>
      <c r="GA32" s="8"/>
      <c r="GB32" s="8"/>
      <c r="GC32" s="8"/>
      <c r="GD32" s="8"/>
      <c r="GE32" s="8"/>
      <c r="GF32" s="8"/>
      <c r="GG32" s="8"/>
      <c r="GH32" s="8"/>
      <c r="GJ32" s="8"/>
      <c r="GK32" s="8"/>
      <c r="GL32" s="8"/>
      <c r="GM32" s="8"/>
      <c r="GN32" s="8"/>
      <c r="GO32" s="8"/>
      <c r="GP32" s="8"/>
      <c r="GQ32" s="8"/>
      <c r="GR32" s="8"/>
      <c r="GS32" s="8"/>
      <c r="GT32" s="8"/>
      <c r="GV32" s="8"/>
      <c r="GW32" s="8"/>
      <c r="GX32" s="8"/>
      <c r="GY32" s="8"/>
      <c r="GZ32" s="8"/>
      <c r="HA32" s="8"/>
      <c r="HB32" s="8"/>
      <c r="HC32" s="8"/>
      <c r="HD32" s="8"/>
      <c r="HE32" s="8"/>
      <c r="HF32" s="8"/>
      <c r="HH32" s="8"/>
      <c r="HI32" s="8"/>
      <c r="HJ32" s="8"/>
      <c r="HK32" s="8"/>
      <c r="HL32" s="8"/>
      <c r="HM32" s="8"/>
      <c r="HN32" s="8"/>
      <c r="HO32" s="8"/>
      <c r="HP32" s="8"/>
      <c r="HQ32" s="8"/>
    </row>
    <row r="33" spans="1:130" x14ac:dyDescent="0.25">
      <c r="A33" s="8" t="s">
        <v>317</v>
      </c>
      <c r="B33" s="24" t="s">
        <v>876</v>
      </c>
      <c r="D33" s="26">
        <v>22963</v>
      </c>
      <c r="E33" s="26" t="s">
        <v>1762</v>
      </c>
      <c r="F33" s="198" t="s">
        <v>36</v>
      </c>
      <c r="G33" s="198" t="s">
        <v>38</v>
      </c>
      <c r="H33" s="25" t="s">
        <v>37</v>
      </c>
      <c r="I33" s="27" t="s">
        <v>3904</v>
      </c>
      <c r="J33" s="27" t="s">
        <v>866</v>
      </c>
      <c r="K33" s="28" t="s">
        <v>816</v>
      </c>
      <c r="R33" s="29" t="s">
        <v>816</v>
      </c>
      <c r="W33" s="93">
        <v>0</v>
      </c>
      <c r="AD33" s="8"/>
      <c r="CB33" s="278"/>
      <c r="CD33" s="279"/>
      <c r="CG33" s="278"/>
      <c r="CH33" s="278"/>
      <c r="CI33" s="279"/>
      <c r="CK33" s="279"/>
      <c r="CL33" s="278"/>
      <c r="CM33" s="278"/>
      <c r="CN33" s="279"/>
      <c r="CP33" s="279"/>
      <c r="CQ33" s="278"/>
      <c r="CR33" s="279"/>
      <c r="CS33" s="279"/>
      <c r="CU33" s="279"/>
      <c r="CV33" s="278"/>
      <c r="CW33" s="279"/>
      <c r="CX33" s="279"/>
      <c r="CZ33" s="279"/>
      <c r="DA33" s="278"/>
      <c r="DB33" s="279"/>
      <c r="DC33" s="279"/>
      <c r="DE33" s="279"/>
      <c r="DF33" s="278"/>
      <c r="DG33" s="279"/>
      <c r="DH33" s="279"/>
      <c r="DJ33" s="279"/>
      <c r="DK33" s="278"/>
      <c r="DL33" s="279"/>
      <c r="DM33" s="279"/>
      <c r="DO33" s="279"/>
      <c r="DP33" s="278"/>
      <c r="DQ33" s="279"/>
      <c r="DR33" s="279"/>
      <c r="DT33" s="279"/>
      <c r="DU33" s="278"/>
      <c r="DV33" s="279"/>
      <c r="DW33" s="279"/>
      <c r="DY33" s="279"/>
    </row>
    <row r="34" spans="1:130" x14ac:dyDescent="0.25">
      <c r="A34" s="8" t="s">
        <v>4307</v>
      </c>
      <c r="B34" s="24" t="s">
        <v>933</v>
      </c>
      <c r="F34" s="198" t="s">
        <v>1700</v>
      </c>
      <c r="G34" s="198" t="s">
        <v>1700</v>
      </c>
      <c r="H34" s="25" t="s">
        <v>1700</v>
      </c>
      <c r="I34" s="27" t="s">
        <v>3902</v>
      </c>
      <c r="J34" s="27" t="s">
        <v>866</v>
      </c>
      <c r="K34" s="28" t="s">
        <v>3907</v>
      </c>
      <c r="P34" s="17">
        <v>1</v>
      </c>
      <c r="CB34" s="278"/>
      <c r="CG34" s="278"/>
    </row>
    <row r="35" spans="1:130" x14ac:dyDescent="0.25">
      <c r="A35" s="8" t="s">
        <v>593</v>
      </c>
      <c r="B35" s="24" t="s">
        <v>594</v>
      </c>
      <c r="D35" s="26">
        <v>22619</v>
      </c>
      <c r="E35" s="26" t="s">
        <v>1762</v>
      </c>
      <c r="F35" s="198" t="s">
        <v>3507</v>
      </c>
      <c r="G35" s="198" t="s">
        <v>1700</v>
      </c>
      <c r="H35" s="25" t="s">
        <v>1700</v>
      </c>
      <c r="J35" s="27" t="s">
        <v>866</v>
      </c>
      <c r="S35" s="8" t="s">
        <v>855</v>
      </c>
      <c r="W35" s="93">
        <v>0</v>
      </c>
      <c r="CA35" s="19"/>
      <c r="CB35" s="278"/>
      <c r="CD35" s="279"/>
      <c r="CG35" s="278"/>
      <c r="CH35" s="278"/>
      <c r="CI35" s="279"/>
      <c r="CK35" s="279"/>
      <c r="CL35" s="278"/>
      <c r="CM35" s="278"/>
      <c r="CN35" s="279"/>
      <c r="CP35" s="279"/>
      <c r="CQ35" s="278"/>
      <c r="CR35" s="279"/>
      <c r="CS35" s="279"/>
      <c r="CU35" s="279"/>
      <c r="CV35" s="278"/>
      <c r="CW35" s="279"/>
      <c r="CX35" s="279"/>
      <c r="CZ35" s="279"/>
      <c r="DA35" s="278"/>
      <c r="DB35" s="279"/>
      <c r="DC35" s="279"/>
      <c r="DE35" s="279"/>
      <c r="DF35" s="278"/>
      <c r="DG35" s="279"/>
      <c r="DH35" s="279"/>
      <c r="DJ35" s="279"/>
      <c r="DK35" s="278"/>
      <c r="DL35" s="279"/>
      <c r="DM35" s="279"/>
      <c r="DO35" s="279"/>
      <c r="DP35" s="278"/>
      <c r="DQ35" s="279"/>
      <c r="DR35" s="279"/>
      <c r="DT35" s="279"/>
      <c r="DU35" s="257"/>
      <c r="DV35" s="257"/>
      <c r="DW35" s="257"/>
      <c r="DY35" s="257"/>
    </row>
    <row r="36" spans="1:130" ht="12.75" customHeight="1" x14ac:dyDescent="0.25">
      <c r="A36" s="8" t="s">
        <v>1015</v>
      </c>
      <c r="B36" s="24" t="s">
        <v>876</v>
      </c>
      <c r="F36" s="198" t="s">
        <v>1700</v>
      </c>
      <c r="G36" s="198" t="s">
        <v>1700</v>
      </c>
      <c r="H36" s="25" t="s">
        <v>1700</v>
      </c>
      <c r="J36" s="27" t="s">
        <v>866</v>
      </c>
      <c r="W36" s="93">
        <v>0</v>
      </c>
      <c r="CB36" s="278"/>
      <c r="CD36" s="279"/>
      <c r="CG36" s="278"/>
      <c r="CH36" s="278"/>
      <c r="CI36" s="279"/>
      <c r="CK36" s="279"/>
      <c r="CL36" s="277"/>
      <c r="CM36" s="278"/>
      <c r="CN36" s="279"/>
      <c r="CP36" s="279"/>
      <c r="CQ36" s="278"/>
      <c r="CR36" s="279"/>
      <c r="CS36" s="279"/>
      <c r="CU36" s="279"/>
      <c r="CV36" s="278"/>
      <c r="CW36" s="279"/>
      <c r="CX36" s="279"/>
      <c r="CZ36" s="279"/>
      <c r="DA36" s="278"/>
      <c r="DB36" s="279"/>
      <c r="DC36" s="279"/>
      <c r="DE36" s="279"/>
      <c r="DF36" s="278"/>
      <c r="DG36" s="279"/>
      <c r="DH36" s="279"/>
      <c r="DJ36" s="279"/>
      <c r="DK36" s="278"/>
      <c r="DL36" s="279"/>
      <c r="DM36" s="279"/>
      <c r="DO36" s="279"/>
      <c r="DP36" s="278"/>
      <c r="DQ36" s="279"/>
      <c r="DR36" s="279"/>
      <c r="DT36" s="279"/>
      <c r="DU36" s="278"/>
      <c r="DV36" s="279"/>
      <c r="DW36" s="279"/>
      <c r="DY36" s="279"/>
    </row>
    <row r="37" spans="1:130" ht="12.75" customHeight="1" x14ac:dyDescent="0.25">
      <c r="A37" s="8" t="s">
        <v>1945</v>
      </c>
      <c r="B37" s="24" t="s">
        <v>1946</v>
      </c>
      <c r="C37" s="25" t="s">
        <v>1947</v>
      </c>
      <c r="E37" s="26" t="s">
        <v>1762</v>
      </c>
      <c r="F37" s="198" t="s">
        <v>1700</v>
      </c>
      <c r="G37" s="198" t="s">
        <v>1700</v>
      </c>
      <c r="H37" s="25" t="s">
        <v>1700</v>
      </c>
      <c r="J37" s="27" t="s">
        <v>866</v>
      </c>
      <c r="W37" s="93">
        <v>0</v>
      </c>
      <c r="X37" s="84" t="s">
        <v>1700</v>
      </c>
      <c r="Y37" s="84" t="s">
        <v>190</v>
      </c>
      <c r="AA37" s="84" t="s">
        <v>240</v>
      </c>
      <c r="AB37" s="84" t="s">
        <v>126</v>
      </c>
      <c r="CB37" s="26"/>
      <c r="CC37" s="26"/>
      <c r="CF37" s="8"/>
      <c r="CG37" s="26"/>
      <c r="CH37" s="8"/>
      <c r="CM37" s="8"/>
      <c r="CR37" s="8"/>
    </row>
    <row r="38" spans="1:130" x14ac:dyDescent="0.25">
      <c r="A38" s="8" t="s">
        <v>459</v>
      </c>
      <c r="B38" s="24" t="s">
        <v>463</v>
      </c>
      <c r="C38" s="25" t="s">
        <v>464</v>
      </c>
      <c r="E38" s="26" t="s">
        <v>1762</v>
      </c>
      <c r="F38" s="198" t="s">
        <v>946</v>
      </c>
      <c r="G38" s="198" t="s">
        <v>2679</v>
      </c>
      <c r="H38" s="25" t="s">
        <v>3884</v>
      </c>
      <c r="I38" s="27" t="s">
        <v>3896</v>
      </c>
      <c r="J38" s="27" t="s">
        <v>866</v>
      </c>
      <c r="K38" s="28" t="s">
        <v>853</v>
      </c>
      <c r="R38" s="29" t="s">
        <v>853</v>
      </c>
      <c r="W38" s="93">
        <v>80</v>
      </c>
      <c r="X38" s="84" t="s">
        <v>1700</v>
      </c>
      <c r="Y38" s="84" t="s">
        <v>498</v>
      </c>
      <c r="AA38" s="84" t="s">
        <v>465</v>
      </c>
      <c r="AB38" s="84" t="s">
        <v>1749</v>
      </c>
      <c r="AC38" s="26">
        <v>42545</v>
      </c>
      <c r="AD38" s="26" t="s">
        <v>853</v>
      </c>
      <c r="AE38" s="8" t="s">
        <v>4832</v>
      </c>
      <c r="AF38" s="8">
        <v>160</v>
      </c>
      <c r="AG38" s="8">
        <v>80</v>
      </c>
      <c r="CB38" s="26">
        <v>42249</v>
      </c>
      <c r="CC38" s="26" t="s">
        <v>853</v>
      </c>
      <c r="CD38" s="8" t="s">
        <v>3885</v>
      </c>
      <c r="CE38" s="8">
        <v>150</v>
      </c>
      <c r="CF38" s="8">
        <v>75</v>
      </c>
      <c r="CG38" s="26"/>
      <c r="CH38" s="8"/>
      <c r="CM38" s="8"/>
      <c r="CR38" s="8"/>
      <c r="DZ38" s="19"/>
    </row>
    <row r="39" spans="1:130" ht="12.75" customHeight="1" x14ac:dyDescent="0.25">
      <c r="A39" s="8" t="s">
        <v>1388</v>
      </c>
      <c r="B39" s="24" t="s">
        <v>1695</v>
      </c>
      <c r="C39" s="25" t="s">
        <v>1389</v>
      </c>
      <c r="E39" s="26" t="s">
        <v>1762</v>
      </c>
      <c r="F39" s="198" t="s">
        <v>1379</v>
      </c>
      <c r="G39" s="198" t="s">
        <v>1700</v>
      </c>
      <c r="H39" s="25" t="s">
        <v>1700</v>
      </c>
      <c r="J39" s="27" t="s">
        <v>866</v>
      </c>
      <c r="Q39" s="95"/>
      <c r="R39" s="16"/>
      <c r="S39" s="21"/>
      <c r="T39" s="21"/>
      <c r="U39" s="21"/>
      <c r="V39" s="21"/>
      <c r="W39" s="93">
        <v>0</v>
      </c>
      <c r="X39" s="84" t="s">
        <v>1700</v>
      </c>
      <c r="Y39" s="84" t="s">
        <v>1390</v>
      </c>
      <c r="AA39" s="86" t="s">
        <v>17</v>
      </c>
      <c r="AB39" s="84" t="s">
        <v>126</v>
      </c>
      <c r="CB39" s="26"/>
      <c r="CC39" s="26"/>
      <c r="CF39" s="8"/>
      <c r="CG39" s="26"/>
      <c r="CH39" s="8"/>
      <c r="CM39" s="8"/>
      <c r="CR39" s="8"/>
    </row>
    <row r="40" spans="1:130" x14ac:dyDescent="0.25">
      <c r="A40" s="8" t="s">
        <v>2275</v>
      </c>
      <c r="B40" s="24" t="s">
        <v>933</v>
      </c>
      <c r="C40" s="25" t="s">
        <v>2276</v>
      </c>
      <c r="D40" s="26">
        <v>20605</v>
      </c>
      <c r="E40" s="26" t="s">
        <v>1762</v>
      </c>
      <c r="F40" s="198" t="s">
        <v>1710</v>
      </c>
      <c r="G40" s="198" t="s">
        <v>1700</v>
      </c>
      <c r="H40" s="25" t="s">
        <v>1700</v>
      </c>
      <c r="J40" s="27" t="s">
        <v>866</v>
      </c>
      <c r="R40" s="29" t="s">
        <v>1416</v>
      </c>
      <c r="S40" s="8" t="s">
        <v>855</v>
      </c>
      <c r="CB40" s="26"/>
      <c r="CC40" s="26"/>
      <c r="CF40" s="8"/>
      <c r="CG40" s="26"/>
      <c r="CH40" s="8"/>
      <c r="CM40" s="8"/>
      <c r="CR40" s="8"/>
    </row>
    <row r="41" spans="1:130" ht="13.5" customHeight="1" x14ac:dyDescent="0.25">
      <c r="A41" s="8" t="s">
        <v>4822</v>
      </c>
      <c r="B41" s="24" t="s">
        <v>1471</v>
      </c>
      <c r="F41" s="198" t="s">
        <v>1700</v>
      </c>
      <c r="G41" s="198" t="s">
        <v>1700</v>
      </c>
      <c r="H41" s="25" t="s">
        <v>1700</v>
      </c>
      <c r="I41" s="27" t="s">
        <v>3897</v>
      </c>
      <c r="J41" s="27" t="s">
        <v>866</v>
      </c>
      <c r="K41" s="28" t="s">
        <v>3907</v>
      </c>
      <c r="P41" s="17">
        <v>1</v>
      </c>
      <c r="CB41" s="278"/>
      <c r="CG41" s="278"/>
    </row>
    <row r="42" spans="1:130" x14ac:dyDescent="0.25">
      <c r="A42" s="8" t="s">
        <v>4850</v>
      </c>
      <c r="B42" s="24" t="s">
        <v>1588</v>
      </c>
      <c r="C42" s="25" t="s">
        <v>4851</v>
      </c>
      <c r="E42" s="26" t="s">
        <v>1762</v>
      </c>
      <c r="F42" s="198" t="s">
        <v>867</v>
      </c>
      <c r="G42" s="198" t="s">
        <v>1558</v>
      </c>
      <c r="H42" s="25" t="s">
        <v>4852</v>
      </c>
      <c r="I42" s="27" t="s">
        <v>3896</v>
      </c>
      <c r="J42" s="27" t="s">
        <v>866</v>
      </c>
      <c r="K42" s="28" t="s">
        <v>853</v>
      </c>
      <c r="W42" s="93">
        <v>160</v>
      </c>
      <c r="X42" s="84" t="s">
        <v>1700</v>
      </c>
      <c r="Y42" s="84" t="s">
        <v>2432</v>
      </c>
      <c r="AA42" s="84" t="s">
        <v>4853</v>
      </c>
      <c r="AB42" s="84" t="s">
        <v>1474</v>
      </c>
      <c r="AC42" s="26">
        <v>42545</v>
      </c>
      <c r="AD42" s="26" t="s">
        <v>853</v>
      </c>
      <c r="AE42" s="8" t="s">
        <v>4854</v>
      </c>
      <c r="AF42" s="8">
        <v>384.5</v>
      </c>
      <c r="AG42" s="8">
        <v>160</v>
      </c>
      <c r="CB42" s="278"/>
      <c r="CG42" s="278"/>
    </row>
    <row r="43" spans="1:130" ht="12.75" customHeight="1" x14ac:dyDescent="0.25">
      <c r="A43" s="8" t="s">
        <v>3494</v>
      </c>
      <c r="B43" s="24" t="s">
        <v>2184</v>
      </c>
      <c r="C43" s="25" t="s">
        <v>3493</v>
      </c>
      <c r="E43" s="26" t="s">
        <v>1762</v>
      </c>
      <c r="F43" s="198" t="s">
        <v>2939</v>
      </c>
      <c r="G43" s="198" t="s">
        <v>1700</v>
      </c>
      <c r="H43" s="25" t="s">
        <v>3495</v>
      </c>
      <c r="J43" s="27" t="s">
        <v>866</v>
      </c>
      <c r="R43" s="29" t="s">
        <v>853</v>
      </c>
      <c r="X43" s="84" t="s">
        <v>1700</v>
      </c>
      <c r="Y43" s="84" t="s">
        <v>2499</v>
      </c>
      <c r="AA43" s="84" t="s">
        <v>3496</v>
      </c>
      <c r="AB43" s="84" t="s">
        <v>126</v>
      </c>
      <c r="CB43" s="278">
        <v>42032</v>
      </c>
      <c r="CC43" s="278" t="s">
        <v>853</v>
      </c>
      <c r="CD43" s="8" t="s">
        <v>3497</v>
      </c>
      <c r="CE43" s="8">
        <v>470</v>
      </c>
      <c r="CF43" s="279">
        <v>160</v>
      </c>
      <c r="CG43" s="278"/>
    </row>
    <row r="44" spans="1:130" ht="12.75" customHeight="1" x14ac:dyDescent="0.25">
      <c r="A44" s="8" t="s">
        <v>562</v>
      </c>
      <c r="B44" s="24" t="s">
        <v>562</v>
      </c>
      <c r="C44" s="25" t="s">
        <v>2527</v>
      </c>
      <c r="F44" s="198" t="s">
        <v>1700</v>
      </c>
      <c r="G44" s="198" t="s">
        <v>1700</v>
      </c>
      <c r="H44" s="25" t="s">
        <v>1700</v>
      </c>
      <c r="J44" s="27" t="s">
        <v>866</v>
      </c>
      <c r="X44" s="84" t="s">
        <v>1700</v>
      </c>
      <c r="Y44" s="84" t="s">
        <v>190</v>
      </c>
      <c r="AA44" s="84" t="s">
        <v>2528</v>
      </c>
      <c r="AB44" s="84" t="s">
        <v>126</v>
      </c>
      <c r="CB44" s="26"/>
      <c r="CC44" s="26"/>
      <c r="CF44" s="8"/>
      <c r="CG44" s="26"/>
      <c r="CH44" s="8"/>
      <c r="CM44" s="8"/>
      <c r="CR44" s="8"/>
    </row>
    <row r="45" spans="1:130" x14ac:dyDescent="0.25">
      <c r="A45" s="8" t="s">
        <v>3415</v>
      </c>
      <c r="B45" s="24" t="s">
        <v>2494</v>
      </c>
      <c r="C45" s="25" t="s">
        <v>3414</v>
      </c>
      <c r="E45" s="26" t="s">
        <v>1762</v>
      </c>
      <c r="F45" s="198" t="s">
        <v>913</v>
      </c>
      <c r="G45" s="198" t="s">
        <v>2647</v>
      </c>
      <c r="H45" s="25" t="s">
        <v>3416</v>
      </c>
      <c r="J45" s="27" t="s">
        <v>866</v>
      </c>
      <c r="R45" s="29" t="s">
        <v>853</v>
      </c>
      <c r="X45" s="84" t="s">
        <v>1700</v>
      </c>
      <c r="Y45" s="84" t="s">
        <v>319</v>
      </c>
      <c r="AA45" s="84" t="s">
        <v>3417</v>
      </c>
      <c r="AB45" s="84" t="s">
        <v>302</v>
      </c>
      <c r="CB45" s="278">
        <v>42011</v>
      </c>
      <c r="CC45" s="278" t="s">
        <v>853</v>
      </c>
      <c r="CD45" s="8" t="s">
        <v>3418</v>
      </c>
      <c r="CE45" s="8">
        <v>350</v>
      </c>
      <c r="CF45" s="279">
        <v>160</v>
      </c>
      <c r="CG45" s="278"/>
    </row>
    <row r="46" spans="1:130" ht="12.75" customHeight="1" x14ac:dyDescent="0.25">
      <c r="A46" s="8" t="s">
        <v>1131</v>
      </c>
      <c r="B46" s="24" t="s">
        <v>870</v>
      </c>
      <c r="C46" s="25" t="s">
        <v>86</v>
      </c>
      <c r="D46" s="26">
        <v>27113</v>
      </c>
      <c r="E46" s="26" t="s">
        <v>1762</v>
      </c>
      <c r="F46" s="198" t="s">
        <v>87</v>
      </c>
      <c r="G46" s="198" t="s">
        <v>1700</v>
      </c>
      <c r="H46" s="25" t="s">
        <v>1700</v>
      </c>
      <c r="J46" s="27" t="s">
        <v>866</v>
      </c>
      <c r="R46" s="29" t="s">
        <v>856</v>
      </c>
      <c r="CA46" s="19"/>
      <c r="CB46" s="26"/>
      <c r="CC46" s="26"/>
      <c r="CF46" s="8"/>
      <c r="CG46" s="26"/>
      <c r="CH46" s="8"/>
      <c r="CM46" s="8"/>
      <c r="CR46" s="8"/>
    </row>
    <row r="47" spans="1:130" ht="12.75" customHeight="1" x14ac:dyDescent="0.25">
      <c r="A47" s="8" t="s">
        <v>148</v>
      </c>
      <c r="B47" s="24" t="s">
        <v>149</v>
      </c>
      <c r="C47" s="25" t="s">
        <v>150</v>
      </c>
      <c r="E47" s="26" t="s">
        <v>1762</v>
      </c>
      <c r="F47" s="198" t="s">
        <v>722</v>
      </c>
      <c r="G47" s="198" t="s">
        <v>1700</v>
      </c>
      <c r="H47" s="25" t="s">
        <v>1700</v>
      </c>
      <c r="I47" s="27" t="s">
        <v>3902</v>
      </c>
      <c r="J47" s="27" t="s">
        <v>866</v>
      </c>
      <c r="K47" s="28" t="s">
        <v>3907</v>
      </c>
      <c r="P47" s="17">
        <v>1</v>
      </c>
      <c r="R47" s="29" t="s">
        <v>1763</v>
      </c>
      <c r="X47" s="84" t="s">
        <v>1700</v>
      </c>
      <c r="Y47" s="84" t="s">
        <v>319</v>
      </c>
      <c r="AA47" s="84" t="s">
        <v>151</v>
      </c>
      <c r="AB47" s="84" t="s">
        <v>302</v>
      </c>
      <c r="BW47" s="19"/>
      <c r="BX47" s="19"/>
      <c r="BZ47" s="19"/>
      <c r="CB47" s="26"/>
      <c r="CC47" s="26"/>
      <c r="CF47" s="8"/>
      <c r="CG47" s="26"/>
      <c r="CH47" s="8"/>
      <c r="CM47" s="8"/>
      <c r="CR47" s="8"/>
      <c r="DV47" s="19"/>
      <c r="DW47" s="19"/>
      <c r="DX47" s="19"/>
      <c r="DY47" s="19"/>
    </row>
    <row r="48" spans="1:130" ht="12.75" customHeight="1" x14ac:dyDescent="0.25">
      <c r="A48" s="8" t="s">
        <v>1322</v>
      </c>
      <c r="B48" s="24" t="s">
        <v>872</v>
      </c>
      <c r="C48" s="25" t="s">
        <v>1323</v>
      </c>
      <c r="E48" s="26" t="s">
        <v>1762</v>
      </c>
      <c r="F48" s="198" t="s">
        <v>194</v>
      </c>
      <c r="G48" s="198" t="s">
        <v>1700</v>
      </c>
      <c r="H48" s="25" t="s">
        <v>3664</v>
      </c>
      <c r="I48" s="27" t="s">
        <v>3896</v>
      </c>
      <c r="J48" s="27" t="s">
        <v>866</v>
      </c>
      <c r="K48" s="28" t="s">
        <v>853</v>
      </c>
      <c r="R48" s="29" t="s">
        <v>853</v>
      </c>
      <c r="W48" s="93">
        <v>160</v>
      </c>
      <c r="X48" s="84" t="s">
        <v>1700</v>
      </c>
      <c r="Y48" s="84" t="s">
        <v>791</v>
      </c>
      <c r="AA48" s="84" t="s">
        <v>1333</v>
      </c>
      <c r="AB48" s="84" t="s">
        <v>126</v>
      </c>
      <c r="AC48" s="26">
        <v>42545</v>
      </c>
      <c r="AD48" s="26" t="s">
        <v>853</v>
      </c>
      <c r="AE48" s="8" t="s">
        <v>4849</v>
      </c>
      <c r="AF48" s="8">
        <v>469</v>
      </c>
      <c r="AG48" s="8">
        <v>160</v>
      </c>
      <c r="CB48" s="26">
        <v>42097</v>
      </c>
      <c r="CC48" s="26" t="s">
        <v>853</v>
      </c>
      <c r="CD48" s="8" t="s">
        <v>3665</v>
      </c>
      <c r="CE48" s="8">
        <v>469</v>
      </c>
      <c r="CF48" s="8">
        <v>160</v>
      </c>
      <c r="CG48" s="26"/>
      <c r="CH48" s="8"/>
      <c r="CM48" s="8"/>
      <c r="CR48" s="8"/>
    </row>
    <row r="49" spans="1:225" ht="13.5" customHeight="1" x14ac:dyDescent="0.25">
      <c r="A49" s="8" t="s">
        <v>767</v>
      </c>
      <c r="B49" s="24" t="s">
        <v>953</v>
      </c>
      <c r="C49" s="25" t="s">
        <v>768</v>
      </c>
      <c r="E49" s="26" t="s">
        <v>1762</v>
      </c>
      <c r="F49" s="198" t="s">
        <v>1977</v>
      </c>
      <c r="G49" s="198" t="s">
        <v>1700</v>
      </c>
      <c r="H49" s="25" t="s">
        <v>3191</v>
      </c>
      <c r="I49" s="27" t="s">
        <v>3902</v>
      </c>
      <c r="J49" s="27" t="s">
        <v>866</v>
      </c>
      <c r="K49" s="28" t="s">
        <v>853</v>
      </c>
      <c r="R49" s="29" t="s">
        <v>853</v>
      </c>
      <c r="W49" s="93">
        <v>77</v>
      </c>
      <c r="X49" s="84" t="s">
        <v>1700</v>
      </c>
      <c r="Y49" s="84" t="s">
        <v>791</v>
      </c>
      <c r="AA49" s="84" t="s">
        <v>769</v>
      </c>
      <c r="AB49" s="84" t="s">
        <v>670</v>
      </c>
      <c r="AC49" s="26">
        <v>42334</v>
      </c>
      <c r="AD49" s="26" t="s">
        <v>853</v>
      </c>
      <c r="AE49" s="8" t="s">
        <v>4305</v>
      </c>
      <c r="AF49" s="8">
        <v>155</v>
      </c>
      <c r="AG49" s="8">
        <v>77</v>
      </c>
      <c r="CA49" s="19"/>
      <c r="CB49" s="26">
        <v>41977</v>
      </c>
      <c r="CC49" s="26" t="s">
        <v>853</v>
      </c>
      <c r="CD49" s="8" t="s">
        <v>3192</v>
      </c>
      <c r="CE49" s="8">
        <v>155</v>
      </c>
      <c r="CF49" s="8">
        <v>78</v>
      </c>
      <c r="CG49" s="26"/>
      <c r="CH49" s="8"/>
      <c r="CM49" s="8"/>
      <c r="CR49" s="8"/>
    </row>
    <row r="50" spans="1:225" x14ac:dyDescent="0.25">
      <c r="A50" s="8" t="s">
        <v>2017</v>
      </c>
      <c r="B50" s="24" t="s">
        <v>735</v>
      </c>
      <c r="C50" s="25" t="s">
        <v>3013</v>
      </c>
      <c r="E50" s="26" t="s">
        <v>1762</v>
      </c>
      <c r="F50" s="198" t="s">
        <v>49</v>
      </c>
      <c r="G50" s="198" t="s">
        <v>1700</v>
      </c>
      <c r="H50" s="25" t="s">
        <v>3014</v>
      </c>
      <c r="J50" s="27" t="s">
        <v>866</v>
      </c>
      <c r="R50" s="29" t="s">
        <v>853</v>
      </c>
      <c r="X50" s="84" t="s">
        <v>1700</v>
      </c>
      <c r="Y50" s="84" t="s">
        <v>2499</v>
      </c>
      <c r="AA50" s="84" t="s">
        <v>3015</v>
      </c>
      <c r="AB50" s="84" t="s">
        <v>126</v>
      </c>
      <c r="CB50" s="26">
        <v>41943</v>
      </c>
      <c r="CC50" s="26" t="s">
        <v>853</v>
      </c>
      <c r="CD50" s="8" t="s">
        <v>3016</v>
      </c>
      <c r="CE50" s="8">
        <v>360</v>
      </c>
      <c r="CF50" s="8">
        <v>160</v>
      </c>
      <c r="CG50" s="26"/>
      <c r="CH50" s="8"/>
      <c r="CM50" s="8"/>
      <c r="CR50" s="8"/>
      <c r="DZ50" s="279"/>
    </row>
    <row r="51" spans="1:225" x14ac:dyDescent="0.25">
      <c r="A51" s="8" t="s">
        <v>2007</v>
      </c>
      <c r="B51" s="24" t="s">
        <v>1118</v>
      </c>
      <c r="C51" s="25" t="s">
        <v>2008</v>
      </c>
      <c r="E51" s="26" t="s">
        <v>1762</v>
      </c>
      <c r="F51" s="198" t="s">
        <v>963</v>
      </c>
      <c r="G51" s="198" t="s">
        <v>1700</v>
      </c>
      <c r="H51" s="25" t="s">
        <v>1700</v>
      </c>
      <c r="J51" s="27" t="s">
        <v>866</v>
      </c>
      <c r="X51" s="84" t="s">
        <v>1700</v>
      </c>
      <c r="Y51" s="84" t="s">
        <v>791</v>
      </c>
      <c r="AA51" s="84" t="s">
        <v>2013</v>
      </c>
      <c r="AB51" s="84" t="s">
        <v>126</v>
      </c>
      <c r="CB51" s="26"/>
      <c r="CC51" s="26"/>
      <c r="CF51" s="8"/>
      <c r="CG51" s="26"/>
      <c r="CH51" s="8"/>
      <c r="CM51" s="8"/>
      <c r="CR51" s="8"/>
      <c r="DZ51" s="19"/>
    </row>
    <row r="52" spans="1:225" ht="12.75" customHeight="1" x14ac:dyDescent="0.25">
      <c r="A52" s="8" t="s">
        <v>4819</v>
      </c>
      <c r="B52" s="24" t="s">
        <v>1185</v>
      </c>
      <c r="F52" s="198" t="s">
        <v>1700</v>
      </c>
      <c r="G52" s="198" t="s">
        <v>1700</v>
      </c>
      <c r="H52" s="25" t="s">
        <v>1700</v>
      </c>
      <c r="I52" s="27" t="s">
        <v>3897</v>
      </c>
      <c r="J52" s="27" t="s">
        <v>866</v>
      </c>
      <c r="K52" s="28" t="s">
        <v>3907</v>
      </c>
      <c r="P52" s="17">
        <v>1</v>
      </c>
      <c r="CB52" s="278"/>
      <c r="CG52" s="278"/>
      <c r="EB52" s="19"/>
      <c r="EC52" s="19"/>
      <c r="ED52" s="19"/>
      <c r="EE52" s="19"/>
      <c r="EF52" s="19"/>
      <c r="EG52" s="19"/>
      <c r="EH52" s="19"/>
      <c r="EI52" s="19"/>
      <c r="EJ52" s="19"/>
      <c r="EK52" s="19"/>
      <c r="EL52" s="19"/>
      <c r="EN52" s="19"/>
      <c r="EO52" s="19"/>
      <c r="EP52" s="19"/>
      <c r="EQ52" s="19"/>
      <c r="ER52" s="19"/>
      <c r="ES52" s="19"/>
      <c r="ET52" s="19"/>
      <c r="EU52" s="19"/>
      <c r="EV52" s="19"/>
      <c r="EW52" s="19"/>
      <c r="EX52" s="19"/>
      <c r="EZ52" s="19"/>
      <c r="FA52" s="19"/>
      <c r="FB52" s="19"/>
      <c r="FC52" s="19"/>
      <c r="FD52" s="19"/>
      <c r="FE52" s="19"/>
      <c r="FF52" s="19"/>
      <c r="FG52" s="19"/>
      <c r="FH52" s="19"/>
      <c r="FI52" s="19"/>
      <c r="FJ52" s="19"/>
      <c r="FL52" s="19"/>
      <c r="FM52" s="19"/>
      <c r="FN52" s="19"/>
      <c r="FO52" s="19"/>
      <c r="FP52" s="19"/>
      <c r="FQ52" s="19"/>
      <c r="FR52" s="19"/>
      <c r="FS52" s="19"/>
      <c r="FT52" s="19"/>
      <c r="FU52" s="19"/>
      <c r="FV52" s="19"/>
      <c r="FX52" s="19"/>
      <c r="FY52" s="19"/>
      <c r="FZ52" s="19"/>
      <c r="GA52" s="19"/>
      <c r="GB52" s="19"/>
      <c r="GC52" s="19"/>
      <c r="GD52" s="19"/>
      <c r="GE52" s="19"/>
      <c r="GF52" s="19"/>
      <c r="GG52" s="19"/>
      <c r="GH52" s="19"/>
      <c r="GJ52" s="19"/>
      <c r="GK52" s="19"/>
      <c r="GL52" s="19"/>
      <c r="GM52" s="19"/>
      <c r="GN52" s="19"/>
      <c r="GO52" s="19"/>
      <c r="GP52" s="19"/>
      <c r="GQ52" s="19"/>
      <c r="GR52" s="19"/>
      <c r="GS52" s="19"/>
      <c r="GT52" s="19"/>
      <c r="GV52" s="19"/>
      <c r="GW52" s="19"/>
      <c r="GX52" s="19"/>
      <c r="GY52" s="19"/>
      <c r="GZ52" s="19"/>
      <c r="HA52" s="19"/>
      <c r="HB52" s="19"/>
      <c r="HC52" s="19"/>
      <c r="HD52" s="19"/>
      <c r="HE52" s="19"/>
      <c r="HF52" s="19"/>
      <c r="HH52" s="19"/>
      <c r="HI52" s="19"/>
      <c r="HJ52" s="19"/>
      <c r="HK52" s="19"/>
      <c r="HL52" s="19"/>
      <c r="HM52" s="19"/>
      <c r="HN52" s="19"/>
      <c r="HO52" s="19"/>
      <c r="HP52" s="19"/>
      <c r="HQ52" s="19"/>
    </row>
    <row r="53" spans="1:225" ht="13.5" customHeight="1" x14ac:dyDescent="0.25">
      <c r="A53" s="8" t="s">
        <v>3852</v>
      </c>
      <c r="B53" s="24" t="s">
        <v>83</v>
      </c>
      <c r="E53" s="26" t="s">
        <v>1762</v>
      </c>
      <c r="F53" s="198" t="s">
        <v>1700</v>
      </c>
      <c r="G53" s="198" t="s">
        <v>1700</v>
      </c>
      <c r="H53" s="25" t="s">
        <v>1700</v>
      </c>
      <c r="I53" s="27" t="s">
        <v>3902</v>
      </c>
      <c r="J53" s="27" t="s">
        <v>866</v>
      </c>
      <c r="L53" s="29" t="s">
        <v>3906</v>
      </c>
      <c r="R53" s="29" t="s">
        <v>1973</v>
      </c>
      <c r="CB53" s="278"/>
      <c r="CG53" s="278"/>
    </row>
    <row r="54" spans="1:225" ht="12.75" customHeight="1" x14ac:dyDescent="0.25">
      <c r="A54" s="8" t="s">
        <v>2355</v>
      </c>
      <c r="B54" s="24" t="s">
        <v>875</v>
      </c>
      <c r="C54" s="25" t="s">
        <v>2356</v>
      </c>
      <c r="E54" s="26" t="s">
        <v>1762</v>
      </c>
      <c r="F54" s="198" t="s">
        <v>2358</v>
      </c>
      <c r="G54" s="198" t="s">
        <v>1700</v>
      </c>
      <c r="H54" s="25" t="s">
        <v>2357</v>
      </c>
      <c r="J54" s="27" t="s">
        <v>866</v>
      </c>
      <c r="X54" s="84" t="s">
        <v>1700</v>
      </c>
      <c r="Y54" s="84" t="s">
        <v>2360</v>
      </c>
      <c r="AA54" s="84" t="s">
        <v>2361</v>
      </c>
      <c r="AB54" s="84" t="s">
        <v>126</v>
      </c>
      <c r="CB54" s="26"/>
      <c r="CC54" s="26"/>
      <c r="CF54" s="8"/>
      <c r="CG54" s="26"/>
      <c r="CH54" s="8"/>
      <c r="CM54" s="8"/>
      <c r="CR54" s="8"/>
    </row>
    <row r="55" spans="1:225" ht="12.75" customHeight="1" x14ac:dyDescent="0.25">
      <c r="A55" s="8" t="s">
        <v>4150</v>
      </c>
      <c r="B55" s="24" t="s">
        <v>149</v>
      </c>
      <c r="E55" s="26" t="s">
        <v>1762</v>
      </c>
      <c r="F55" s="198" t="s">
        <v>1700</v>
      </c>
      <c r="G55" s="198" t="s">
        <v>1700</v>
      </c>
      <c r="H55" s="25" t="s">
        <v>1700</v>
      </c>
      <c r="I55" s="27" t="s">
        <v>3902</v>
      </c>
      <c r="J55" s="27" t="s">
        <v>866</v>
      </c>
      <c r="K55" s="28" t="s">
        <v>3906</v>
      </c>
      <c r="CB55" s="278"/>
      <c r="CG55" s="278"/>
    </row>
    <row r="56" spans="1:225" x14ac:dyDescent="0.25">
      <c r="A56" s="8" t="s">
        <v>4685</v>
      </c>
      <c r="B56" s="24" t="s">
        <v>1415</v>
      </c>
      <c r="C56" s="25" t="s">
        <v>4684</v>
      </c>
      <c r="E56" s="26" t="s">
        <v>1762</v>
      </c>
      <c r="F56" s="198" t="s">
        <v>948</v>
      </c>
      <c r="G56" s="198" t="s">
        <v>1700</v>
      </c>
      <c r="H56" s="25" t="s">
        <v>4686</v>
      </c>
      <c r="I56" s="27" t="s">
        <v>3893</v>
      </c>
      <c r="J56" s="27" t="s">
        <v>866</v>
      </c>
      <c r="K56" s="28" t="s">
        <v>853</v>
      </c>
      <c r="W56" s="93">
        <v>50</v>
      </c>
      <c r="X56" s="84" t="s">
        <v>1700</v>
      </c>
      <c r="Y56" s="84" t="s">
        <v>1205</v>
      </c>
      <c r="AA56" s="84" t="s">
        <v>4687</v>
      </c>
      <c r="AB56" s="84" t="s">
        <v>4688</v>
      </c>
      <c r="AC56" s="26">
        <v>42416</v>
      </c>
      <c r="AD56" s="26" t="s">
        <v>853</v>
      </c>
      <c r="AE56" s="8" t="s">
        <v>4689</v>
      </c>
      <c r="AF56" s="8">
        <v>100</v>
      </c>
      <c r="AG56" s="8">
        <v>50</v>
      </c>
      <c r="CB56" s="278"/>
      <c r="CG56" s="278"/>
    </row>
    <row r="57" spans="1:225" ht="12.75" customHeight="1" x14ac:dyDescent="0.25">
      <c r="A57" s="8" t="s">
        <v>827</v>
      </c>
      <c r="B57" s="24" t="s">
        <v>828</v>
      </c>
      <c r="C57" s="25" t="s">
        <v>829</v>
      </c>
      <c r="E57" s="26" t="s">
        <v>1764</v>
      </c>
      <c r="F57" s="198" t="s">
        <v>1672</v>
      </c>
      <c r="G57" s="198" t="s">
        <v>1700</v>
      </c>
      <c r="H57" s="25" t="s">
        <v>2669</v>
      </c>
      <c r="I57" s="27" t="s">
        <v>3901</v>
      </c>
      <c r="J57" s="27" t="s">
        <v>866</v>
      </c>
      <c r="K57" s="28" t="s">
        <v>853</v>
      </c>
      <c r="R57" s="29" t="s">
        <v>853</v>
      </c>
      <c r="W57" s="93">
        <v>80</v>
      </c>
      <c r="X57" s="84" t="s">
        <v>1700</v>
      </c>
      <c r="Y57" s="84" t="s">
        <v>403</v>
      </c>
      <c r="AA57" s="84" t="s">
        <v>830</v>
      </c>
      <c r="AB57" s="84" t="s">
        <v>1650</v>
      </c>
      <c r="AC57" s="26">
        <v>42299</v>
      </c>
      <c r="AD57" s="26" t="s">
        <v>853</v>
      </c>
      <c r="AE57" s="8" t="s">
        <v>4003</v>
      </c>
      <c r="AF57" s="8">
        <v>115</v>
      </c>
      <c r="AG57" s="8">
        <v>57</v>
      </c>
      <c r="AH57" s="26">
        <v>42360</v>
      </c>
      <c r="AI57" s="8" t="s">
        <v>853</v>
      </c>
      <c r="AJ57" s="8" t="s">
        <v>4560</v>
      </c>
      <c r="AK57" s="8">
        <v>47.3</v>
      </c>
      <c r="AL57" s="8">
        <v>23</v>
      </c>
      <c r="CB57" s="26">
        <v>41921</v>
      </c>
      <c r="CC57" s="26" t="s">
        <v>853</v>
      </c>
      <c r="CD57" s="8" t="s">
        <v>2670</v>
      </c>
      <c r="CE57" s="8">
        <v>115</v>
      </c>
      <c r="CF57" s="8">
        <v>68</v>
      </c>
      <c r="CG57" s="26"/>
      <c r="CH57" s="8"/>
      <c r="CM57" s="8"/>
      <c r="CR57" s="8"/>
    </row>
    <row r="58" spans="1:225" x14ac:dyDescent="0.25">
      <c r="A58" s="8" t="s">
        <v>2296</v>
      </c>
      <c r="B58" s="24" t="s">
        <v>2297</v>
      </c>
      <c r="C58" s="25" t="s">
        <v>2298</v>
      </c>
      <c r="E58" s="26" t="s">
        <v>1762</v>
      </c>
      <c r="F58" s="198" t="s">
        <v>891</v>
      </c>
      <c r="G58" s="198" t="s">
        <v>3139</v>
      </c>
      <c r="H58" s="25" t="s">
        <v>2299</v>
      </c>
      <c r="J58" s="27" t="s">
        <v>866</v>
      </c>
      <c r="R58" s="29" t="s">
        <v>853</v>
      </c>
      <c r="X58" s="84" t="s">
        <v>1700</v>
      </c>
      <c r="Y58" s="84" t="s">
        <v>2301</v>
      </c>
      <c r="AA58" s="84" t="s">
        <v>2302</v>
      </c>
      <c r="AB58" s="84" t="s">
        <v>126</v>
      </c>
      <c r="CB58" s="26">
        <v>42097</v>
      </c>
      <c r="CC58" s="26" t="s">
        <v>853</v>
      </c>
      <c r="CD58" s="8" t="s">
        <v>2409</v>
      </c>
      <c r="CE58" s="8">
        <v>750</v>
      </c>
      <c r="CF58" s="8">
        <v>160</v>
      </c>
      <c r="CG58" s="26"/>
      <c r="CH58" s="8"/>
      <c r="CM58" s="8"/>
      <c r="CR58" s="8"/>
    </row>
    <row r="59" spans="1:225" x14ac:dyDescent="0.25">
      <c r="A59" s="8" t="s">
        <v>4791</v>
      </c>
      <c r="B59" s="24" t="s">
        <v>944</v>
      </c>
      <c r="C59" s="25" t="s">
        <v>4790</v>
      </c>
      <c r="E59" s="26" t="s">
        <v>1762</v>
      </c>
      <c r="F59" s="198" t="s">
        <v>1907</v>
      </c>
      <c r="G59" s="198" t="s">
        <v>1700</v>
      </c>
      <c r="H59" s="25" t="s">
        <v>4792</v>
      </c>
      <c r="I59" s="27" t="s">
        <v>3896</v>
      </c>
      <c r="J59" s="27" t="s">
        <v>866</v>
      </c>
      <c r="K59" s="28" t="s">
        <v>853</v>
      </c>
      <c r="W59" s="93">
        <v>80</v>
      </c>
      <c r="X59" s="84" t="s">
        <v>1700</v>
      </c>
      <c r="Y59" s="84" t="s">
        <v>2499</v>
      </c>
      <c r="AA59" s="84" t="s">
        <v>4793</v>
      </c>
      <c r="AB59" s="84" t="s">
        <v>126</v>
      </c>
      <c r="AC59" s="26">
        <v>42493</v>
      </c>
      <c r="AD59" s="26" t="s">
        <v>853</v>
      </c>
      <c r="AE59" s="8" t="s">
        <v>4794</v>
      </c>
      <c r="AF59" s="8">
        <v>160</v>
      </c>
      <c r="AG59" s="8">
        <v>80</v>
      </c>
      <c r="CB59" s="278"/>
      <c r="CG59" s="278"/>
    </row>
    <row r="60" spans="1:225" x14ac:dyDescent="0.25">
      <c r="A60" s="8" t="s">
        <v>4809</v>
      </c>
      <c r="B60" s="24" t="s">
        <v>4810</v>
      </c>
      <c r="C60" s="25" t="s">
        <v>4808</v>
      </c>
      <c r="E60" s="26" t="s">
        <v>1762</v>
      </c>
      <c r="F60" s="198" t="s">
        <v>2059</v>
      </c>
      <c r="G60" s="198" t="s">
        <v>1700</v>
      </c>
      <c r="H60" s="25" t="s">
        <v>4811</v>
      </c>
      <c r="I60" s="27" t="s">
        <v>3896</v>
      </c>
      <c r="J60" s="27" t="s">
        <v>866</v>
      </c>
      <c r="K60" s="28" t="s">
        <v>853</v>
      </c>
      <c r="W60" s="93">
        <v>100</v>
      </c>
      <c r="X60" s="84" t="s">
        <v>1700</v>
      </c>
      <c r="Y60" s="84" t="s">
        <v>2499</v>
      </c>
      <c r="AA60" s="84" t="s">
        <v>4812</v>
      </c>
      <c r="AB60" s="84" t="s">
        <v>126</v>
      </c>
      <c r="AC60" s="26">
        <v>42493</v>
      </c>
      <c r="AD60" s="26" t="s">
        <v>853</v>
      </c>
      <c r="AE60" s="8" t="s">
        <v>4814</v>
      </c>
      <c r="AF60" s="8">
        <v>200</v>
      </c>
      <c r="AG60" s="8">
        <v>100</v>
      </c>
      <c r="CB60" s="278"/>
      <c r="CG60" s="278"/>
      <c r="DZ60" s="279"/>
    </row>
    <row r="61" spans="1:225" x14ac:dyDescent="0.25">
      <c r="A61" s="8" t="s">
        <v>3729</v>
      </c>
      <c r="B61" s="24" t="s">
        <v>3730</v>
      </c>
      <c r="F61" s="198" t="s">
        <v>1700</v>
      </c>
      <c r="G61" s="198" t="s">
        <v>1700</v>
      </c>
      <c r="H61" s="25" t="s">
        <v>1700</v>
      </c>
      <c r="J61" s="27" t="s">
        <v>866</v>
      </c>
      <c r="R61" s="29" t="s">
        <v>1763</v>
      </c>
      <c r="CB61" s="278"/>
      <c r="CG61" s="278"/>
    </row>
    <row r="62" spans="1:225" x14ac:dyDescent="0.25">
      <c r="A62" s="8" t="s">
        <v>4151</v>
      </c>
      <c r="B62" s="24" t="s">
        <v>4152</v>
      </c>
      <c r="E62" s="26" t="s">
        <v>1762</v>
      </c>
      <c r="F62" s="198" t="s">
        <v>1700</v>
      </c>
      <c r="G62" s="198" t="s">
        <v>1700</v>
      </c>
      <c r="H62" s="25" t="s">
        <v>1700</v>
      </c>
      <c r="I62" s="27" t="s">
        <v>3902</v>
      </c>
      <c r="J62" s="27" t="s">
        <v>866</v>
      </c>
      <c r="K62" s="28" t="s">
        <v>3906</v>
      </c>
      <c r="CB62" s="278"/>
      <c r="CG62" s="278"/>
      <c r="EB62" s="19"/>
      <c r="EC62" s="19"/>
      <c r="ED62" s="19"/>
      <c r="EE62" s="19"/>
      <c r="EF62" s="19"/>
      <c r="EG62" s="19"/>
      <c r="EH62" s="19"/>
      <c r="EI62" s="19"/>
      <c r="EJ62" s="19"/>
      <c r="EK62" s="19"/>
      <c r="EL62" s="19"/>
      <c r="EN62" s="19"/>
      <c r="EO62" s="19"/>
      <c r="EP62" s="19"/>
      <c r="EQ62" s="19"/>
      <c r="ER62" s="19"/>
      <c r="ES62" s="19"/>
      <c r="ET62" s="19"/>
      <c r="EU62" s="19"/>
      <c r="EV62" s="19"/>
      <c r="EW62" s="19"/>
      <c r="EX62" s="19"/>
      <c r="EZ62" s="19"/>
      <c r="FA62" s="19"/>
      <c r="FB62" s="19"/>
      <c r="FC62" s="19"/>
      <c r="FD62" s="19"/>
      <c r="FE62" s="19"/>
      <c r="FF62" s="19"/>
      <c r="FG62" s="19"/>
      <c r="FH62" s="19"/>
      <c r="FI62" s="19"/>
      <c r="FJ62" s="19"/>
      <c r="FL62" s="19"/>
      <c r="FM62" s="19"/>
      <c r="FN62" s="19"/>
      <c r="FO62" s="19"/>
      <c r="FP62" s="19"/>
      <c r="FQ62" s="19"/>
      <c r="FR62" s="19"/>
      <c r="FS62" s="19"/>
      <c r="FT62" s="19"/>
      <c r="FU62" s="19"/>
      <c r="FV62" s="19"/>
      <c r="FX62" s="19"/>
      <c r="FY62" s="19"/>
      <c r="FZ62" s="19"/>
      <c r="GA62" s="19"/>
      <c r="GB62" s="19"/>
      <c r="GC62" s="19"/>
      <c r="GD62" s="19"/>
      <c r="GE62" s="19"/>
      <c r="GF62" s="19"/>
      <c r="GG62" s="19"/>
      <c r="GH62" s="19"/>
      <c r="GJ62" s="19"/>
      <c r="GK62" s="19"/>
      <c r="GL62" s="19"/>
      <c r="GM62" s="19"/>
      <c r="GN62" s="19"/>
      <c r="GO62" s="19"/>
      <c r="GP62" s="19"/>
      <c r="GQ62" s="19"/>
      <c r="GR62" s="19"/>
      <c r="GS62" s="19"/>
      <c r="GT62" s="19"/>
      <c r="GV62" s="19"/>
      <c r="GW62" s="19"/>
      <c r="GX62" s="19"/>
      <c r="GY62" s="19"/>
      <c r="GZ62" s="19"/>
      <c r="HA62" s="19"/>
      <c r="HB62" s="19"/>
      <c r="HC62" s="19"/>
      <c r="HD62" s="19"/>
      <c r="HE62" s="19"/>
      <c r="HF62" s="19"/>
      <c r="HH62" s="19"/>
      <c r="HI62" s="19"/>
      <c r="HJ62" s="19"/>
      <c r="HK62" s="19"/>
      <c r="HL62" s="19"/>
      <c r="HM62" s="19"/>
      <c r="HN62" s="19"/>
      <c r="HO62" s="19"/>
      <c r="HP62" s="19"/>
      <c r="HQ62" s="19"/>
    </row>
    <row r="63" spans="1:225" x14ac:dyDescent="0.25">
      <c r="A63" s="8" t="s">
        <v>910</v>
      </c>
      <c r="B63" s="24" t="s">
        <v>911</v>
      </c>
      <c r="C63" s="25" t="s">
        <v>2610</v>
      </c>
      <c r="D63" s="26">
        <v>23166</v>
      </c>
      <c r="E63" s="26" t="s">
        <v>1762</v>
      </c>
      <c r="F63" s="198" t="s">
        <v>927</v>
      </c>
      <c r="G63" s="198" t="s">
        <v>1700</v>
      </c>
      <c r="H63" s="25" t="s">
        <v>1700</v>
      </c>
      <c r="I63" s="27" t="s">
        <v>3898</v>
      </c>
      <c r="J63" s="27" t="s">
        <v>866</v>
      </c>
      <c r="K63" s="28" t="s">
        <v>859</v>
      </c>
      <c r="R63" s="29" t="s">
        <v>859</v>
      </c>
      <c r="S63" s="8" t="s">
        <v>855</v>
      </c>
      <c r="W63" s="93">
        <v>280</v>
      </c>
      <c r="X63" s="84" t="s">
        <v>1700</v>
      </c>
      <c r="Y63" s="84" t="s">
        <v>372</v>
      </c>
      <c r="AA63" s="84" t="s">
        <v>2611</v>
      </c>
      <c r="AB63" s="84" t="s">
        <v>221</v>
      </c>
      <c r="AC63" s="26" t="s">
        <v>503</v>
      </c>
      <c r="AD63" s="26" t="s">
        <v>859</v>
      </c>
      <c r="AE63" s="8" t="s">
        <v>4908</v>
      </c>
      <c r="AF63" s="8">
        <v>816</v>
      </c>
      <c r="AG63" s="8">
        <v>280</v>
      </c>
      <c r="CA63" s="19"/>
      <c r="CB63" s="26">
        <v>42219</v>
      </c>
      <c r="CC63" s="26" t="s">
        <v>859</v>
      </c>
      <c r="CD63" s="8" t="s">
        <v>3828</v>
      </c>
      <c r="CE63" s="8">
        <v>624</v>
      </c>
      <c r="CF63" s="8">
        <v>280</v>
      </c>
      <c r="CG63" s="26"/>
      <c r="CH63" s="8"/>
      <c r="CM63" s="8"/>
      <c r="CR63" s="8"/>
    </row>
    <row r="64" spans="1:225" x14ac:dyDescent="0.25">
      <c r="A64" s="8" t="s">
        <v>910</v>
      </c>
      <c r="B64" s="24" t="s">
        <v>3807</v>
      </c>
      <c r="D64" s="26">
        <v>35236</v>
      </c>
      <c r="E64" s="26" t="s">
        <v>877</v>
      </c>
      <c r="F64" s="198" t="s">
        <v>1700</v>
      </c>
      <c r="G64" s="198" t="s">
        <v>1700</v>
      </c>
      <c r="H64" s="25" t="s">
        <v>3808</v>
      </c>
      <c r="J64" s="27" t="s">
        <v>866</v>
      </c>
      <c r="R64" s="29" t="s">
        <v>855</v>
      </c>
      <c r="CB64" s="278"/>
      <c r="CG64" s="278"/>
    </row>
    <row r="65" spans="1:225" ht="13.5" x14ac:dyDescent="0.25">
      <c r="A65" s="8" t="s">
        <v>2792</v>
      </c>
      <c r="B65" s="24" t="s">
        <v>1635</v>
      </c>
      <c r="C65" s="25" t="s">
        <v>2793</v>
      </c>
      <c r="E65" s="26" t="s">
        <v>1762</v>
      </c>
      <c r="F65" s="198" t="s">
        <v>913</v>
      </c>
      <c r="G65" s="198" t="s">
        <v>2374</v>
      </c>
      <c r="H65" s="25" t="s">
        <v>2794</v>
      </c>
      <c r="J65" s="27" t="s">
        <v>866</v>
      </c>
      <c r="R65" s="29" t="s">
        <v>853</v>
      </c>
      <c r="X65" s="84" t="s">
        <v>1700</v>
      </c>
      <c r="Y65" s="84" t="s">
        <v>319</v>
      </c>
      <c r="AA65" s="84" t="s">
        <v>2795</v>
      </c>
      <c r="AB65" s="84" t="s">
        <v>302</v>
      </c>
      <c r="CB65" s="278">
        <v>41921</v>
      </c>
      <c r="CC65" s="278" t="s">
        <v>853</v>
      </c>
      <c r="CD65" s="279" t="s">
        <v>2796</v>
      </c>
      <c r="CE65" s="8">
        <v>630</v>
      </c>
      <c r="CF65" s="279">
        <v>160</v>
      </c>
      <c r="CG65" s="278"/>
      <c r="CH65" s="278"/>
      <c r="CI65" s="279"/>
      <c r="CK65" s="279"/>
      <c r="CL65" s="276"/>
      <c r="CM65" s="278"/>
      <c r="CN65" s="279"/>
      <c r="CP65" s="279"/>
      <c r="CQ65" s="278"/>
      <c r="CR65" s="279"/>
      <c r="CS65" s="279"/>
      <c r="CU65" s="279"/>
      <c r="CV65" s="278"/>
      <c r="CW65" s="279"/>
      <c r="CX65" s="279"/>
      <c r="CZ65" s="279"/>
      <c r="DA65" s="278"/>
      <c r="DB65" s="279"/>
      <c r="DC65" s="279"/>
      <c r="DE65" s="279"/>
      <c r="DF65" s="278"/>
      <c r="DG65" s="279"/>
      <c r="DH65" s="279"/>
      <c r="DJ65" s="279"/>
      <c r="DK65" s="278"/>
      <c r="DL65" s="279"/>
      <c r="DM65" s="279"/>
      <c r="DO65" s="279"/>
      <c r="DP65" s="278"/>
      <c r="DQ65" s="279"/>
      <c r="DR65" s="279"/>
      <c r="DT65" s="279"/>
      <c r="DU65" s="278"/>
      <c r="DV65" s="279"/>
      <c r="DW65" s="279"/>
      <c r="DY65" s="279"/>
      <c r="DZ65" s="19"/>
    </row>
    <row r="66" spans="1:225" x14ac:dyDescent="0.25">
      <c r="A66" s="8" t="s">
        <v>1976</v>
      </c>
      <c r="B66" s="24" t="s">
        <v>880</v>
      </c>
      <c r="C66" s="25" t="s">
        <v>1964</v>
      </c>
      <c r="E66" s="26" t="s">
        <v>1762</v>
      </c>
      <c r="F66" s="198" t="s">
        <v>869</v>
      </c>
      <c r="G66" s="198" t="s">
        <v>1700</v>
      </c>
      <c r="H66" s="25" t="s">
        <v>3147</v>
      </c>
      <c r="I66" s="27" t="s">
        <v>3904</v>
      </c>
      <c r="J66" s="27" t="s">
        <v>866</v>
      </c>
      <c r="K66" s="28" t="s">
        <v>853</v>
      </c>
      <c r="Q66" s="93"/>
      <c r="R66" s="28" t="s">
        <v>853</v>
      </c>
      <c r="S66" s="21"/>
      <c r="T66" s="21"/>
      <c r="U66" s="21"/>
      <c r="V66" s="21"/>
      <c r="W66" s="95">
        <v>160</v>
      </c>
      <c r="X66" s="86" t="s">
        <v>1700</v>
      </c>
      <c r="Y66" s="86" t="s">
        <v>2499</v>
      </c>
      <c r="Z66" s="86"/>
      <c r="AA66" s="86" t="s">
        <v>4565</v>
      </c>
      <c r="AB66" s="84" t="s">
        <v>126</v>
      </c>
      <c r="AC66" s="26">
        <v>42360</v>
      </c>
      <c r="AD66" s="26" t="s">
        <v>853</v>
      </c>
      <c r="AE66" s="19" t="s">
        <v>4566</v>
      </c>
      <c r="AF66" s="19">
        <v>364.65</v>
      </c>
      <c r="AG66" s="19">
        <v>160</v>
      </c>
      <c r="AI66" s="19"/>
      <c r="AJ66" s="19"/>
      <c r="AK66" s="19"/>
      <c r="AL66" s="19"/>
      <c r="AN66" s="19"/>
      <c r="AO66" s="19"/>
      <c r="AP66" s="19"/>
      <c r="AQ66" s="19"/>
      <c r="AS66" s="19"/>
      <c r="AT66" s="19"/>
      <c r="AU66" s="19"/>
      <c r="AV66" s="19"/>
      <c r="AX66" s="19"/>
      <c r="AY66" s="19"/>
      <c r="AZ66" s="19"/>
      <c r="BA66" s="19"/>
      <c r="BC66" s="19"/>
      <c r="BD66" s="19"/>
      <c r="BE66" s="19"/>
      <c r="BF66" s="19"/>
      <c r="BH66" s="19"/>
      <c r="BI66" s="19"/>
      <c r="BJ66" s="19"/>
      <c r="BK66" s="19"/>
      <c r="BM66" s="19"/>
      <c r="BN66" s="19"/>
      <c r="BO66" s="19"/>
      <c r="BP66" s="19"/>
      <c r="BR66" s="19"/>
      <c r="BS66" s="19"/>
      <c r="BT66" s="19"/>
      <c r="BU66" s="19"/>
      <c r="BW66" s="19"/>
      <c r="BX66" s="19"/>
      <c r="BY66" s="19"/>
      <c r="BZ66" s="19"/>
      <c r="CB66" s="26">
        <v>41977</v>
      </c>
      <c r="CC66" s="26" t="s">
        <v>853</v>
      </c>
      <c r="CD66" s="19" t="s">
        <v>3148</v>
      </c>
      <c r="CE66" s="19">
        <v>266</v>
      </c>
      <c r="CF66" s="19">
        <v>133</v>
      </c>
      <c r="CG66" s="26"/>
      <c r="CH66" s="19"/>
      <c r="CI66" s="19"/>
      <c r="CJ66" s="19"/>
      <c r="CK66" s="19"/>
      <c r="CM66" s="19"/>
      <c r="CN66" s="19"/>
      <c r="CO66" s="19"/>
      <c r="CP66" s="19"/>
      <c r="CR66" s="19"/>
      <c r="CS66" s="19"/>
      <c r="CT66" s="19"/>
      <c r="CU66" s="19"/>
      <c r="CW66" s="19"/>
      <c r="CX66" s="19"/>
      <c r="CY66" s="19"/>
      <c r="CZ66" s="19"/>
      <c r="DB66" s="19"/>
      <c r="DC66" s="19"/>
      <c r="DD66" s="19"/>
      <c r="DE66" s="19"/>
      <c r="DG66" s="19"/>
      <c r="DH66" s="19"/>
      <c r="DI66" s="19"/>
      <c r="DJ66" s="19"/>
      <c r="DL66" s="19"/>
      <c r="DM66" s="19"/>
      <c r="DN66" s="19"/>
      <c r="DO66" s="19"/>
      <c r="DQ66" s="19"/>
      <c r="DR66" s="19"/>
      <c r="DS66" s="19"/>
      <c r="DT66" s="19"/>
      <c r="DV66" s="19"/>
      <c r="DW66" s="19"/>
      <c r="DX66" s="19"/>
      <c r="DY66" s="19"/>
    </row>
    <row r="67" spans="1:225" x14ac:dyDescent="0.25">
      <c r="A67" s="8" t="s">
        <v>4650</v>
      </c>
      <c r="B67" s="24" t="s">
        <v>881</v>
      </c>
      <c r="F67" s="198" t="s">
        <v>1700</v>
      </c>
      <c r="G67" s="198" t="s">
        <v>1700</v>
      </c>
      <c r="H67" s="25" t="s">
        <v>1700</v>
      </c>
      <c r="I67" s="27" t="s">
        <v>3894</v>
      </c>
      <c r="J67" s="27" t="s">
        <v>866</v>
      </c>
      <c r="CB67" s="278"/>
      <c r="CG67" s="278"/>
      <c r="DZ67" s="279"/>
    </row>
    <row r="68" spans="1:225" x14ac:dyDescent="0.25">
      <c r="A68" s="8" t="s">
        <v>505</v>
      </c>
      <c r="B68" s="24" t="s">
        <v>506</v>
      </c>
      <c r="C68" s="25" t="s">
        <v>507</v>
      </c>
      <c r="D68" s="26">
        <v>31401</v>
      </c>
      <c r="E68" s="26" t="s">
        <v>1762</v>
      </c>
      <c r="F68" s="198" t="s">
        <v>1554</v>
      </c>
      <c r="G68" s="198" t="s">
        <v>1700</v>
      </c>
      <c r="H68" s="25" t="s">
        <v>2537</v>
      </c>
      <c r="J68" s="27" t="s">
        <v>866</v>
      </c>
      <c r="R68" s="29" t="s">
        <v>853</v>
      </c>
      <c r="X68" s="84" t="s">
        <v>1700</v>
      </c>
      <c r="Y68" s="84" t="s">
        <v>2499</v>
      </c>
      <c r="AA68" s="84" t="s">
        <v>2725</v>
      </c>
      <c r="AB68" s="84" t="s">
        <v>126</v>
      </c>
      <c r="CB68" s="26">
        <v>41921</v>
      </c>
      <c r="CC68" s="26" t="s">
        <v>853</v>
      </c>
      <c r="CD68" s="8" t="s">
        <v>2726</v>
      </c>
      <c r="CE68" s="8">
        <v>260</v>
      </c>
      <c r="CF68" s="8">
        <v>130</v>
      </c>
      <c r="CG68" s="26"/>
      <c r="CH68" s="8"/>
      <c r="CM68" s="8"/>
      <c r="CR68" s="8"/>
    </row>
    <row r="69" spans="1:225" ht="13.5" x14ac:dyDescent="0.25">
      <c r="A69" s="8" t="s">
        <v>1177</v>
      </c>
      <c r="B69" s="24" t="s">
        <v>141</v>
      </c>
      <c r="C69" s="25" t="s">
        <v>1178</v>
      </c>
      <c r="D69" s="26">
        <v>28205</v>
      </c>
      <c r="E69" s="26" t="s">
        <v>1762</v>
      </c>
      <c r="F69" s="198" t="s">
        <v>891</v>
      </c>
      <c r="G69" s="198" t="s">
        <v>3139</v>
      </c>
      <c r="H69" s="25" t="s">
        <v>2530</v>
      </c>
      <c r="I69" s="27" t="s">
        <v>3903</v>
      </c>
      <c r="J69" s="27" t="s">
        <v>866</v>
      </c>
      <c r="K69" s="28" t="s">
        <v>853</v>
      </c>
      <c r="R69" s="29" t="s">
        <v>853</v>
      </c>
      <c r="W69" s="93">
        <v>160</v>
      </c>
      <c r="X69" s="84" t="s">
        <v>1700</v>
      </c>
      <c r="Y69" s="84" t="s">
        <v>791</v>
      </c>
      <c r="AA69" s="84" t="s">
        <v>1179</v>
      </c>
      <c r="AB69" s="84" t="s">
        <v>126</v>
      </c>
      <c r="AC69" s="26">
        <v>42360</v>
      </c>
      <c r="AD69" s="8" t="s">
        <v>853</v>
      </c>
      <c r="AE69" s="8" t="s">
        <v>4451</v>
      </c>
      <c r="AF69" s="8">
        <v>384</v>
      </c>
      <c r="AG69" s="8">
        <v>160</v>
      </c>
      <c r="BQ69" s="8"/>
      <c r="BV69" s="8"/>
      <c r="CA69" s="19"/>
      <c r="CB69" s="26">
        <v>41977</v>
      </c>
      <c r="CC69" s="8" t="s">
        <v>853</v>
      </c>
      <c r="CD69" s="8" t="s">
        <v>3277</v>
      </c>
      <c r="CE69" s="8">
        <v>425</v>
      </c>
      <c r="CF69" s="8">
        <v>160</v>
      </c>
      <c r="CG69" s="26"/>
      <c r="CH69" s="8"/>
      <c r="CM69" s="8"/>
      <c r="CR69" s="8"/>
      <c r="DP69" s="8"/>
      <c r="DU69" s="8"/>
      <c r="DZ69"/>
    </row>
    <row r="70" spans="1:225" x14ac:dyDescent="0.25">
      <c r="A70" s="8" t="s">
        <v>2316</v>
      </c>
      <c r="B70" s="24" t="s">
        <v>811</v>
      </c>
      <c r="C70" s="25" t="s">
        <v>2317</v>
      </c>
      <c r="E70" s="26" t="s">
        <v>877</v>
      </c>
      <c r="F70" s="198" t="s">
        <v>1700</v>
      </c>
      <c r="G70" s="198" t="s">
        <v>1700</v>
      </c>
      <c r="H70" s="25" t="s">
        <v>1700</v>
      </c>
      <c r="J70" s="27" t="s">
        <v>866</v>
      </c>
      <c r="CB70" s="26"/>
      <c r="CC70" s="26"/>
      <c r="CF70" s="8"/>
      <c r="CG70" s="26"/>
      <c r="CH70" s="8"/>
      <c r="CM70" s="8"/>
      <c r="CR70" s="8"/>
      <c r="DZ70" s="279"/>
    </row>
    <row r="71" spans="1:225" x14ac:dyDescent="0.25">
      <c r="A71" s="8" t="s">
        <v>3872</v>
      </c>
      <c r="B71" s="24" t="s">
        <v>2057</v>
      </c>
      <c r="E71" s="26" t="s">
        <v>1846</v>
      </c>
      <c r="F71" s="198" t="s">
        <v>1700</v>
      </c>
      <c r="G71" s="198" t="s">
        <v>1700</v>
      </c>
      <c r="H71" s="25" t="s">
        <v>1700</v>
      </c>
      <c r="J71" s="27" t="s">
        <v>866</v>
      </c>
      <c r="R71" s="29" t="s">
        <v>1416</v>
      </c>
      <c r="CB71" s="278"/>
      <c r="CG71" s="278"/>
      <c r="DZ71" s="257"/>
    </row>
    <row r="72" spans="1:225" x14ac:dyDescent="0.25">
      <c r="A72" s="8" t="s">
        <v>2913</v>
      </c>
      <c r="B72" s="24" t="s">
        <v>2914</v>
      </c>
      <c r="C72" s="25" t="s">
        <v>2912</v>
      </c>
      <c r="E72" s="26" t="s">
        <v>877</v>
      </c>
      <c r="F72" s="198" t="s">
        <v>932</v>
      </c>
      <c r="G72" s="198" t="s">
        <v>3947</v>
      </c>
      <c r="H72" s="25" t="s">
        <v>2915</v>
      </c>
      <c r="I72" s="27" t="s">
        <v>3901</v>
      </c>
      <c r="J72" s="27" t="s">
        <v>866</v>
      </c>
      <c r="K72" s="28" t="s">
        <v>853</v>
      </c>
      <c r="R72" s="29" t="s">
        <v>853</v>
      </c>
      <c r="W72" s="93">
        <v>160</v>
      </c>
      <c r="X72" s="84" t="s">
        <v>1700</v>
      </c>
      <c r="Y72" s="84" t="s">
        <v>1205</v>
      </c>
      <c r="AA72" s="84" t="s">
        <v>2916</v>
      </c>
      <c r="AB72" s="84" t="s">
        <v>1748</v>
      </c>
      <c r="AC72" s="26">
        <v>42299</v>
      </c>
      <c r="AD72" s="26" t="s">
        <v>853</v>
      </c>
      <c r="AE72" s="8" t="s">
        <v>3948</v>
      </c>
      <c r="AF72" s="8">
        <v>575</v>
      </c>
      <c r="AG72" s="8">
        <v>160</v>
      </c>
      <c r="CB72" s="26">
        <v>41934</v>
      </c>
      <c r="CC72" s="26" t="s">
        <v>853</v>
      </c>
      <c r="CD72" s="8" t="s">
        <v>2917</v>
      </c>
      <c r="CE72" s="8">
        <v>429</v>
      </c>
      <c r="CF72" s="8">
        <v>160</v>
      </c>
      <c r="CG72" s="26"/>
      <c r="CH72" s="8"/>
      <c r="CM72" s="8"/>
      <c r="CR72" s="8"/>
    </row>
    <row r="73" spans="1:225" x14ac:dyDescent="0.25">
      <c r="A73" s="8" t="s">
        <v>3243</v>
      </c>
      <c r="B73" s="24" t="s">
        <v>4032</v>
      </c>
      <c r="F73" s="198" t="s">
        <v>1700</v>
      </c>
      <c r="G73" s="198" t="s">
        <v>1700</v>
      </c>
      <c r="H73" s="25" t="s">
        <v>1700</v>
      </c>
      <c r="I73" s="27" t="s">
        <v>3902</v>
      </c>
      <c r="J73" s="27" t="s">
        <v>866</v>
      </c>
      <c r="K73" s="28" t="s">
        <v>3907</v>
      </c>
      <c r="P73" s="17">
        <v>1</v>
      </c>
      <c r="CB73" s="278"/>
      <c r="CG73" s="278"/>
    </row>
    <row r="74" spans="1:225" x14ac:dyDescent="0.25">
      <c r="A74" s="8" t="s">
        <v>2677</v>
      </c>
      <c r="B74" s="24" t="s">
        <v>1991</v>
      </c>
      <c r="C74" s="25" t="s">
        <v>738</v>
      </c>
      <c r="E74" s="26" t="s">
        <v>1762</v>
      </c>
      <c r="F74" s="198" t="s">
        <v>946</v>
      </c>
      <c r="G74" s="198" t="s">
        <v>2679</v>
      </c>
      <c r="H74" s="25" t="s">
        <v>2678</v>
      </c>
      <c r="I74" s="27" t="s">
        <v>3901</v>
      </c>
      <c r="J74" s="27" t="s">
        <v>866</v>
      </c>
      <c r="K74" s="28" t="s">
        <v>853</v>
      </c>
      <c r="R74" s="29" t="s">
        <v>853</v>
      </c>
      <c r="W74" s="93">
        <v>80</v>
      </c>
      <c r="X74" s="84" t="s">
        <v>1700</v>
      </c>
      <c r="Y74" s="84" t="s">
        <v>791</v>
      </c>
      <c r="AA74" s="84" t="s">
        <v>1095</v>
      </c>
      <c r="AB74" s="84" t="s">
        <v>126</v>
      </c>
      <c r="AC74" s="26">
        <v>42299</v>
      </c>
      <c r="AD74" s="26" t="s">
        <v>853</v>
      </c>
      <c r="AE74" s="8" t="s">
        <v>3945</v>
      </c>
      <c r="AF74" s="8">
        <v>160</v>
      </c>
      <c r="AG74" s="8">
        <v>80</v>
      </c>
      <c r="CB74" s="26">
        <v>41921</v>
      </c>
      <c r="CC74" s="26" t="s">
        <v>853</v>
      </c>
      <c r="CD74" s="8" t="s">
        <v>2680</v>
      </c>
      <c r="CE74" s="8">
        <v>150</v>
      </c>
      <c r="CF74" s="8">
        <v>75</v>
      </c>
      <c r="CG74" s="26">
        <v>42011</v>
      </c>
      <c r="CH74" s="8" t="s">
        <v>853</v>
      </c>
      <c r="CI74" s="8" t="s">
        <v>3389</v>
      </c>
      <c r="CJ74" s="8">
        <v>105</v>
      </c>
      <c r="CK74" s="8">
        <v>53</v>
      </c>
      <c r="CM74" s="8"/>
      <c r="CR74" s="8"/>
    </row>
    <row r="75" spans="1:225" x14ac:dyDescent="0.25">
      <c r="A75" s="8" t="s">
        <v>883</v>
      </c>
      <c r="B75" s="24" t="s">
        <v>141</v>
      </c>
      <c r="C75" s="25" t="s">
        <v>58</v>
      </c>
      <c r="E75" s="26" t="s">
        <v>1762</v>
      </c>
      <c r="F75" s="198" t="s">
        <v>945</v>
      </c>
      <c r="G75" s="198" t="s">
        <v>1700</v>
      </c>
      <c r="H75" s="25" t="s">
        <v>2953</v>
      </c>
      <c r="I75" s="27" t="s">
        <v>3903</v>
      </c>
      <c r="J75" s="27" t="s">
        <v>866</v>
      </c>
      <c r="K75" s="28" t="s">
        <v>853</v>
      </c>
      <c r="R75" s="29" t="s">
        <v>853</v>
      </c>
      <c r="W75" s="93">
        <v>95</v>
      </c>
      <c r="X75" s="84" t="s">
        <v>1700</v>
      </c>
      <c r="Y75" s="84" t="s">
        <v>335</v>
      </c>
      <c r="AA75" s="84" t="s">
        <v>341</v>
      </c>
      <c r="AB75" s="84" t="s">
        <v>348</v>
      </c>
      <c r="AC75" s="26">
        <v>42352</v>
      </c>
      <c r="AD75" s="26" t="s">
        <v>853</v>
      </c>
      <c r="AE75" s="8" t="s">
        <v>4380</v>
      </c>
      <c r="AF75" s="8">
        <v>161</v>
      </c>
      <c r="AG75" s="8">
        <v>95</v>
      </c>
      <c r="CB75" s="26">
        <v>41934</v>
      </c>
      <c r="CC75" s="26" t="s">
        <v>853</v>
      </c>
      <c r="CD75" s="8" t="s">
        <v>2954</v>
      </c>
      <c r="CE75" s="8">
        <v>191</v>
      </c>
      <c r="CF75" s="8">
        <v>96</v>
      </c>
      <c r="CG75" s="26"/>
      <c r="CH75" s="8"/>
      <c r="CM75" s="8"/>
      <c r="CR75" s="8"/>
      <c r="DZ75" s="279"/>
    </row>
    <row r="76" spans="1:225" x14ac:dyDescent="0.25">
      <c r="A76" s="8" t="s">
        <v>4279</v>
      </c>
      <c r="B76" s="24" t="s">
        <v>205</v>
      </c>
      <c r="C76" s="25" t="s">
        <v>4278</v>
      </c>
      <c r="E76" s="26" t="s">
        <v>1762</v>
      </c>
      <c r="F76" s="198" t="s">
        <v>1503</v>
      </c>
      <c r="G76" s="198" t="s">
        <v>1700</v>
      </c>
      <c r="H76" s="25" t="s">
        <v>1700</v>
      </c>
      <c r="I76" s="27" t="s">
        <v>3902</v>
      </c>
      <c r="J76" s="27" t="s">
        <v>866</v>
      </c>
      <c r="K76" s="28" t="s">
        <v>853</v>
      </c>
      <c r="W76" s="93">
        <v>160</v>
      </c>
      <c r="X76" s="84" t="s">
        <v>1700</v>
      </c>
      <c r="Y76" s="84" t="s">
        <v>2499</v>
      </c>
      <c r="AA76" s="84" t="s">
        <v>4280</v>
      </c>
      <c r="AB76" s="84" t="s">
        <v>126</v>
      </c>
      <c r="AC76" s="26">
        <v>42334</v>
      </c>
      <c r="AD76" s="26" t="s">
        <v>853</v>
      </c>
      <c r="AE76" s="8" t="s">
        <v>4281</v>
      </c>
      <c r="AF76" s="8">
        <v>511</v>
      </c>
      <c r="AG76" s="8">
        <v>160</v>
      </c>
      <c r="CB76" s="278"/>
      <c r="CG76" s="278"/>
      <c r="DZ76" s="279"/>
    </row>
    <row r="77" spans="1:225" ht="13.5" x14ac:dyDescent="0.25">
      <c r="A77" s="8" t="s">
        <v>1618</v>
      </c>
      <c r="B77" s="24" t="s">
        <v>951</v>
      </c>
      <c r="F77" s="198" t="s">
        <v>1700</v>
      </c>
      <c r="G77" s="198" t="s">
        <v>1700</v>
      </c>
      <c r="H77" s="25" t="s">
        <v>1700</v>
      </c>
      <c r="I77" s="27" t="s">
        <v>3902</v>
      </c>
      <c r="J77" s="27" t="s">
        <v>866</v>
      </c>
      <c r="K77" s="28" t="s">
        <v>3907</v>
      </c>
      <c r="P77" s="17">
        <v>1</v>
      </c>
      <c r="CB77" s="278"/>
      <c r="CD77" s="279"/>
      <c r="CG77" s="278"/>
      <c r="CH77" s="278"/>
      <c r="CI77" s="279"/>
      <c r="CK77" s="279"/>
      <c r="CL77" s="278"/>
      <c r="CM77" s="278"/>
      <c r="CN77" s="279"/>
      <c r="CP77" s="279"/>
      <c r="CQ77" s="278"/>
      <c r="CR77" s="279"/>
      <c r="CS77" s="279"/>
      <c r="CU77" s="279"/>
      <c r="CV77" s="278"/>
      <c r="CW77" s="279"/>
      <c r="CX77" s="279"/>
      <c r="CZ77" s="279"/>
      <c r="DA77" s="278"/>
      <c r="DB77" s="279"/>
      <c r="DC77" s="279"/>
      <c r="DE77" s="279"/>
      <c r="DF77" s="278"/>
      <c r="DG77" s="279"/>
      <c r="DH77" s="279"/>
      <c r="DJ77" s="279"/>
      <c r="DK77" s="278"/>
      <c r="DL77" s="279"/>
      <c r="DM77" s="279"/>
      <c r="DO77" s="279"/>
      <c r="DP77" s="278"/>
      <c r="DQ77" s="279"/>
      <c r="DR77" s="279"/>
      <c r="DT77" s="279"/>
      <c r="DU77" s="278"/>
      <c r="DV77" s="279"/>
      <c r="DW77" s="279"/>
      <c r="DY77" s="279"/>
      <c r="DZ77"/>
    </row>
    <row r="78" spans="1:225" x14ac:dyDescent="0.25">
      <c r="A78" s="8" t="s">
        <v>1383</v>
      </c>
      <c r="B78" s="24" t="s">
        <v>1384</v>
      </c>
      <c r="C78" s="25" t="s">
        <v>1385</v>
      </c>
      <c r="E78" s="26" t="s">
        <v>1762</v>
      </c>
      <c r="F78" s="198" t="s">
        <v>863</v>
      </c>
      <c r="G78" s="198" t="s">
        <v>1700</v>
      </c>
      <c r="H78" s="25" t="s">
        <v>4242</v>
      </c>
      <c r="I78" s="27" t="s">
        <v>3902</v>
      </c>
      <c r="J78" s="27" t="s">
        <v>866</v>
      </c>
      <c r="K78" s="28" t="s">
        <v>853</v>
      </c>
      <c r="R78" s="29" t="s">
        <v>853</v>
      </c>
      <c r="W78" s="93">
        <v>160</v>
      </c>
      <c r="X78" s="84" t="s">
        <v>1700</v>
      </c>
      <c r="Y78" s="84" t="s">
        <v>195</v>
      </c>
      <c r="AA78" s="84" t="s">
        <v>1386</v>
      </c>
      <c r="AB78" s="84" t="s">
        <v>1387</v>
      </c>
      <c r="AC78" s="26">
        <v>42313</v>
      </c>
      <c r="AD78" s="26" t="s">
        <v>853</v>
      </c>
      <c r="AE78" s="8" t="s">
        <v>4243</v>
      </c>
      <c r="AF78" s="8">
        <v>419.3</v>
      </c>
      <c r="AG78" s="8">
        <v>160</v>
      </c>
      <c r="CB78" s="26">
        <v>41921</v>
      </c>
      <c r="CC78" s="26" t="s">
        <v>853</v>
      </c>
      <c r="CD78" s="8" t="s">
        <v>2630</v>
      </c>
      <c r="CE78" s="8">
        <v>359.3</v>
      </c>
      <c r="CF78" s="8">
        <v>160</v>
      </c>
      <c r="CG78" s="26"/>
      <c r="CH78" s="8"/>
      <c r="CM78" s="8"/>
      <c r="CR78" s="8"/>
      <c r="EB78" s="19"/>
      <c r="EC78" s="19"/>
      <c r="ED78" s="19"/>
      <c r="EE78" s="19"/>
      <c r="EF78" s="19"/>
      <c r="EG78" s="19"/>
      <c r="EH78" s="19"/>
      <c r="EI78" s="19"/>
      <c r="EJ78" s="19"/>
      <c r="EK78" s="19"/>
      <c r="EL78" s="19"/>
      <c r="EN78" s="19"/>
      <c r="EO78" s="19"/>
      <c r="EP78" s="19"/>
      <c r="EQ78" s="19"/>
      <c r="ER78" s="19"/>
      <c r="ES78" s="19"/>
      <c r="ET78" s="19"/>
      <c r="EU78" s="19"/>
      <c r="EV78" s="19"/>
      <c r="EW78" s="19"/>
      <c r="EX78" s="19"/>
      <c r="EZ78" s="19"/>
      <c r="FA78" s="19"/>
      <c r="FB78" s="19"/>
      <c r="FC78" s="19"/>
      <c r="FD78" s="19"/>
      <c r="FE78" s="19"/>
      <c r="FF78" s="19"/>
      <c r="FG78" s="19"/>
      <c r="FH78" s="19"/>
      <c r="FI78" s="19"/>
      <c r="FJ78" s="19"/>
      <c r="FL78" s="19"/>
      <c r="FM78" s="19"/>
      <c r="FN78" s="19"/>
      <c r="FO78" s="19"/>
      <c r="FP78" s="19"/>
      <c r="FQ78" s="19"/>
      <c r="FR78" s="19"/>
      <c r="FS78" s="19"/>
      <c r="FT78" s="19"/>
      <c r="FU78" s="19"/>
      <c r="FV78" s="19"/>
      <c r="FX78" s="19"/>
      <c r="FY78" s="19"/>
      <c r="FZ78" s="19"/>
      <c r="GA78" s="19"/>
      <c r="GB78" s="19"/>
      <c r="GC78" s="19"/>
      <c r="GD78" s="19"/>
      <c r="GE78" s="19"/>
      <c r="GF78" s="19"/>
      <c r="GG78" s="19"/>
      <c r="GH78" s="19"/>
      <c r="GJ78" s="19"/>
      <c r="GK78" s="19"/>
      <c r="GL78" s="19"/>
      <c r="GM78" s="19"/>
      <c r="GN78" s="19"/>
      <c r="GO78" s="19"/>
      <c r="GP78" s="19"/>
      <c r="GQ78" s="19"/>
      <c r="GR78" s="19"/>
      <c r="GS78" s="19"/>
      <c r="GT78" s="19"/>
      <c r="GV78" s="19"/>
      <c r="GW78" s="19"/>
      <c r="GX78" s="19"/>
      <c r="GY78" s="19"/>
      <c r="GZ78" s="19"/>
      <c r="HA78" s="19"/>
      <c r="HB78" s="19"/>
      <c r="HC78" s="19"/>
      <c r="HD78" s="19"/>
      <c r="HE78" s="19"/>
      <c r="HF78" s="19"/>
      <c r="HH78" s="19"/>
      <c r="HI78" s="19"/>
      <c r="HJ78" s="19"/>
      <c r="HK78" s="19"/>
      <c r="HL78" s="19"/>
      <c r="HM78" s="19"/>
      <c r="HN78" s="19"/>
      <c r="HO78" s="19"/>
      <c r="HP78" s="19"/>
      <c r="HQ78" s="19"/>
    </row>
    <row r="79" spans="1:225" x14ac:dyDescent="0.25">
      <c r="A79" s="8" t="s">
        <v>4643</v>
      </c>
      <c r="B79" s="24" t="s">
        <v>4644</v>
      </c>
      <c r="F79" s="198" t="s">
        <v>1700</v>
      </c>
      <c r="G79" s="198" t="s">
        <v>1700</v>
      </c>
      <c r="H79" s="25" t="s">
        <v>1700</v>
      </c>
      <c r="J79" s="27" t="s">
        <v>866</v>
      </c>
      <c r="K79" s="28" t="s">
        <v>816</v>
      </c>
      <c r="CB79" s="278"/>
      <c r="CG79" s="278"/>
      <c r="DZ79" s="19"/>
    </row>
    <row r="80" spans="1:225" x14ac:dyDescent="0.25">
      <c r="A80" s="19" t="s">
        <v>887</v>
      </c>
      <c r="B80" s="12" t="s">
        <v>890</v>
      </c>
      <c r="C80" s="13" t="s">
        <v>446</v>
      </c>
      <c r="D80" s="14">
        <v>22779</v>
      </c>
      <c r="E80" s="14" t="s">
        <v>1762</v>
      </c>
      <c r="F80" s="199" t="s">
        <v>932</v>
      </c>
      <c r="G80" s="199" t="s">
        <v>1700</v>
      </c>
      <c r="H80" s="13" t="s">
        <v>2292</v>
      </c>
      <c r="I80" s="23"/>
      <c r="J80" s="23" t="s">
        <v>866</v>
      </c>
      <c r="K80" s="17"/>
      <c r="L80" s="13"/>
      <c r="M80" s="13"/>
      <c r="N80" s="21"/>
      <c r="O80" s="21"/>
      <c r="Q80" s="95"/>
      <c r="R80" s="17"/>
      <c r="S80" s="21"/>
      <c r="T80" s="21"/>
      <c r="U80" s="21"/>
      <c r="V80" s="21"/>
      <c r="W80" s="95"/>
      <c r="X80" s="86" t="s">
        <v>1700</v>
      </c>
      <c r="Y80" s="86" t="s">
        <v>447</v>
      </c>
      <c r="Z80" s="86"/>
      <c r="AA80" s="86" t="s">
        <v>18</v>
      </c>
      <c r="AB80" s="86" t="s">
        <v>156</v>
      </c>
      <c r="AE80" s="19"/>
      <c r="AF80" s="19"/>
      <c r="AG80" s="19"/>
      <c r="AI80" s="19"/>
      <c r="AJ80" s="19"/>
      <c r="AK80" s="19"/>
      <c r="AL80" s="19"/>
      <c r="AN80" s="19"/>
      <c r="AO80" s="19"/>
      <c r="AP80" s="19"/>
      <c r="AQ80" s="19"/>
      <c r="AS80" s="19"/>
      <c r="AT80" s="19"/>
      <c r="AU80" s="19"/>
      <c r="AV80" s="19"/>
      <c r="AX80" s="19"/>
      <c r="AY80" s="19"/>
      <c r="AZ80" s="19"/>
      <c r="BA80" s="19"/>
      <c r="BC80" s="19"/>
      <c r="BD80" s="19"/>
      <c r="BE80" s="19"/>
      <c r="BF80" s="19"/>
      <c r="BH80" s="19"/>
      <c r="BI80" s="19"/>
      <c r="BJ80" s="19"/>
      <c r="BK80" s="19"/>
      <c r="BM80" s="19"/>
      <c r="BN80" s="19"/>
      <c r="BO80" s="19"/>
      <c r="BP80" s="19"/>
      <c r="BR80" s="19"/>
      <c r="BS80" s="19"/>
      <c r="BT80" s="19"/>
      <c r="BU80" s="19"/>
      <c r="BW80" s="19"/>
      <c r="BX80" s="19"/>
      <c r="BY80" s="19"/>
      <c r="BZ80" s="19"/>
      <c r="CB80" s="26"/>
      <c r="CC80" s="26"/>
      <c r="CD80" s="19"/>
      <c r="CE80" s="19"/>
      <c r="CF80" s="19"/>
      <c r="CG80" s="26"/>
      <c r="CH80" s="19"/>
      <c r="CI80" s="19"/>
      <c r="CJ80" s="19"/>
      <c r="CK80" s="19"/>
      <c r="CM80" s="19"/>
      <c r="CN80" s="19"/>
      <c r="CO80" s="19"/>
      <c r="CP80" s="19"/>
      <c r="CR80" s="19"/>
      <c r="CS80" s="19"/>
      <c r="CT80" s="19"/>
      <c r="CU80" s="19"/>
      <c r="CW80" s="19"/>
      <c r="CX80" s="19"/>
      <c r="CY80" s="19"/>
      <c r="CZ80" s="19"/>
      <c r="DB80" s="19"/>
      <c r="DC80" s="19"/>
      <c r="DD80" s="19"/>
      <c r="DE80" s="19"/>
      <c r="DG80" s="19"/>
      <c r="DH80" s="19"/>
      <c r="DI80" s="19"/>
      <c r="DJ80" s="19"/>
      <c r="DL80" s="19"/>
      <c r="DM80" s="19"/>
      <c r="DN80" s="19"/>
      <c r="DO80" s="19"/>
      <c r="DQ80" s="19"/>
      <c r="DR80" s="19"/>
      <c r="DS80" s="19"/>
      <c r="DT80" s="19"/>
      <c r="DV80" s="19"/>
      <c r="DW80" s="19"/>
      <c r="DX80" s="19"/>
      <c r="DY80" s="19"/>
    </row>
    <row r="81" spans="1:225" x14ac:dyDescent="0.25">
      <c r="A81" s="8" t="s">
        <v>3958</v>
      </c>
      <c r="B81" s="24" t="s">
        <v>812</v>
      </c>
      <c r="C81" s="25" t="s">
        <v>157</v>
      </c>
      <c r="D81" s="26">
        <v>29636</v>
      </c>
      <c r="E81" s="26" t="s">
        <v>1762</v>
      </c>
      <c r="F81" s="198" t="s">
        <v>1596</v>
      </c>
      <c r="G81" s="198" t="s">
        <v>1700</v>
      </c>
      <c r="H81" s="25" t="s">
        <v>3959</v>
      </c>
      <c r="I81" s="27" t="s">
        <v>3901</v>
      </c>
      <c r="J81" s="27" t="s">
        <v>866</v>
      </c>
      <c r="K81" s="28" t="s">
        <v>853</v>
      </c>
      <c r="W81" s="93">
        <v>87</v>
      </c>
      <c r="X81" s="84" t="s">
        <v>1700</v>
      </c>
      <c r="Y81" s="84" t="s">
        <v>791</v>
      </c>
      <c r="AA81" s="84" t="s">
        <v>3960</v>
      </c>
      <c r="AB81" s="84" t="s">
        <v>126</v>
      </c>
      <c r="AC81" s="26">
        <v>42299</v>
      </c>
      <c r="AD81" s="26" t="s">
        <v>853</v>
      </c>
      <c r="AE81" s="8" t="s">
        <v>3961</v>
      </c>
      <c r="AF81" s="8">
        <v>175</v>
      </c>
      <c r="AG81" s="8">
        <v>87</v>
      </c>
      <c r="CB81" s="26"/>
      <c r="CC81" s="26"/>
      <c r="CF81" s="8"/>
      <c r="CG81" s="26"/>
      <c r="CH81" s="8"/>
      <c r="CM81" s="8"/>
      <c r="CR81" s="8"/>
      <c r="EB81" s="19"/>
      <c r="EC81" s="19"/>
      <c r="ED81" s="19"/>
      <c r="EE81" s="19"/>
      <c r="EF81" s="19"/>
      <c r="EG81" s="19"/>
      <c r="EH81" s="19"/>
      <c r="EI81" s="19"/>
      <c r="EJ81" s="19"/>
      <c r="EK81" s="19"/>
      <c r="EL81" s="19"/>
      <c r="EN81" s="19"/>
      <c r="EO81" s="19"/>
      <c r="EP81" s="19"/>
      <c r="EQ81" s="19"/>
      <c r="ER81" s="19"/>
      <c r="ES81" s="19"/>
      <c r="ET81" s="19"/>
      <c r="EU81" s="19"/>
      <c r="EV81" s="19"/>
      <c r="EW81" s="19"/>
      <c r="EX81" s="19"/>
      <c r="EZ81" s="19"/>
      <c r="FA81" s="19"/>
      <c r="FB81" s="19"/>
      <c r="FC81" s="19"/>
      <c r="FD81" s="19"/>
      <c r="FE81" s="19"/>
      <c r="FF81" s="19"/>
      <c r="FG81" s="19"/>
      <c r="FH81" s="19"/>
      <c r="FI81" s="19"/>
      <c r="FJ81" s="19"/>
      <c r="FL81" s="19"/>
      <c r="FM81" s="19"/>
      <c r="FN81" s="19"/>
      <c r="FO81" s="19"/>
      <c r="FP81" s="19"/>
      <c r="FQ81" s="19"/>
      <c r="FR81" s="19"/>
      <c r="FS81" s="19"/>
      <c r="FT81" s="19"/>
      <c r="FU81" s="19"/>
      <c r="FV81" s="19"/>
      <c r="FX81" s="19"/>
      <c r="FY81" s="19"/>
      <c r="FZ81" s="19"/>
      <c r="GA81" s="19"/>
      <c r="GB81" s="19"/>
      <c r="GC81" s="19"/>
      <c r="GD81" s="19"/>
      <c r="GE81" s="19"/>
      <c r="GF81" s="19"/>
      <c r="GG81" s="19"/>
      <c r="GH81" s="19"/>
      <c r="GJ81" s="19"/>
      <c r="GK81" s="19"/>
      <c r="GL81" s="19"/>
      <c r="GM81" s="19"/>
      <c r="GN81" s="19"/>
      <c r="GO81" s="19"/>
      <c r="GP81" s="19"/>
      <c r="GQ81" s="19"/>
      <c r="GR81" s="19"/>
      <c r="GS81" s="19"/>
      <c r="GT81" s="19"/>
      <c r="GV81" s="19"/>
      <c r="GW81" s="19"/>
      <c r="GX81" s="19"/>
      <c r="GY81" s="19"/>
      <c r="GZ81" s="19"/>
      <c r="HA81" s="19"/>
      <c r="HB81" s="19"/>
      <c r="HC81" s="19"/>
      <c r="HD81" s="19"/>
      <c r="HE81" s="19"/>
      <c r="HF81" s="19"/>
      <c r="HH81" s="19"/>
      <c r="HI81" s="19"/>
      <c r="HJ81" s="19"/>
      <c r="HK81" s="19"/>
      <c r="HL81" s="19"/>
      <c r="HM81" s="19"/>
      <c r="HN81" s="19"/>
      <c r="HO81" s="19"/>
      <c r="HP81" s="19"/>
      <c r="HQ81" s="19"/>
    </row>
    <row r="82" spans="1:225" x14ac:dyDescent="0.25">
      <c r="A82" s="8" t="s">
        <v>822</v>
      </c>
      <c r="B82" s="24" t="s">
        <v>1581</v>
      </c>
      <c r="C82" s="25" t="s">
        <v>823</v>
      </c>
      <c r="E82" s="26" t="s">
        <v>1762</v>
      </c>
      <c r="F82" s="198" t="s">
        <v>891</v>
      </c>
      <c r="G82" s="198" t="s">
        <v>1700</v>
      </c>
      <c r="H82" s="25" t="s">
        <v>2472</v>
      </c>
      <c r="J82" s="27" t="s">
        <v>866</v>
      </c>
      <c r="X82" s="84" t="s">
        <v>1700</v>
      </c>
      <c r="Y82" s="84" t="s">
        <v>335</v>
      </c>
      <c r="AA82" s="84" t="s">
        <v>824</v>
      </c>
      <c r="AB82" s="84" t="s">
        <v>348</v>
      </c>
      <c r="CB82" s="26"/>
      <c r="CC82" s="26"/>
      <c r="CF82" s="8"/>
      <c r="CG82" s="26"/>
      <c r="CH82" s="8"/>
      <c r="CM82" s="8"/>
      <c r="CR82" s="8"/>
    </row>
    <row r="83" spans="1:225" x14ac:dyDescent="0.25">
      <c r="A83" s="8" t="s">
        <v>1841</v>
      </c>
      <c r="B83" s="24" t="s">
        <v>1603</v>
      </c>
      <c r="E83" s="26" t="s">
        <v>1762</v>
      </c>
      <c r="F83" s="198" t="s">
        <v>1842</v>
      </c>
      <c r="G83" s="198" t="s">
        <v>1700</v>
      </c>
      <c r="H83" s="25" t="s">
        <v>1700</v>
      </c>
      <c r="J83" s="27" t="s">
        <v>866</v>
      </c>
      <c r="R83" s="29" t="s">
        <v>1972</v>
      </c>
      <c r="CB83" s="26"/>
      <c r="CC83" s="26"/>
      <c r="CF83" s="8"/>
      <c r="CG83" s="26"/>
      <c r="CH83" s="8"/>
      <c r="CM83" s="8"/>
      <c r="CR83" s="8"/>
      <c r="DV83" s="19"/>
      <c r="DW83" s="19"/>
      <c r="DX83" s="19"/>
      <c r="DY83" s="19"/>
    </row>
    <row r="84" spans="1:225" x14ac:dyDescent="0.25">
      <c r="A84" s="8" t="s">
        <v>622</v>
      </c>
      <c r="B84" s="24" t="s">
        <v>873</v>
      </c>
      <c r="C84" s="25" t="s">
        <v>2277</v>
      </c>
      <c r="D84" s="26">
        <v>31875</v>
      </c>
      <c r="E84" s="26" t="s">
        <v>1762</v>
      </c>
      <c r="F84" s="198" t="s">
        <v>623</v>
      </c>
      <c r="G84" s="198" t="s">
        <v>1700</v>
      </c>
      <c r="H84" s="25" t="s">
        <v>624</v>
      </c>
      <c r="I84" s="27" t="s">
        <v>3904</v>
      </c>
      <c r="J84" s="27" t="s">
        <v>866</v>
      </c>
      <c r="K84" s="28" t="s">
        <v>855</v>
      </c>
      <c r="L84" s="29" t="s">
        <v>1973</v>
      </c>
      <c r="R84" s="29" t="s">
        <v>855</v>
      </c>
      <c r="S84" s="8" t="s">
        <v>1416</v>
      </c>
      <c r="T84" s="8" t="s">
        <v>1973</v>
      </c>
      <c r="CB84" s="26"/>
      <c r="CC84" s="26"/>
      <c r="CF84" s="8"/>
      <c r="CG84" s="26"/>
      <c r="CH84" s="8"/>
      <c r="CM84" s="8"/>
      <c r="CR84" s="8"/>
    </row>
    <row r="85" spans="1:225" x14ac:dyDescent="0.25">
      <c r="A85" s="8" t="s">
        <v>2862</v>
      </c>
      <c r="B85" s="24" t="s">
        <v>1466</v>
      </c>
      <c r="E85" s="26" t="s">
        <v>1762</v>
      </c>
      <c r="F85" s="198" t="s">
        <v>612</v>
      </c>
      <c r="G85" s="198" t="s">
        <v>1700</v>
      </c>
      <c r="H85" s="25" t="s">
        <v>1700</v>
      </c>
      <c r="J85" s="27" t="s">
        <v>866</v>
      </c>
      <c r="R85" s="29" t="s">
        <v>855</v>
      </c>
      <c r="S85" s="8" t="s">
        <v>816</v>
      </c>
      <c r="CB85" s="278"/>
      <c r="CD85" s="279"/>
      <c r="CG85" s="278"/>
      <c r="CH85" s="278"/>
      <c r="CI85" s="279"/>
      <c r="CK85" s="279"/>
      <c r="CL85" s="278"/>
      <c r="CM85" s="278"/>
      <c r="CN85" s="279"/>
      <c r="CP85" s="279"/>
      <c r="CQ85" s="278"/>
      <c r="CR85" s="279"/>
      <c r="CS85" s="279"/>
      <c r="CU85" s="279"/>
      <c r="CV85" s="278"/>
      <c r="CW85" s="279"/>
      <c r="CX85" s="279"/>
      <c r="CZ85" s="279"/>
      <c r="DA85" s="278"/>
      <c r="DB85" s="279"/>
      <c r="DC85" s="279"/>
      <c r="DE85" s="279"/>
      <c r="DF85" s="278"/>
      <c r="DG85" s="279"/>
      <c r="DH85" s="279"/>
      <c r="DJ85" s="279"/>
      <c r="DK85" s="278"/>
      <c r="DL85" s="279"/>
      <c r="DM85" s="279"/>
      <c r="DO85" s="279"/>
      <c r="DP85" s="278"/>
      <c r="DQ85" s="279"/>
      <c r="DR85" s="279"/>
      <c r="DT85" s="279"/>
      <c r="DU85" s="278"/>
      <c r="DV85" s="279"/>
      <c r="DW85" s="279"/>
      <c r="DY85" s="279"/>
    </row>
    <row r="86" spans="1:225" x14ac:dyDescent="0.25">
      <c r="A86" s="8" t="s">
        <v>1563</v>
      </c>
      <c r="B86" s="24" t="s">
        <v>4675</v>
      </c>
      <c r="C86" s="25" t="s">
        <v>1564</v>
      </c>
      <c r="E86" s="26" t="s">
        <v>1762</v>
      </c>
      <c r="F86" s="198" t="s">
        <v>977</v>
      </c>
      <c r="G86" s="198" t="s">
        <v>1700</v>
      </c>
      <c r="H86" s="25" t="s">
        <v>1700</v>
      </c>
      <c r="I86" s="27" t="s">
        <v>3893</v>
      </c>
      <c r="J86" s="27" t="s">
        <v>866</v>
      </c>
      <c r="K86" s="28" t="s">
        <v>853</v>
      </c>
      <c r="W86" s="93">
        <v>160</v>
      </c>
      <c r="X86" s="84" t="s">
        <v>1700</v>
      </c>
      <c r="Y86" s="84" t="s">
        <v>261</v>
      </c>
      <c r="AA86" s="84" t="s">
        <v>1565</v>
      </c>
      <c r="AB86" s="84" t="s">
        <v>1566</v>
      </c>
      <c r="AC86" s="26">
        <v>42416</v>
      </c>
      <c r="AD86" s="26" t="s">
        <v>853</v>
      </c>
      <c r="AE86" s="8" t="s">
        <v>4676</v>
      </c>
      <c r="AF86" s="8">
        <v>320</v>
      </c>
      <c r="AG86" s="8">
        <v>160</v>
      </c>
      <c r="CB86" s="26"/>
      <c r="CC86" s="26"/>
      <c r="CF86" s="8"/>
      <c r="CG86" s="26"/>
      <c r="CH86" s="8"/>
      <c r="CM86" s="8"/>
      <c r="CR86" s="8"/>
    </row>
    <row r="87" spans="1:225" x14ac:dyDescent="0.25">
      <c r="A87" s="8" t="s">
        <v>3736</v>
      </c>
      <c r="B87" s="24" t="s">
        <v>209</v>
      </c>
      <c r="F87" s="198" t="s">
        <v>1700</v>
      </c>
      <c r="G87" s="198" t="s">
        <v>1700</v>
      </c>
      <c r="H87" s="25" t="s">
        <v>1700</v>
      </c>
      <c r="J87" s="27" t="s">
        <v>866</v>
      </c>
      <c r="R87" s="29" t="s">
        <v>1763</v>
      </c>
      <c r="CB87" s="278"/>
      <c r="CG87" s="278"/>
    </row>
    <row r="88" spans="1:225" x14ac:dyDescent="0.25">
      <c r="A88" s="8" t="s">
        <v>4699</v>
      </c>
      <c r="B88" s="24" t="s">
        <v>4700</v>
      </c>
      <c r="F88" s="198" t="s">
        <v>1700</v>
      </c>
      <c r="G88" s="198" t="s">
        <v>1700</v>
      </c>
      <c r="H88" s="25" t="s">
        <v>1700</v>
      </c>
      <c r="I88" s="27" t="s">
        <v>3895</v>
      </c>
      <c r="J88" s="27" t="s">
        <v>866</v>
      </c>
      <c r="K88" s="28" t="s">
        <v>3907</v>
      </c>
      <c r="L88" s="29" t="s">
        <v>858</v>
      </c>
      <c r="P88" s="17">
        <v>1</v>
      </c>
      <c r="CB88" s="278"/>
      <c r="CG88" s="278"/>
    </row>
    <row r="89" spans="1:225" ht="13.5" x14ac:dyDescent="0.25">
      <c r="A89" s="8" t="s">
        <v>1901</v>
      </c>
      <c r="B89" s="24" t="s">
        <v>1626</v>
      </c>
      <c r="E89" s="26" t="s">
        <v>1762</v>
      </c>
      <c r="F89" s="198" t="s">
        <v>1700</v>
      </c>
      <c r="G89" s="198" t="s">
        <v>1700</v>
      </c>
      <c r="H89" s="25" t="s">
        <v>1700</v>
      </c>
      <c r="J89" s="27" t="s">
        <v>866</v>
      </c>
      <c r="R89" s="29" t="s">
        <v>851</v>
      </c>
      <c r="CB89" s="278"/>
      <c r="CD89"/>
      <c r="CG89" s="278"/>
      <c r="CH89" s="278"/>
      <c r="CI89"/>
      <c r="CK89" s="279"/>
      <c r="CL89" s="278"/>
      <c r="CM89" s="278"/>
      <c r="CN89"/>
      <c r="CP89" s="279"/>
      <c r="CQ89"/>
      <c r="CR89"/>
      <c r="CS89"/>
      <c r="CU89"/>
      <c r="CV89"/>
      <c r="CW89"/>
      <c r="CX89"/>
      <c r="CZ89"/>
      <c r="DA89"/>
      <c r="DB89"/>
      <c r="DC89"/>
      <c r="DE89"/>
      <c r="DF89"/>
      <c r="DG89"/>
      <c r="DH89"/>
      <c r="DJ89"/>
      <c r="DK89"/>
      <c r="DL89"/>
      <c r="DM89"/>
      <c r="DO89"/>
      <c r="DP89"/>
      <c r="DQ89"/>
      <c r="DR89"/>
      <c r="DT89"/>
      <c r="DU89"/>
      <c r="DV89"/>
      <c r="DW89"/>
      <c r="DY89"/>
    </row>
    <row r="90" spans="1:225" x14ac:dyDescent="0.25">
      <c r="A90" s="8" t="s">
        <v>167</v>
      </c>
      <c r="B90" s="24" t="s">
        <v>169</v>
      </c>
      <c r="E90" s="26" t="s">
        <v>1762</v>
      </c>
      <c r="F90" s="198" t="s">
        <v>1700</v>
      </c>
      <c r="G90" s="198" t="s">
        <v>1700</v>
      </c>
      <c r="H90" s="25" t="s">
        <v>1700</v>
      </c>
      <c r="J90" s="27" t="s">
        <v>866</v>
      </c>
      <c r="R90" s="29" t="s">
        <v>1763</v>
      </c>
      <c r="CB90" s="278"/>
      <c r="CD90" s="279"/>
      <c r="CG90" s="278"/>
      <c r="CH90" s="278"/>
      <c r="CI90" s="279"/>
      <c r="CK90" s="279"/>
      <c r="CL90" s="278"/>
      <c r="CM90" s="278"/>
      <c r="CN90" s="279"/>
      <c r="CP90" s="279"/>
      <c r="CQ90" s="278"/>
      <c r="CR90" s="279"/>
      <c r="CS90" s="279"/>
      <c r="CU90" s="279"/>
      <c r="CV90" s="278"/>
      <c r="CW90" s="279"/>
      <c r="CX90" s="279"/>
      <c r="CZ90" s="279"/>
      <c r="DA90" s="278"/>
      <c r="DB90" s="279"/>
      <c r="DC90" s="279"/>
      <c r="DE90" s="279"/>
      <c r="DF90" s="278"/>
      <c r="DG90" s="279"/>
      <c r="DH90" s="279"/>
      <c r="DJ90" s="279"/>
      <c r="DK90" s="278"/>
      <c r="DL90" s="279"/>
      <c r="DM90" s="279"/>
      <c r="DO90" s="279"/>
      <c r="DP90" s="278"/>
      <c r="DQ90" s="279"/>
      <c r="DR90" s="279"/>
      <c r="DT90" s="279"/>
      <c r="DU90" s="278"/>
      <c r="DV90" s="279"/>
      <c r="DW90" s="279"/>
      <c r="DY90" s="279"/>
    </row>
    <row r="91" spans="1:225" x14ac:dyDescent="0.25">
      <c r="A91" s="8" t="s">
        <v>167</v>
      </c>
      <c r="B91" s="24" t="s">
        <v>169</v>
      </c>
      <c r="F91" s="198" t="s">
        <v>1700</v>
      </c>
      <c r="G91" s="198" t="s">
        <v>1700</v>
      </c>
      <c r="H91" s="25" t="s">
        <v>1700</v>
      </c>
      <c r="I91" s="27" t="s">
        <v>3902</v>
      </c>
      <c r="J91" s="27" t="s">
        <v>866</v>
      </c>
      <c r="K91" s="28" t="s">
        <v>3907</v>
      </c>
      <c r="P91" s="17">
        <v>1</v>
      </c>
      <c r="CB91" s="278"/>
      <c r="CG91" s="278"/>
    </row>
    <row r="92" spans="1:225" x14ac:dyDescent="0.25">
      <c r="A92" s="8" t="s">
        <v>167</v>
      </c>
      <c r="B92" s="24" t="s">
        <v>168</v>
      </c>
      <c r="E92" s="26" t="s">
        <v>1762</v>
      </c>
      <c r="F92" s="198" t="s">
        <v>1700</v>
      </c>
      <c r="G92" s="198" t="s">
        <v>1700</v>
      </c>
      <c r="H92" s="25" t="s">
        <v>1700</v>
      </c>
      <c r="I92" s="27" t="s">
        <v>3902</v>
      </c>
      <c r="J92" s="27" t="s">
        <v>866</v>
      </c>
      <c r="K92" s="28" t="s">
        <v>3907</v>
      </c>
      <c r="P92" s="17">
        <v>1</v>
      </c>
      <c r="R92" s="29" t="s">
        <v>1763</v>
      </c>
      <c r="CA92" s="19"/>
      <c r="CB92" s="278"/>
      <c r="CD92" s="279"/>
      <c r="CG92" s="278"/>
      <c r="CH92" s="278"/>
      <c r="CI92" s="279"/>
      <c r="CK92" s="279"/>
      <c r="CL92" s="278"/>
      <c r="CM92" s="278"/>
      <c r="CN92" s="279"/>
      <c r="CP92" s="279"/>
      <c r="CQ92" s="278"/>
      <c r="CR92" s="279"/>
      <c r="CS92" s="279"/>
      <c r="CU92" s="279"/>
      <c r="CV92" s="278"/>
      <c r="CW92" s="279"/>
      <c r="CX92" s="279"/>
      <c r="CZ92" s="279"/>
      <c r="DA92" s="278"/>
      <c r="DB92" s="279"/>
      <c r="DC92" s="279"/>
      <c r="DE92" s="279"/>
      <c r="DF92" s="278"/>
      <c r="DG92" s="279"/>
      <c r="DH92" s="279"/>
      <c r="DJ92" s="279"/>
      <c r="DK92" s="278"/>
      <c r="DL92" s="279"/>
      <c r="DM92" s="279"/>
      <c r="DO92" s="279"/>
      <c r="DP92" s="278"/>
      <c r="DQ92" s="279"/>
      <c r="DR92" s="279"/>
      <c r="DT92" s="279"/>
      <c r="DU92" s="278"/>
      <c r="DV92" s="257"/>
      <c r="DW92" s="257"/>
      <c r="DY92" s="257"/>
    </row>
    <row r="93" spans="1:225" x14ac:dyDescent="0.25">
      <c r="A93" s="8" t="s">
        <v>1300</v>
      </c>
      <c r="B93" s="24" t="s">
        <v>1299</v>
      </c>
      <c r="C93" s="25" t="s">
        <v>2255</v>
      </c>
      <c r="E93" s="26" t="s">
        <v>1762</v>
      </c>
      <c r="F93" s="198" t="s">
        <v>1700</v>
      </c>
      <c r="G93" s="198" t="s">
        <v>1700</v>
      </c>
      <c r="H93" s="25" t="s">
        <v>1700</v>
      </c>
      <c r="J93" s="27" t="s">
        <v>866</v>
      </c>
      <c r="X93" s="84" t="s">
        <v>1700</v>
      </c>
      <c r="Y93" s="84" t="s">
        <v>1700</v>
      </c>
      <c r="AA93" s="84" t="s">
        <v>2257</v>
      </c>
      <c r="AB93" s="84" t="s">
        <v>2256</v>
      </c>
      <c r="CA93" s="19"/>
      <c r="CB93" s="26"/>
      <c r="CC93" s="26"/>
      <c r="CF93" s="8"/>
      <c r="CG93" s="26"/>
      <c r="CH93" s="8"/>
      <c r="CM93" s="8"/>
      <c r="CR93" s="8"/>
    </row>
    <row r="94" spans="1:225" x14ac:dyDescent="0.25">
      <c r="A94" s="8" t="s">
        <v>4153</v>
      </c>
      <c r="B94" s="24" t="s">
        <v>4154</v>
      </c>
      <c r="E94" s="26" t="s">
        <v>1762</v>
      </c>
      <c r="F94" s="198" t="s">
        <v>1700</v>
      </c>
      <c r="G94" s="198" t="s">
        <v>1700</v>
      </c>
      <c r="H94" s="25" t="s">
        <v>1700</v>
      </c>
      <c r="I94" s="27" t="s">
        <v>3902</v>
      </c>
      <c r="J94" s="27" t="s">
        <v>866</v>
      </c>
      <c r="K94" s="28" t="s">
        <v>3906</v>
      </c>
      <c r="CB94" s="278"/>
      <c r="CG94" s="278"/>
    </row>
    <row r="95" spans="1:225" x14ac:dyDescent="0.25">
      <c r="A95" s="8" t="s">
        <v>555</v>
      </c>
      <c r="B95" s="24" t="s">
        <v>974</v>
      </c>
      <c r="E95" s="26" t="s">
        <v>1762</v>
      </c>
      <c r="F95" s="198" t="s">
        <v>1700</v>
      </c>
      <c r="G95" s="198" t="s">
        <v>1700</v>
      </c>
      <c r="H95" s="25" t="s">
        <v>1700</v>
      </c>
      <c r="J95" s="27" t="s">
        <v>866</v>
      </c>
      <c r="R95" s="29" t="s">
        <v>1973</v>
      </c>
      <c r="CB95" s="278"/>
      <c r="CG95" s="278"/>
    </row>
    <row r="96" spans="1:225" x14ac:dyDescent="0.25">
      <c r="A96" s="8" t="s">
        <v>2478</v>
      </c>
      <c r="B96" s="24" t="s">
        <v>1420</v>
      </c>
      <c r="F96" s="198" t="s">
        <v>1700</v>
      </c>
      <c r="G96" s="198" t="s">
        <v>1700</v>
      </c>
      <c r="H96" s="25" t="s">
        <v>1700</v>
      </c>
      <c r="J96" s="27" t="s">
        <v>866</v>
      </c>
      <c r="CB96" s="26"/>
      <c r="CC96" s="26"/>
      <c r="CF96" s="8"/>
      <c r="CG96" s="26"/>
      <c r="CH96" s="8"/>
      <c r="CM96" s="8"/>
      <c r="CR96" s="8"/>
      <c r="EB96" s="19"/>
      <c r="EC96" s="19"/>
      <c r="ED96" s="19"/>
      <c r="EE96" s="19"/>
      <c r="EF96" s="19"/>
      <c r="EG96" s="19"/>
      <c r="EH96" s="19"/>
      <c r="EI96" s="19"/>
      <c r="EJ96" s="19"/>
      <c r="EK96" s="19"/>
      <c r="EL96" s="19"/>
      <c r="EN96" s="19"/>
      <c r="EO96" s="19"/>
      <c r="EP96" s="19"/>
      <c r="EQ96" s="19"/>
      <c r="ER96" s="19"/>
      <c r="ES96" s="19"/>
      <c r="ET96" s="19"/>
      <c r="EU96" s="19"/>
      <c r="EV96" s="19"/>
      <c r="EW96" s="19"/>
      <c r="EX96" s="19"/>
      <c r="EZ96" s="19"/>
      <c r="FA96" s="19"/>
      <c r="FB96" s="19"/>
      <c r="FC96" s="19"/>
      <c r="FD96" s="19"/>
      <c r="FE96" s="19"/>
      <c r="FF96" s="19"/>
      <c r="FG96" s="19"/>
      <c r="FH96" s="19"/>
      <c r="FI96" s="19"/>
      <c r="FJ96" s="19"/>
      <c r="FL96" s="19"/>
      <c r="FM96" s="19"/>
      <c r="FN96" s="19"/>
      <c r="FO96" s="19"/>
      <c r="FP96" s="19"/>
      <c r="FQ96" s="19"/>
      <c r="FR96" s="19"/>
      <c r="FS96" s="19"/>
      <c r="FT96" s="19"/>
      <c r="FU96" s="19"/>
      <c r="FV96" s="19"/>
      <c r="FX96" s="19"/>
      <c r="FY96" s="19"/>
      <c r="FZ96" s="19"/>
      <c r="GA96" s="19"/>
      <c r="GB96" s="19"/>
      <c r="GC96" s="19"/>
      <c r="GD96" s="19"/>
      <c r="GE96" s="19"/>
      <c r="GF96" s="19"/>
      <c r="GG96" s="19"/>
      <c r="GH96" s="19"/>
      <c r="GJ96" s="19"/>
      <c r="GK96" s="19"/>
      <c r="GL96" s="19"/>
      <c r="GM96" s="19"/>
      <c r="GN96" s="19"/>
      <c r="GO96" s="19"/>
      <c r="GP96" s="19"/>
      <c r="GQ96" s="19"/>
      <c r="GR96" s="19"/>
      <c r="GS96" s="19"/>
      <c r="GT96" s="19"/>
      <c r="GV96" s="19"/>
      <c r="GW96" s="19"/>
      <c r="GX96" s="19"/>
      <c r="GY96" s="19"/>
      <c r="GZ96" s="19"/>
      <c r="HA96" s="19"/>
      <c r="HB96" s="19"/>
      <c r="HC96" s="19"/>
      <c r="HD96" s="19"/>
      <c r="HE96" s="19"/>
      <c r="HF96" s="19"/>
      <c r="HH96" s="19"/>
      <c r="HI96" s="19"/>
      <c r="HJ96" s="19"/>
      <c r="HK96" s="19"/>
      <c r="HL96" s="19"/>
      <c r="HM96" s="19"/>
      <c r="HN96" s="19"/>
      <c r="HO96" s="19"/>
      <c r="HP96" s="19"/>
      <c r="HQ96" s="19"/>
    </row>
    <row r="97" spans="1:225" x14ac:dyDescent="0.25">
      <c r="A97" s="8" t="s">
        <v>4044</v>
      </c>
      <c r="B97" s="24" t="s">
        <v>4045</v>
      </c>
      <c r="F97" s="198" t="s">
        <v>1700</v>
      </c>
      <c r="G97" s="198" t="s">
        <v>1700</v>
      </c>
      <c r="H97" s="25" t="s">
        <v>1700</v>
      </c>
      <c r="I97" s="27" t="s">
        <v>3902</v>
      </c>
      <c r="J97" s="27" t="s">
        <v>866</v>
      </c>
      <c r="K97" s="28" t="s">
        <v>3907</v>
      </c>
      <c r="P97" s="17">
        <v>1</v>
      </c>
      <c r="CB97" s="278"/>
      <c r="CG97" s="278"/>
      <c r="DZ97" s="19"/>
    </row>
    <row r="98" spans="1:225" x14ac:dyDescent="0.25">
      <c r="A98" s="8" t="s">
        <v>1086</v>
      </c>
      <c r="B98" s="24" t="s">
        <v>870</v>
      </c>
      <c r="F98" s="198" t="s">
        <v>1700</v>
      </c>
      <c r="G98" s="198" t="s">
        <v>1700</v>
      </c>
      <c r="H98" s="25" t="s">
        <v>1700</v>
      </c>
      <c r="J98" s="27" t="s">
        <v>866</v>
      </c>
      <c r="CB98" s="278"/>
      <c r="CD98" s="279"/>
      <c r="CE98" s="19"/>
      <c r="CG98" s="278"/>
      <c r="CH98" s="278"/>
      <c r="CI98" s="279"/>
      <c r="CJ98" s="19"/>
      <c r="CK98" s="279"/>
      <c r="CL98" s="277"/>
      <c r="CM98" s="278"/>
      <c r="CN98" s="279"/>
      <c r="CO98" s="19"/>
      <c r="CP98" s="279"/>
      <c r="CQ98" s="278"/>
      <c r="CR98" s="279"/>
      <c r="CS98" s="279"/>
      <c r="CT98" s="19"/>
      <c r="CU98" s="279"/>
      <c r="CV98" s="278"/>
      <c r="CW98" s="279"/>
      <c r="CX98" s="279"/>
      <c r="CY98" s="19"/>
      <c r="CZ98" s="279"/>
      <c r="DA98" s="278"/>
      <c r="DB98" s="279"/>
      <c r="DC98" s="279"/>
      <c r="DD98" s="19"/>
      <c r="DE98" s="279"/>
      <c r="DF98" s="278"/>
      <c r="DG98" s="279"/>
      <c r="DH98" s="279"/>
      <c r="DI98" s="19"/>
      <c r="DJ98" s="279"/>
      <c r="DK98" s="278"/>
      <c r="DL98" s="279"/>
      <c r="DM98" s="279"/>
      <c r="DN98" s="19"/>
      <c r="DO98" s="279"/>
      <c r="DP98" s="278"/>
      <c r="DQ98" s="279"/>
      <c r="DR98" s="279"/>
      <c r="DS98" s="19"/>
      <c r="DT98" s="279"/>
      <c r="DU98" s="278"/>
      <c r="DV98" s="279"/>
      <c r="DW98" s="279"/>
      <c r="DX98" s="19"/>
      <c r="DY98" s="279"/>
      <c r="EB98" s="19"/>
      <c r="EC98" s="19"/>
      <c r="ED98" s="19"/>
      <c r="EE98" s="19"/>
      <c r="EF98" s="19"/>
      <c r="EG98" s="19"/>
      <c r="EH98" s="19"/>
      <c r="EI98" s="19"/>
      <c r="EJ98" s="19"/>
      <c r="EK98" s="19"/>
      <c r="EL98" s="19"/>
      <c r="EN98" s="19"/>
      <c r="EO98" s="19"/>
      <c r="EP98" s="19"/>
      <c r="EQ98" s="19"/>
      <c r="ER98" s="19"/>
      <c r="ES98" s="19"/>
      <c r="ET98" s="19"/>
      <c r="EU98" s="19"/>
      <c r="EV98" s="19"/>
      <c r="EW98" s="19"/>
      <c r="EX98" s="19"/>
      <c r="EZ98" s="19"/>
      <c r="FA98" s="19"/>
      <c r="FB98" s="19"/>
      <c r="FC98" s="19"/>
      <c r="FD98" s="19"/>
      <c r="FE98" s="19"/>
      <c r="FF98" s="19"/>
      <c r="FG98" s="19"/>
      <c r="FH98" s="19"/>
      <c r="FI98" s="19"/>
      <c r="FJ98" s="19"/>
      <c r="FL98" s="19"/>
      <c r="FM98" s="19"/>
      <c r="FN98" s="19"/>
      <c r="FO98" s="19"/>
      <c r="FP98" s="19"/>
      <c r="FQ98" s="19"/>
      <c r="FR98" s="19"/>
      <c r="FS98" s="19"/>
      <c r="FT98" s="19"/>
      <c r="FU98" s="19"/>
      <c r="FV98" s="19"/>
      <c r="FX98" s="19"/>
      <c r="FY98" s="19"/>
      <c r="FZ98" s="19"/>
      <c r="GA98" s="19"/>
      <c r="GB98" s="19"/>
      <c r="GC98" s="19"/>
      <c r="GD98" s="19"/>
      <c r="GE98" s="19"/>
      <c r="GF98" s="19"/>
      <c r="GG98" s="19"/>
      <c r="GH98" s="19"/>
      <c r="GJ98" s="19"/>
      <c r="GK98" s="19"/>
      <c r="GL98" s="19"/>
      <c r="GM98" s="19"/>
      <c r="GN98" s="19"/>
      <c r="GO98" s="19"/>
      <c r="GP98" s="19"/>
      <c r="GQ98" s="19"/>
      <c r="GR98" s="19"/>
      <c r="GS98" s="19"/>
      <c r="GT98" s="19"/>
      <c r="GV98" s="19"/>
      <c r="GW98" s="19"/>
      <c r="GX98" s="19"/>
      <c r="GY98" s="19"/>
      <c r="GZ98" s="19"/>
      <c r="HA98" s="19"/>
      <c r="HB98" s="19"/>
      <c r="HC98" s="19"/>
      <c r="HD98" s="19"/>
      <c r="HE98" s="19"/>
      <c r="HF98" s="19"/>
      <c r="HH98" s="19"/>
      <c r="HI98" s="19"/>
      <c r="HJ98" s="19"/>
      <c r="HK98" s="19"/>
      <c r="HL98" s="19"/>
      <c r="HM98" s="19"/>
      <c r="HN98" s="19"/>
      <c r="HO98" s="19"/>
      <c r="HP98" s="19"/>
      <c r="HQ98" s="19"/>
    </row>
    <row r="99" spans="1:225" ht="13.5" x14ac:dyDescent="0.25">
      <c r="A99" s="8" t="s">
        <v>2481</v>
      </c>
      <c r="B99" s="24" t="s">
        <v>890</v>
      </c>
      <c r="F99" s="198" t="s">
        <v>1700</v>
      </c>
      <c r="G99" s="198" t="s">
        <v>1700</v>
      </c>
      <c r="H99" s="25" t="s">
        <v>1700</v>
      </c>
      <c r="J99" s="27" t="s">
        <v>866</v>
      </c>
      <c r="R99" s="29" t="s">
        <v>889</v>
      </c>
      <c r="CB99" s="278"/>
      <c r="CD99" s="279"/>
      <c r="CG99" s="278"/>
      <c r="CH99" s="278"/>
      <c r="CI99" s="279"/>
      <c r="CK99" s="279"/>
      <c r="CL99" s="276"/>
      <c r="CM99" s="278"/>
      <c r="CN99" s="279"/>
      <c r="CP99" s="279"/>
      <c r="CQ99" s="278"/>
      <c r="CR99" s="279"/>
      <c r="CS99" s="279"/>
      <c r="CU99" s="279"/>
      <c r="CV99" s="278"/>
      <c r="CW99" s="279"/>
      <c r="CX99" s="279"/>
      <c r="CZ99" s="279"/>
      <c r="DA99" s="278"/>
      <c r="DB99" s="279"/>
      <c r="DC99" s="279"/>
      <c r="DE99" s="279"/>
      <c r="DF99" s="278"/>
      <c r="DG99" s="279"/>
      <c r="DH99" s="279"/>
      <c r="DJ99" s="279"/>
      <c r="DK99" s="278"/>
      <c r="DL99" s="279"/>
      <c r="DM99" s="279"/>
      <c r="DO99" s="279"/>
      <c r="DP99" s="278"/>
      <c r="DQ99" s="279"/>
      <c r="DR99" s="279"/>
      <c r="DT99" s="279"/>
      <c r="DU99" s="278"/>
      <c r="DV99" s="279"/>
      <c r="DW99" s="279"/>
      <c r="DY99" s="279"/>
      <c r="DZ99" s="19"/>
    </row>
    <row r="100" spans="1:225" x14ac:dyDescent="0.25">
      <c r="A100" s="8" t="s">
        <v>4909</v>
      </c>
      <c r="B100" s="24" t="s">
        <v>275</v>
      </c>
      <c r="C100" s="25" t="s">
        <v>4910</v>
      </c>
      <c r="E100" s="26" t="s">
        <v>1762</v>
      </c>
      <c r="F100" s="198" t="s">
        <v>1616</v>
      </c>
      <c r="G100" s="198" t="s">
        <v>1700</v>
      </c>
      <c r="H100" s="25" t="s">
        <v>1700</v>
      </c>
      <c r="I100" s="27" t="s">
        <v>3898</v>
      </c>
      <c r="J100" s="27" t="s">
        <v>866</v>
      </c>
      <c r="K100" s="28" t="s">
        <v>853</v>
      </c>
      <c r="W100" s="93">
        <v>160</v>
      </c>
      <c r="X100" s="84" t="s">
        <v>1700</v>
      </c>
      <c r="Y100" s="84" t="s">
        <v>2921</v>
      </c>
      <c r="AA100" s="84" t="s">
        <v>4911</v>
      </c>
      <c r="AB100" s="84" t="s">
        <v>4912</v>
      </c>
      <c r="AC100" s="26" t="s">
        <v>503</v>
      </c>
      <c r="AD100" s="26" t="s">
        <v>853</v>
      </c>
      <c r="AE100" s="8" t="s">
        <v>4913</v>
      </c>
      <c r="AF100" s="8">
        <v>630</v>
      </c>
      <c r="AG100" s="8">
        <v>160</v>
      </c>
      <c r="CB100" s="278"/>
      <c r="CG100" s="278"/>
    </row>
    <row r="101" spans="1:225" ht="13.5" x14ac:dyDescent="0.25">
      <c r="A101" s="8" t="s">
        <v>3133</v>
      </c>
      <c r="B101" s="24" t="s">
        <v>275</v>
      </c>
      <c r="C101" s="25" t="s">
        <v>3132</v>
      </c>
      <c r="E101" s="26" t="s">
        <v>1762</v>
      </c>
      <c r="F101" s="198" t="s">
        <v>913</v>
      </c>
      <c r="G101" s="198" t="s">
        <v>2647</v>
      </c>
      <c r="H101" s="25" t="s">
        <v>3134</v>
      </c>
      <c r="I101" s="27" t="s">
        <v>3903</v>
      </c>
      <c r="J101" s="27" t="s">
        <v>866</v>
      </c>
      <c r="K101" s="28" t="s">
        <v>853</v>
      </c>
      <c r="R101" s="29" t="s">
        <v>853</v>
      </c>
      <c r="W101" s="93">
        <v>160</v>
      </c>
      <c r="X101" s="84" t="s">
        <v>1700</v>
      </c>
      <c r="Y101" s="84" t="s">
        <v>2932</v>
      </c>
      <c r="AA101" s="84" t="s">
        <v>3136</v>
      </c>
      <c r="AB101" s="84" t="s">
        <v>3135</v>
      </c>
      <c r="AC101" s="26">
        <v>42352</v>
      </c>
      <c r="AD101" s="26" t="s">
        <v>853</v>
      </c>
      <c r="AE101" s="8" t="s">
        <v>4381</v>
      </c>
      <c r="AF101" s="8">
        <v>588</v>
      </c>
      <c r="AG101" s="8">
        <v>160</v>
      </c>
      <c r="CB101" s="278">
        <v>41977</v>
      </c>
      <c r="CC101" s="278" t="s">
        <v>853</v>
      </c>
      <c r="CD101" t="s">
        <v>3137</v>
      </c>
      <c r="CE101" s="8">
        <v>686</v>
      </c>
      <c r="CF101" s="279">
        <v>160</v>
      </c>
      <c r="CG101" s="278"/>
      <c r="CH101" s="278"/>
      <c r="CI101"/>
      <c r="CK101" s="279"/>
      <c r="CL101" s="278"/>
      <c r="CM101" s="278"/>
      <c r="CN101"/>
      <c r="CP101" s="279"/>
      <c r="CQ101"/>
      <c r="CR101"/>
      <c r="CS101"/>
      <c r="CU101"/>
      <c r="CV101"/>
      <c r="CW101"/>
      <c r="CX101"/>
      <c r="CZ101"/>
      <c r="DA101"/>
      <c r="DB101"/>
      <c r="DC101"/>
      <c r="DE101"/>
      <c r="DF101"/>
      <c r="DG101"/>
      <c r="DH101"/>
      <c r="DJ101"/>
      <c r="DK101"/>
      <c r="DL101"/>
      <c r="DM101"/>
      <c r="DO101"/>
      <c r="DP101"/>
      <c r="DQ101"/>
      <c r="DR101"/>
      <c r="DT101"/>
      <c r="DU101"/>
      <c r="DV101"/>
      <c r="DW101"/>
      <c r="DY101"/>
    </row>
    <row r="102" spans="1:225" x14ac:dyDescent="0.25">
      <c r="A102" s="8" t="s">
        <v>206</v>
      </c>
      <c r="B102" s="24" t="s">
        <v>329</v>
      </c>
      <c r="C102" s="25" t="s">
        <v>1920</v>
      </c>
      <c r="E102" s="26" t="s">
        <v>1762</v>
      </c>
      <c r="F102" s="198" t="s">
        <v>350</v>
      </c>
      <c r="G102" s="198" t="s">
        <v>1700</v>
      </c>
      <c r="H102" s="25" t="s">
        <v>1700</v>
      </c>
      <c r="J102" s="27" t="s">
        <v>866</v>
      </c>
      <c r="X102" s="84" t="s">
        <v>1700</v>
      </c>
      <c r="Y102" s="84" t="s">
        <v>791</v>
      </c>
      <c r="AA102" s="84" t="s">
        <v>1921</v>
      </c>
      <c r="AB102" s="84" t="s">
        <v>126</v>
      </c>
      <c r="CB102" s="26"/>
      <c r="CC102" s="26"/>
      <c r="CF102" s="8"/>
      <c r="CG102" s="26"/>
      <c r="CH102" s="8"/>
      <c r="CM102" s="8"/>
      <c r="CR102" s="8"/>
    </row>
    <row r="103" spans="1:225" x14ac:dyDescent="0.25">
      <c r="A103" s="8" t="s">
        <v>206</v>
      </c>
      <c r="B103" s="24" t="s">
        <v>892</v>
      </c>
      <c r="C103" s="25" t="s">
        <v>363</v>
      </c>
      <c r="E103" s="26" t="s">
        <v>1762</v>
      </c>
      <c r="F103" s="198" t="s">
        <v>893</v>
      </c>
      <c r="G103" s="198" t="s">
        <v>1700</v>
      </c>
      <c r="H103" s="25" t="s">
        <v>4143</v>
      </c>
      <c r="I103" s="27" t="s">
        <v>3901</v>
      </c>
      <c r="J103" s="27" t="s">
        <v>866</v>
      </c>
      <c r="K103" s="28" t="s">
        <v>853</v>
      </c>
      <c r="Q103" s="93"/>
      <c r="R103" s="28"/>
      <c r="S103" s="21"/>
      <c r="T103" s="21"/>
      <c r="U103" s="21"/>
      <c r="V103" s="21"/>
      <c r="W103" s="95">
        <v>160</v>
      </c>
      <c r="X103" s="86" t="s">
        <v>1700</v>
      </c>
      <c r="Y103" s="86" t="s">
        <v>246</v>
      </c>
      <c r="Z103" s="86"/>
      <c r="AA103" s="84" t="s">
        <v>19</v>
      </c>
      <c r="AB103" s="84" t="s">
        <v>126</v>
      </c>
      <c r="AC103" s="26">
        <v>42311</v>
      </c>
      <c r="AD103" s="26" t="s">
        <v>853</v>
      </c>
      <c r="AE103" s="19" t="s">
        <v>4144</v>
      </c>
      <c r="AF103" s="19">
        <v>450</v>
      </c>
      <c r="AG103" s="19">
        <v>160</v>
      </c>
      <c r="AI103" s="19"/>
      <c r="AJ103" s="19"/>
      <c r="AK103" s="19"/>
      <c r="AL103" s="19"/>
      <c r="AN103" s="19"/>
      <c r="AO103" s="19"/>
      <c r="AP103" s="19"/>
      <c r="AQ103" s="19"/>
      <c r="AS103" s="19"/>
      <c r="AT103" s="19"/>
      <c r="AU103" s="19"/>
      <c r="AV103" s="19"/>
      <c r="AX103" s="19"/>
      <c r="AY103" s="19"/>
      <c r="AZ103" s="19"/>
      <c r="BA103" s="19"/>
      <c r="BC103" s="19"/>
      <c r="BD103" s="19"/>
      <c r="BE103" s="19"/>
      <c r="BF103" s="19"/>
      <c r="BH103" s="19"/>
      <c r="BI103" s="19"/>
      <c r="BJ103" s="19"/>
      <c r="BK103" s="19"/>
      <c r="BM103" s="19"/>
      <c r="BN103" s="19"/>
      <c r="BO103" s="19"/>
      <c r="BP103" s="19"/>
      <c r="BR103" s="19"/>
      <c r="BS103" s="19"/>
      <c r="BT103" s="19"/>
      <c r="BU103" s="19"/>
      <c r="BW103" s="19"/>
      <c r="BX103" s="19"/>
      <c r="BY103" s="19"/>
      <c r="BZ103" s="19"/>
      <c r="CB103" s="26"/>
      <c r="CC103" s="26"/>
      <c r="CD103" s="19"/>
      <c r="CE103" s="19"/>
      <c r="CF103" s="19"/>
      <c r="CG103" s="26"/>
      <c r="CH103" s="19"/>
      <c r="CI103" s="19"/>
      <c r="CJ103" s="19"/>
      <c r="CK103" s="19"/>
      <c r="CM103" s="19"/>
      <c r="CN103" s="19"/>
      <c r="CO103" s="19"/>
      <c r="CP103" s="19"/>
      <c r="CR103" s="19"/>
      <c r="CS103" s="19"/>
      <c r="CT103" s="19"/>
      <c r="CU103" s="19"/>
      <c r="CW103" s="19"/>
      <c r="CX103" s="19"/>
      <c r="CY103" s="19"/>
      <c r="CZ103" s="19"/>
      <c r="DB103" s="19"/>
      <c r="DC103" s="19"/>
      <c r="DD103" s="19"/>
      <c r="DE103" s="19"/>
      <c r="DG103" s="19"/>
      <c r="DH103" s="19"/>
      <c r="DI103" s="19"/>
      <c r="DJ103" s="19"/>
      <c r="DL103" s="19"/>
      <c r="DM103" s="19"/>
      <c r="DN103" s="19"/>
      <c r="DO103" s="19"/>
      <c r="DQ103" s="19"/>
      <c r="DR103" s="19"/>
      <c r="DS103" s="19"/>
      <c r="DT103" s="19"/>
      <c r="DV103" s="19"/>
      <c r="DW103" s="19"/>
      <c r="DX103" s="19"/>
      <c r="DY103" s="19"/>
    </row>
    <row r="104" spans="1:225" x14ac:dyDescent="0.25">
      <c r="A104" s="8" t="s">
        <v>1375</v>
      </c>
      <c r="B104" s="24" t="s">
        <v>293</v>
      </c>
      <c r="C104" s="25" t="s">
        <v>1374</v>
      </c>
      <c r="E104" s="26" t="s">
        <v>1762</v>
      </c>
      <c r="F104" s="198" t="s">
        <v>1609</v>
      </c>
      <c r="G104" s="198" t="s">
        <v>710</v>
      </c>
      <c r="H104" s="25" t="s">
        <v>3322</v>
      </c>
      <c r="I104" s="27" t="s">
        <v>3902</v>
      </c>
      <c r="J104" s="27" t="s">
        <v>866</v>
      </c>
      <c r="K104" s="28" t="s">
        <v>853</v>
      </c>
      <c r="R104" s="29" t="s">
        <v>853</v>
      </c>
      <c r="W104" s="93">
        <v>160</v>
      </c>
      <c r="X104" s="84" t="s">
        <v>1700</v>
      </c>
      <c r="Y104" s="84" t="s">
        <v>2499</v>
      </c>
      <c r="AA104" s="84" t="s">
        <v>4291</v>
      </c>
      <c r="AB104" s="84" t="s">
        <v>126</v>
      </c>
      <c r="AC104" s="26">
        <v>42334</v>
      </c>
      <c r="AD104" s="26" t="s">
        <v>853</v>
      </c>
      <c r="AE104" s="8" t="s">
        <v>4292</v>
      </c>
      <c r="AF104" s="8">
        <v>192</v>
      </c>
      <c r="AG104" s="8">
        <v>96</v>
      </c>
      <c r="AH104" s="26">
        <v>42334</v>
      </c>
      <c r="AI104" s="8" t="s">
        <v>853</v>
      </c>
      <c r="AJ104" s="8" t="s">
        <v>4293</v>
      </c>
      <c r="AK104" s="8">
        <v>189</v>
      </c>
      <c r="AL104" s="8">
        <v>64</v>
      </c>
      <c r="CB104" s="26">
        <v>41977</v>
      </c>
      <c r="CC104" s="26" t="s">
        <v>853</v>
      </c>
      <c r="CD104" s="8" t="s">
        <v>3323</v>
      </c>
      <c r="CE104" s="8">
        <v>189</v>
      </c>
      <c r="CF104" s="8">
        <v>95</v>
      </c>
      <c r="CG104" s="26">
        <v>41977</v>
      </c>
      <c r="CH104" s="8" t="s">
        <v>853</v>
      </c>
      <c r="CI104" s="8" t="s">
        <v>3327</v>
      </c>
      <c r="CJ104" s="8">
        <v>270</v>
      </c>
      <c r="CK104" s="8">
        <v>65</v>
      </c>
      <c r="CM104" s="8"/>
      <c r="CR104" s="8"/>
    </row>
    <row r="105" spans="1:225" x14ac:dyDescent="0.25">
      <c r="A105" s="8" t="s">
        <v>4843</v>
      </c>
      <c r="B105" s="24" t="s">
        <v>776</v>
      </c>
      <c r="C105" s="25" t="s">
        <v>4842</v>
      </c>
      <c r="E105" s="26" t="s">
        <v>1762</v>
      </c>
      <c r="F105" s="198" t="s">
        <v>1376</v>
      </c>
      <c r="G105" s="198" t="s">
        <v>1700</v>
      </c>
      <c r="H105" s="25" t="s">
        <v>4844</v>
      </c>
      <c r="I105" s="27" t="s">
        <v>3896</v>
      </c>
      <c r="J105" s="27" t="s">
        <v>866</v>
      </c>
      <c r="K105" s="28" t="s">
        <v>853</v>
      </c>
      <c r="W105" s="93">
        <v>160</v>
      </c>
      <c r="X105" s="84" t="s">
        <v>1700</v>
      </c>
      <c r="Y105" s="84" t="s">
        <v>2499</v>
      </c>
      <c r="AA105" s="84" t="s">
        <v>4845</v>
      </c>
      <c r="AB105" s="84" t="s">
        <v>126</v>
      </c>
      <c r="AC105" s="26">
        <v>42545</v>
      </c>
      <c r="AD105" s="26" t="s">
        <v>853</v>
      </c>
      <c r="AE105" s="8" t="s">
        <v>4846</v>
      </c>
      <c r="AF105" s="8">
        <v>343</v>
      </c>
      <c r="AG105" s="8">
        <v>160</v>
      </c>
      <c r="CB105" s="278"/>
      <c r="CG105" s="278"/>
    </row>
    <row r="106" spans="1:225" x14ac:dyDescent="0.25">
      <c r="A106" s="8" t="s">
        <v>3911</v>
      </c>
      <c r="B106" s="24" t="s">
        <v>897</v>
      </c>
      <c r="F106" s="198" t="s">
        <v>898</v>
      </c>
      <c r="G106" s="198" t="s">
        <v>1700</v>
      </c>
      <c r="H106" s="25" t="s">
        <v>1700</v>
      </c>
      <c r="I106" s="27" t="s">
        <v>3901</v>
      </c>
      <c r="J106" s="27" t="s">
        <v>866</v>
      </c>
      <c r="K106" s="28" t="s">
        <v>851</v>
      </c>
      <c r="L106" s="29" t="s">
        <v>3907</v>
      </c>
      <c r="P106" s="17">
        <v>1</v>
      </c>
      <c r="CB106" s="278"/>
      <c r="CG106" s="278"/>
    </row>
    <row r="107" spans="1:225" x14ac:dyDescent="0.25">
      <c r="A107" s="11" t="s">
        <v>207</v>
      </c>
      <c r="B107" s="12" t="s">
        <v>899</v>
      </c>
      <c r="C107" s="13" t="s">
        <v>1276</v>
      </c>
      <c r="D107" s="14"/>
      <c r="E107" s="14" t="s">
        <v>1764</v>
      </c>
      <c r="F107" s="199" t="s">
        <v>909</v>
      </c>
      <c r="G107" s="199" t="s">
        <v>1700</v>
      </c>
      <c r="H107" s="13" t="s">
        <v>3541</v>
      </c>
      <c r="I107" s="15" t="s">
        <v>3896</v>
      </c>
      <c r="J107" s="15" t="s">
        <v>866</v>
      </c>
      <c r="K107" s="16" t="s">
        <v>853</v>
      </c>
      <c r="L107" s="17"/>
      <c r="M107" s="18"/>
      <c r="N107" s="17"/>
      <c r="O107" s="17"/>
      <c r="Q107" s="180"/>
      <c r="R107" s="16" t="s">
        <v>853</v>
      </c>
      <c r="S107" s="29" t="s">
        <v>1126</v>
      </c>
      <c r="T107" s="29"/>
      <c r="U107" s="29"/>
      <c r="V107" s="29"/>
      <c r="W107" s="95">
        <v>160</v>
      </c>
      <c r="X107" s="86" t="s">
        <v>1700</v>
      </c>
      <c r="Y107" s="86" t="s">
        <v>2499</v>
      </c>
      <c r="Z107" s="86"/>
      <c r="AA107" s="86" t="s">
        <v>4796</v>
      </c>
      <c r="AB107" s="84" t="s">
        <v>126</v>
      </c>
      <c r="AC107" s="26">
        <v>42493</v>
      </c>
      <c r="AD107" s="26" t="s">
        <v>853</v>
      </c>
      <c r="AE107" s="19" t="s">
        <v>4795</v>
      </c>
      <c r="AF107" s="19">
        <v>439.35</v>
      </c>
      <c r="AG107" s="19">
        <v>160</v>
      </c>
      <c r="AI107" s="19"/>
      <c r="AJ107" s="19"/>
      <c r="AK107" s="19"/>
      <c r="AL107" s="19"/>
      <c r="AN107" s="19"/>
      <c r="AO107" s="19"/>
      <c r="AP107" s="19"/>
      <c r="AQ107" s="19"/>
      <c r="AS107" s="19"/>
      <c r="AT107" s="19"/>
      <c r="AU107" s="19"/>
      <c r="AV107" s="19"/>
      <c r="AX107" s="19"/>
      <c r="AY107" s="19"/>
      <c r="AZ107" s="19"/>
      <c r="BA107" s="19"/>
      <c r="BC107" s="19"/>
      <c r="BD107" s="19"/>
      <c r="BE107" s="19"/>
      <c r="BF107" s="19"/>
      <c r="BH107" s="19"/>
      <c r="BI107" s="19"/>
      <c r="BJ107" s="19"/>
      <c r="BK107" s="19"/>
      <c r="BM107" s="19"/>
      <c r="BN107" s="19"/>
      <c r="BO107" s="19"/>
      <c r="BP107" s="19"/>
      <c r="BR107" s="19"/>
      <c r="BS107" s="19"/>
      <c r="BT107" s="19"/>
      <c r="BU107" s="19"/>
      <c r="BV107" s="8"/>
      <c r="BY107" s="19"/>
      <c r="CB107" s="26">
        <v>42074</v>
      </c>
      <c r="CC107" s="26" t="s">
        <v>853</v>
      </c>
      <c r="CD107" s="19" t="s">
        <v>3542</v>
      </c>
      <c r="CE107" s="19">
        <v>110</v>
      </c>
      <c r="CF107" s="19">
        <v>55</v>
      </c>
      <c r="CG107" s="26">
        <v>42074</v>
      </c>
      <c r="CH107" s="19" t="s">
        <v>853</v>
      </c>
      <c r="CI107" s="19" t="s">
        <v>3542</v>
      </c>
      <c r="CJ107" s="19">
        <v>110</v>
      </c>
      <c r="CK107" s="19">
        <v>55</v>
      </c>
      <c r="CL107" s="26">
        <v>42074</v>
      </c>
      <c r="CM107" s="19" t="s">
        <v>853</v>
      </c>
      <c r="CN107" s="19" t="s">
        <v>3543</v>
      </c>
      <c r="CO107" s="19">
        <v>38</v>
      </c>
      <c r="CP107" s="19">
        <v>19</v>
      </c>
      <c r="CQ107" s="26">
        <v>42074</v>
      </c>
      <c r="CR107" s="19" t="s">
        <v>853</v>
      </c>
      <c r="CS107" s="19" t="s">
        <v>3543</v>
      </c>
      <c r="CT107" s="19">
        <v>38</v>
      </c>
      <c r="CU107" s="19">
        <v>19</v>
      </c>
      <c r="CV107" s="26">
        <v>42094</v>
      </c>
      <c r="CW107" s="19" t="s">
        <v>1126</v>
      </c>
      <c r="CX107" s="19" t="s">
        <v>3675</v>
      </c>
      <c r="CY107" s="19">
        <v>40.700000000000003</v>
      </c>
      <c r="CZ107" s="19">
        <v>20.350000000000001</v>
      </c>
      <c r="DB107" s="19"/>
      <c r="DC107" s="19"/>
      <c r="DD107" s="19"/>
      <c r="DE107" s="19"/>
      <c r="DG107" s="19"/>
      <c r="DH107" s="19"/>
      <c r="DI107" s="19"/>
      <c r="DJ107" s="19"/>
      <c r="DL107" s="19"/>
      <c r="DM107" s="19"/>
      <c r="DN107" s="19"/>
      <c r="DO107" s="19"/>
      <c r="DQ107" s="19"/>
      <c r="DR107" s="19"/>
      <c r="DS107" s="19"/>
      <c r="DT107" s="19"/>
      <c r="DU107" s="8"/>
    </row>
    <row r="108" spans="1:225" x14ac:dyDescent="0.25">
      <c r="A108" s="8" t="s">
        <v>3686</v>
      </c>
      <c r="B108" s="24" t="s">
        <v>3687</v>
      </c>
      <c r="F108" s="198" t="s">
        <v>1700</v>
      </c>
      <c r="G108" s="198" t="s">
        <v>1700</v>
      </c>
      <c r="H108" s="25" t="s">
        <v>1700</v>
      </c>
      <c r="J108" s="27" t="s">
        <v>866</v>
      </c>
      <c r="R108" s="29" t="s">
        <v>816</v>
      </c>
      <c r="CB108" s="278"/>
      <c r="CG108" s="278"/>
    </row>
    <row r="109" spans="1:225" x14ac:dyDescent="0.25">
      <c r="A109" s="8" t="s">
        <v>304</v>
      </c>
      <c r="B109" s="24" t="s">
        <v>2053</v>
      </c>
      <c r="C109" s="25" t="s">
        <v>1441</v>
      </c>
      <c r="E109" s="26" t="s">
        <v>1762</v>
      </c>
      <c r="F109" s="198" t="s">
        <v>1843</v>
      </c>
      <c r="G109" s="198" t="s">
        <v>1700</v>
      </c>
      <c r="H109" s="25" t="s">
        <v>1700</v>
      </c>
      <c r="I109" s="27" t="s">
        <v>3902</v>
      </c>
      <c r="J109" s="27" t="s">
        <v>866</v>
      </c>
      <c r="K109" s="28" t="s">
        <v>3906</v>
      </c>
      <c r="Q109" s="180"/>
      <c r="R109" s="16"/>
      <c r="S109" s="29"/>
      <c r="T109" s="29"/>
      <c r="U109" s="29"/>
      <c r="V109" s="29"/>
      <c r="X109" s="84" t="s">
        <v>1443</v>
      </c>
      <c r="Y109" s="84" t="s">
        <v>335</v>
      </c>
      <c r="AA109" s="84" t="s">
        <v>1442</v>
      </c>
      <c r="AB109" s="84" t="s">
        <v>348</v>
      </c>
      <c r="CB109" s="26"/>
      <c r="CC109" s="26"/>
      <c r="CF109" s="8"/>
      <c r="CG109" s="26"/>
      <c r="CH109" s="8"/>
      <c r="CM109" s="8"/>
      <c r="CR109" s="8"/>
    </row>
    <row r="110" spans="1:225" x14ac:dyDescent="0.25">
      <c r="A110" s="8" t="s">
        <v>912</v>
      </c>
      <c r="B110" s="24" t="s">
        <v>871</v>
      </c>
      <c r="E110" s="26" t="s">
        <v>1762</v>
      </c>
      <c r="F110" s="198" t="s">
        <v>1700</v>
      </c>
      <c r="G110" s="198" t="s">
        <v>1700</v>
      </c>
      <c r="H110" s="25" t="s">
        <v>1700</v>
      </c>
      <c r="I110" s="27" t="s">
        <v>3901</v>
      </c>
      <c r="J110" s="27" t="s">
        <v>866</v>
      </c>
      <c r="K110" s="28" t="s">
        <v>3908</v>
      </c>
      <c r="CB110" s="278"/>
      <c r="CG110" s="278"/>
      <c r="DZ110" s="257"/>
      <c r="EB110" s="19"/>
      <c r="EC110" s="19"/>
      <c r="ED110" s="19"/>
      <c r="EE110" s="19"/>
      <c r="EF110" s="19"/>
      <c r="EG110" s="19"/>
      <c r="EH110" s="19"/>
      <c r="EI110" s="19"/>
      <c r="EJ110" s="19"/>
      <c r="EK110" s="19"/>
      <c r="EL110" s="19"/>
      <c r="EN110" s="19"/>
      <c r="EO110" s="19"/>
      <c r="EP110" s="19"/>
      <c r="EQ110" s="19"/>
      <c r="ER110" s="19"/>
      <c r="ES110" s="19"/>
      <c r="ET110" s="19"/>
      <c r="EU110" s="19"/>
      <c r="EV110" s="19"/>
      <c r="EW110" s="19"/>
      <c r="EX110" s="19"/>
      <c r="EZ110" s="19"/>
      <c r="FA110" s="19"/>
      <c r="FB110" s="19"/>
      <c r="FC110" s="19"/>
      <c r="FD110" s="19"/>
      <c r="FE110" s="19"/>
      <c r="FF110" s="19"/>
      <c r="FG110" s="19"/>
      <c r="FH110" s="19"/>
      <c r="FI110" s="19"/>
      <c r="FJ110" s="19"/>
      <c r="FL110" s="19"/>
      <c r="FM110" s="19"/>
      <c r="FN110" s="19"/>
      <c r="FO110" s="19"/>
      <c r="FP110" s="19"/>
      <c r="FQ110" s="19"/>
      <c r="FR110" s="19"/>
      <c r="FS110" s="19"/>
      <c r="FT110" s="19"/>
      <c r="FU110" s="19"/>
      <c r="FV110" s="19"/>
      <c r="FX110" s="19"/>
      <c r="FY110" s="19"/>
      <c r="FZ110" s="19"/>
      <c r="GA110" s="19"/>
      <c r="GB110" s="19"/>
      <c r="GC110" s="19"/>
      <c r="GD110" s="19"/>
      <c r="GE110" s="19"/>
      <c r="GF110" s="19"/>
      <c r="GG110" s="19"/>
      <c r="GH110" s="19"/>
      <c r="GJ110" s="19"/>
      <c r="GK110" s="19"/>
      <c r="GL110" s="19"/>
      <c r="GM110" s="19"/>
      <c r="GN110" s="19"/>
      <c r="GO110" s="19"/>
      <c r="GP110" s="19"/>
      <c r="GQ110" s="19"/>
      <c r="GR110" s="19"/>
      <c r="GS110" s="19"/>
      <c r="GT110" s="19"/>
      <c r="GV110" s="19"/>
      <c r="GW110" s="19"/>
      <c r="GX110" s="19"/>
      <c r="GY110" s="19"/>
      <c r="GZ110" s="19"/>
      <c r="HA110" s="19"/>
      <c r="HB110" s="19"/>
      <c r="HC110" s="19"/>
      <c r="HD110" s="19"/>
      <c r="HE110" s="19"/>
      <c r="HF110" s="19"/>
      <c r="HH110" s="19"/>
      <c r="HI110" s="19"/>
      <c r="HJ110" s="19"/>
      <c r="HK110" s="19"/>
      <c r="HL110" s="19"/>
      <c r="HM110" s="19"/>
      <c r="HN110" s="19"/>
      <c r="HO110" s="19"/>
      <c r="HP110" s="19"/>
      <c r="HQ110" s="19"/>
    </row>
    <row r="111" spans="1:225" x14ac:dyDescent="0.25">
      <c r="A111" s="8" t="s">
        <v>912</v>
      </c>
      <c r="B111" s="24" t="s">
        <v>322</v>
      </c>
      <c r="C111" s="25" t="s">
        <v>1355</v>
      </c>
      <c r="D111" s="26">
        <v>22078</v>
      </c>
      <c r="E111" s="26" t="s">
        <v>1762</v>
      </c>
      <c r="F111" s="198" t="s">
        <v>3512</v>
      </c>
      <c r="G111" s="198" t="s">
        <v>3867</v>
      </c>
      <c r="H111" s="25" t="s">
        <v>1354</v>
      </c>
      <c r="I111" s="27" t="s">
        <v>3904</v>
      </c>
      <c r="J111" s="27" t="s">
        <v>866</v>
      </c>
      <c r="K111" s="28" t="s">
        <v>1416</v>
      </c>
      <c r="L111" s="29" t="s">
        <v>816</v>
      </c>
      <c r="R111" s="29" t="s">
        <v>1416</v>
      </c>
      <c r="S111" s="8" t="s">
        <v>855</v>
      </c>
      <c r="T111" s="8" t="s">
        <v>816</v>
      </c>
      <c r="CA111" s="19"/>
      <c r="CB111" s="26"/>
      <c r="CC111" s="26"/>
      <c r="CF111" s="8"/>
      <c r="CG111" s="26"/>
      <c r="CH111" s="8"/>
      <c r="CM111" s="8"/>
      <c r="CR111" s="8"/>
      <c r="DZ111" s="19"/>
    </row>
    <row r="112" spans="1:225" x14ac:dyDescent="0.25">
      <c r="A112" s="8" t="s">
        <v>912</v>
      </c>
      <c r="B112" s="24" t="s">
        <v>279</v>
      </c>
      <c r="C112" s="25" t="s">
        <v>1476</v>
      </c>
      <c r="E112" s="26" t="s">
        <v>1762</v>
      </c>
      <c r="F112" s="198" t="s">
        <v>2142</v>
      </c>
      <c r="G112" s="198" t="s">
        <v>1596</v>
      </c>
      <c r="H112" s="25" t="s">
        <v>3010</v>
      </c>
      <c r="I112" s="27" t="s">
        <v>3903</v>
      </c>
      <c r="J112" s="27" t="s">
        <v>866</v>
      </c>
      <c r="K112" s="28" t="s">
        <v>853</v>
      </c>
      <c r="R112" s="29" t="s">
        <v>853</v>
      </c>
      <c r="W112" s="93">
        <v>77</v>
      </c>
      <c r="X112" s="84" t="s">
        <v>1700</v>
      </c>
      <c r="Y112" s="84" t="s">
        <v>2921</v>
      </c>
      <c r="AA112" s="84" t="s">
        <v>3011</v>
      </c>
      <c r="AB112" s="84" t="s">
        <v>1462</v>
      </c>
      <c r="AC112" s="26">
        <v>42352</v>
      </c>
      <c r="AD112" s="26" t="s">
        <v>853</v>
      </c>
      <c r="AE112" s="8" t="s">
        <v>4349</v>
      </c>
      <c r="AF112" s="8">
        <v>145</v>
      </c>
      <c r="AG112" s="8">
        <v>77</v>
      </c>
      <c r="CB112" s="26">
        <v>41943</v>
      </c>
      <c r="CC112" s="26" t="s">
        <v>853</v>
      </c>
      <c r="CD112" s="8" t="s">
        <v>3012</v>
      </c>
      <c r="CE112" s="8">
        <v>150</v>
      </c>
      <c r="CF112" s="8">
        <v>75</v>
      </c>
      <c r="CG112" s="26"/>
      <c r="CH112" s="8"/>
      <c r="CM112" s="8"/>
      <c r="CR112" s="8"/>
    </row>
    <row r="113" spans="1:225" x14ac:dyDescent="0.25">
      <c r="A113" s="8" t="s">
        <v>1809</v>
      </c>
      <c r="B113" s="24" t="s">
        <v>1810</v>
      </c>
      <c r="C113" s="25" t="s">
        <v>1811</v>
      </c>
      <c r="E113" s="26" t="s">
        <v>1762</v>
      </c>
      <c r="F113" s="198" t="s">
        <v>946</v>
      </c>
      <c r="G113" s="198" t="s">
        <v>2679</v>
      </c>
      <c r="H113" s="25" t="s">
        <v>3556</v>
      </c>
      <c r="I113" s="27" t="s">
        <v>3903</v>
      </c>
      <c r="J113" s="27" t="s">
        <v>866</v>
      </c>
      <c r="K113" s="28" t="s">
        <v>853</v>
      </c>
      <c r="R113" s="29" t="s">
        <v>853</v>
      </c>
      <c r="W113" s="93">
        <v>95</v>
      </c>
      <c r="X113" s="84" t="s">
        <v>1700</v>
      </c>
      <c r="Y113" s="84" t="s">
        <v>261</v>
      </c>
      <c r="AA113" s="84" t="s">
        <v>1812</v>
      </c>
      <c r="AB113" s="84" t="s">
        <v>1813</v>
      </c>
      <c r="AC113" s="26">
        <v>42360</v>
      </c>
      <c r="AD113" s="26" t="s">
        <v>853</v>
      </c>
      <c r="AE113" s="8" t="s">
        <v>4521</v>
      </c>
      <c r="AF113" s="8">
        <v>190</v>
      </c>
      <c r="AG113" s="8">
        <v>95</v>
      </c>
      <c r="CA113" s="19"/>
      <c r="CB113" s="26">
        <v>42074</v>
      </c>
      <c r="CC113" s="26" t="s">
        <v>853</v>
      </c>
      <c r="CD113" s="8" t="s">
        <v>3557</v>
      </c>
      <c r="CE113" s="8">
        <v>190</v>
      </c>
      <c r="CF113" s="8">
        <v>95</v>
      </c>
      <c r="CG113" s="26"/>
      <c r="CH113" s="8"/>
      <c r="CM113" s="8"/>
      <c r="CR113" s="8"/>
      <c r="DZ113" s="19"/>
    </row>
    <row r="114" spans="1:225" x14ac:dyDescent="0.25">
      <c r="A114" s="8" t="s">
        <v>3505</v>
      </c>
      <c r="B114" s="24" t="s">
        <v>481</v>
      </c>
      <c r="D114" s="26">
        <v>30854</v>
      </c>
      <c r="E114" s="26" t="s">
        <v>1762</v>
      </c>
      <c r="F114" s="198" t="s">
        <v>2540</v>
      </c>
      <c r="G114" s="198" t="s">
        <v>1700</v>
      </c>
      <c r="H114" s="25" t="s">
        <v>1700</v>
      </c>
      <c r="J114" s="27" t="s">
        <v>866</v>
      </c>
      <c r="R114" s="29" t="s">
        <v>854</v>
      </c>
      <c r="CB114" s="278"/>
      <c r="CG114" s="278"/>
      <c r="EB114" s="19"/>
      <c r="EC114" s="19"/>
      <c r="ED114" s="19"/>
      <c r="EE114" s="19"/>
      <c r="EF114" s="19"/>
      <c r="EG114" s="19"/>
      <c r="EH114" s="19"/>
      <c r="EI114" s="19"/>
      <c r="EJ114" s="19"/>
      <c r="EK114" s="19"/>
      <c r="EL114" s="19"/>
      <c r="EN114" s="19"/>
      <c r="EO114" s="19"/>
      <c r="EP114" s="19"/>
      <c r="EQ114" s="19"/>
      <c r="ER114" s="19"/>
      <c r="ES114" s="19"/>
      <c r="ET114" s="19"/>
      <c r="EU114" s="19"/>
      <c r="EV114" s="19"/>
      <c r="EW114" s="19"/>
      <c r="EX114" s="19"/>
      <c r="EZ114" s="19"/>
      <c r="FA114" s="19"/>
      <c r="FB114" s="19"/>
      <c r="FC114" s="19"/>
      <c r="FD114" s="19"/>
      <c r="FE114" s="19"/>
      <c r="FF114" s="19"/>
      <c r="FG114" s="19"/>
      <c r="FH114" s="19"/>
      <c r="FI114" s="19"/>
      <c r="FJ114" s="19"/>
      <c r="FL114" s="19"/>
      <c r="FM114" s="19"/>
      <c r="FN114" s="19"/>
      <c r="FO114" s="19"/>
      <c r="FP114" s="19"/>
      <c r="FQ114" s="19"/>
      <c r="FR114" s="19"/>
      <c r="FS114" s="19"/>
      <c r="FT114" s="19"/>
      <c r="FU114" s="19"/>
      <c r="FV114" s="19"/>
      <c r="FX114" s="19"/>
      <c r="FY114" s="19"/>
      <c r="FZ114" s="19"/>
      <c r="GA114" s="19"/>
      <c r="GB114" s="19"/>
      <c r="GC114" s="19"/>
      <c r="GD114" s="19"/>
      <c r="GE114" s="19"/>
      <c r="GF114" s="19"/>
      <c r="GG114" s="19"/>
      <c r="GH114" s="19"/>
      <c r="GJ114" s="19"/>
      <c r="GK114" s="19"/>
      <c r="GL114" s="19"/>
      <c r="GM114" s="19"/>
      <c r="GN114" s="19"/>
      <c r="GO114" s="19"/>
      <c r="GP114" s="19"/>
      <c r="GQ114" s="19"/>
      <c r="GR114" s="19"/>
      <c r="GS114" s="19"/>
      <c r="GT114" s="19"/>
      <c r="GV114" s="19"/>
      <c r="GW114" s="19"/>
      <c r="GX114" s="19"/>
      <c r="GY114" s="19"/>
      <c r="GZ114" s="19"/>
      <c r="HA114" s="19"/>
      <c r="HB114" s="19"/>
      <c r="HC114" s="19"/>
      <c r="HD114" s="19"/>
      <c r="HE114" s="19"/>
      <c r="HF114" s="19"/>
      <c r="HH114" s="19"/>
      <c r="HI114" s="19"/>
      <c r="HJ114" s="19"/>
      <c r="HK114" s="19"/>
      <c r="HL114" s="19"/>
      <c r="HM114" s="19"/>
      <c r="HN114" s="19"/>
      <c r="HO114" s="19"/>
      <c r="HP114" s="19"/>
      <c r="HQ114" s="19"/>
    </row>
    <row r="115" spans="1:225" x14ac:dyDescent="0.25">
      <c r="A115" s="8" t="s">
        <v>1482</v>
      </c>
      <c r="B115" s="24" t="s">
        <v>1838</v>
      </c>
      <c r="C115" s="25" t="s">
        <v>1483</v>
      </c>
      <c r="E115" s="26" t="s">
        <v>1762</v>
      </c>
      <c r="F115" s="198" t="s">
        <v>946</v>
      </c>
      <c r="G115" s="198" t="s">
        <v>1700</v>
      </c>
      <c r="H115" s="25" t="s">
        <v>2714</v>
      </c>
      <c r="I115" s="27" t="s">
        <v>3902</v>
      </c>
      <c r="J115" s="27" t="s">
        <v>866</v>
      </c>
      <c r="K115" s="28" t="s">
        <v>853</v>
      </c>
      <c r="R115" s="29" t="s">
        <v>853</v>
      </c>
      <c r="W115" s="93">
        <v>160</v>
      </c>
      <c r="X115" s="84" t="s">
        <v>1700</v>
      </c>
      <c r="Y115" s="84" t="s">
        <v>791</v>
      </c>
      <c r="AA115" s="84" t="s">
        <v>702</v>
      </c>
      <c r="AB115" s="84" t="s">
        <v>126</v>
      </c>
      <c r="AC115" s="26">
        <v>42313</v>
      </c>
      <c r="AD115" s="26" t="s">
        <v>853</v>
      </c>
      <c r="AE115" s="8" t="s">
        <v>4195</v>
      </c>
      <c r="AF115" s="8">
        <v>396</v>
      </c>
      <c r="AG115" s="8">
        <v>160</v>
      </c>
      <c r="CB115" s="26">
        <v>41921</v>
      </c>
      <c r="CC115" s="26" t="s">
        <v>853</v>
      </c>
      <c r="CD115" s="8" t="s">
        <v>2715</v>
      </c>
      <c r="CE115" s="8">
        <v>396</v>
      </c>
      <c r="CF115" s="8">
        <v>160</v>
      </c>
      <c r="CG115" s="26"/>
      <c r="CH115" s="8"/>
      <c r="CM115" s="8"/>
      <c r="CR115" s="8"/>
      <c r="DZ115" s="19"/>
    </row>
    <row r="116" spans="1:225" x14ac:dyDescent="0.25">
      <c r="A116" s="8" t="s">
        <v>4669</v>
      </c>
      <c r="B116" s="24" t="s">
        <v>4670</v>
      </c>
      <c r="C116" s="25" t="s">
        <v>4668</v>
      </c>
      <c r="F116" s="198" t="s">
        <v>245</v>
      </c>
      <c r="G116" s="198" t="s">
        <v>1700</v>
      </c>
      <c r="H116" s="25" t="s">
        <v>4671</v>
      </c>
      <c r="I116" s="27" t="s">
        <v>3893</v>
      </c>
      <c r="J116" s="27" t="s">
        <v>866</v>
      </c>
      <c r="K116" s="28" t="s">
        <v>853</v>
      </c>
      <c r="W116" s="93">
        <v>18</v>
      </c>
      <c r="X116" s="84" t="s">
        <v>1700</v>
      </c>
      <c r="Y116" s="84" t="s">
        <v>2634</v>
      </c>
      <c r="AA116" s="84" t="s">
        <v>4672</v>
      </c>
      <c r="AB116" s="84" t="s">
        <v>348</v>
      </c>
      <c r="AC116" s="26">
        <v>42416</v>
      </c>
      <c r="AD116" s="26" t="s">
        <v>853</v>
      </c>
      <c r="AE116" s="8" t="s">
        <v>4673</v>
      </c>
      <c r="AF116" s="8">
        <v>36</v>
      </c>
      <c r="AG116" s="8">
        <v>18</v>
      </c>
      <c r="CB116" s="278"/>
      <c r="CG116" s="278"/>
    </row>
    <row r="117" spans="1:225" x14ac:dyDescent="0.25">
      <c r="A117" s="8" t="s">
        <v>1782</v>
      </c>
      <c r="B117" s="24" t="s">
        <v>728</v>
      </c>
      <c r="C117" s="25" t="s">
        <v>1783</v>
      </c>
      <c r="E117" s="26" t="s">
        <v>1764</v>
      </c>
      <c r="F117" s="198" t="s">
        <v>867</v>
      </c>
      <c r="G117" s="198" t="s">
        <v>1700</v>
      </c>
      <c r="H117" s="25" t="s">
        <v>3717</v>
      </c>
      <c r="I117" s="27" t="s">
        <v>3901</v>
      </c>
      <c r="J117" s="27" t="s">
        <v>866</v>
      </c>
      <c r="K117" s="28" t="s">
        <v>853</v>
      </c>
      <c r="R117" s="29" t="s">
        <v>853</v>
      </c>
      <c r="W117" s="93">
        <v>160</v>
      </c>
      <c r="X117" s="84" t="s">
        <v>1700</v>
      </c>
      <c r="Y117" s="84" t="s">
        <v>29</v>
      </c>
      <c r="AA117" s="84" t="s">
        <v>1785</v>
      </c>
      <c r="AB117" s="84" t="s">
        <v>1784</v>
      </c>
      <c r="AC117" s="26">
        <v>42299</v>
      </c>
      <c r="AD117" s="26" t="s">
        <v>853</v>
      </c>
      <c r="AE117" s="8" t="s">
        <v>3999</v>
      </c>
      <c r="AF117" s="8">
        <v>378.4</v>
      </c>
      <c r="AG117" s="8">
        <v>160</v>
      </c>
      <c r="CB117" s="26">
        <v>42135</v>
      </c>
      <c r="CC117" s="26" t="s">
        <v>853</v>
      </c>
      <c r="CD117" s="8" t="s">
        <v>3718</v>
      </c>
      <c r="CE117" s="8">
        <v>245</v>
      </c>
      <c r="CF117" s="8">
        <v>123</v>
      </c>
      <c r="CG117" s="26"/>
      <c r="CH117" s="8"/>
      <c r="CM117" s="8"/>
      <c r="CR117" s="8"/>
    </row>
    <row r="118" spans="1:225" x14ac:dyDescent="0.25">
      <c r="A118" s="8" t="s">
        <v>527</v>
      </c>
      <c r="B118" s="24" t="s">
        <v>1427</v>
      </c>
      <c r="C118" s="25" t="s">
        <v>528</v>
      </c>
      <c r="E118" s="26" t="s">
        <v>1762</v>
      </c>
      <c r="F118" s="198" t="s">
        <v>945</v>
      </c>
      <c r="G118" s="198" t="s">
        <v>1700</v>
      </c>
      <c r="H118" s="25" t="s">
        <v>1700</v>
      </c>
      <c r="J118" s="27" t="s">
        <v>866</v>
      </c>
      <c r="X118" s="84" t="s">
        <v>1700</v>
      </c>
      <c r="Y118" s="84" t="s">
        <v>500</v>
      </c>
      <c r="AA118" s="84" t="s">
        <v>703</v>
      </c>
      <c r="AB118" s="84" t="s">
        <v>221</v>
      </c>
      <c r="CB118" s="26"/>
      <c r="CC118" s="26"/>
      <c r="CF118" s="8"/>
      <c r="CG118" s="26"/>
      <c r="CH118" s="8"/>
      <c r="CM118" s="8"/>
      <c r="CR118" s="8"/>
    </row>
    <row r="119" spans="1:225" x14ac:dyDescent="0.25">
      <c r="A119" s="8" t="s">
        <v>3787</v>
      </c>
      <c r="B119" s="24" t="s">
        <v>2054</v>
      </c>
      <c r="C119" s="25" t="s">
        <v>3788</v>
      </c>
      <c r="E119" s="26" t="s">
        <v>1762</v>
      </c>
      <c r="F119" s="198" t="s">
        <v>922</v>
      </c>
      <c r="G119" s="198" t="s">
        <v>1700</v>
      </c>
      <c r="H119" s="25" t="s">
        <v>3789</v>
      </c>
      <c r="I119" s="27" t="s">
        <v>3897</v>
      </c>
      <c r="J119" s="27" t="s">
        <v>866</v>
      </c>
      <c r="K119" s="28" t="s">
        <v>853</v>
      </c>
      <c r="R119" s="29" t="s">
        <v>853</v>
      </c>
      <c r="W119" s="93">
        <v>95</v>
      </c>
      <c r="X119" s="84" t="s">
        <v>1700</v>
      </c>
      <c r="Y119" s="84" t="s">
        <v>2499</v>
      </c>
      <c r="AA119" s="84" t="s">
        <v>3790</v>
      </c>
      <c r="AB119" s="84" t="s">
        <v>126</v>
      </c>
      <c r="AC119" s="26">
        <v>42545</v>
      </c>
      <c r="AD119" s="26" t="s">
        <v>853</v>
      </c>
      <c r="AE119" s="8" t="s">
        <v>4863</v>
      </c>
      <c r="AF119" s="8">
        <v>190</v>
      </c>
      <c r="AG119" s="8">
        <v>95</v>
      </c>
      <c r="CB119" s="278">
        <v>42188</v>
      </c>
      <c r="CC119" s="278" t="s">
        <v>853</v>
      </c>
      <c r="CD119" s="8" t="s">
        <v>3791</v>
      </c>
      <c r="CE119" s="8">
        <v>189</v>
      </c>
      <c r="CF119" s="279">
        <v>95</v>
      </c>
      <c r="CG119" s="278"/>
      <c r="DZ119" s="19"/>
    </row>
    <row r="120" spans="1:225" x14ac:dyDescent="0.25">
      <c r="A120" s="8" t="s">
        <v>4945</v>
      </c>
      <c r="B120" s="24" t="s">
        <v>1471</v>
      </c>
      <c r="F120" s="198" t="s">
        <v>1700</v>
      </c>
      <c r="G120" s="198" t="s">
        <v>1700</v>
      </c>
      <c r="H120" s="25" t="s">
        <v>1700</v>
      </c>
      <c r="J120" s="27" t="s">
        <v>866</v>
      </c>
      <c r="L120" s="29" t="s">
        <v>3907</v>
      </c>
      <c r="P120" s="17">
        <v>1</v>
      </c>
      <c r="CB120" s="278"/>
      <c r="CG120" s="278"/>
    </row>
    <row r="121" spans="1:225" x14ac:dyDescent="0.25">
      <c r="A121" s="8" t="s">
        <v>763</v>
      </c>
      <c r="B121" s="24" t="s">
        <v>209</v>
      </c>
      <c r="C121" s="25" t="s">
        <v>764</v>
      </c>
      <c r="E121" s="26" t="s">
        <v>1762</v>
      </c>
      <c r="F121" s="198" t="s">
        <v>194</v>
      </c>
      <c r="G121" s="198" t="s">
        <v>1700</v>
      </c>
      <c r="H121" s="25" t="s">
        <v>4199</v>
      </c>
      <c r="I121" s="27" t="s">
        <v>3902</v>
      </c>
      <c r="J121" s="27" t="s">
        <v>866</v>
      </c>
      <c r="K121" s="28" t="s">
        <v>853</v>
      </c>
      <c r="R121" s="29" t="s">
        <v>853</v>
      </c>
      <c r="W121" s="93">
        <v>90</v>
      </c>
      <c r="X121" s="84" t="s">
        <v>1700</v>
      </c>
      <c r="Y121" s="84" t="s">
        <v>2932</v>
      </c>
      <c r="AA121" s="84" t="s">
        <v>1166</v>
      </c>
      <c r="AB121" s="84" t="s">
        <v>1151</v>
      </c>
      <c r="AC121" s="26">
        <v>42313</v>
      </c>
      <c r="AD121" s="26" t="s">
        <v>853</v>
      </c>
      <c r="AE121" s="8" t="s">
        <v>4200</v>
      </c>
      <c r="AF121" s="8">
        <v>180</v>
      </c>
      <c r="AG121" s="8">
        <v>90</v>
      </c>
      <c r="CB121" s="26">
        <v>41943</v>
      </c>
      <c r="CC121" s="26" t="s">
        <v>853</v>
      </c>
      <c r="CD121" s="8" t="s">
        <v>2996</v>
      </c>
      <c r="CE121" s="8">
        <v>170</v>
      </c>
      <c r="CF121" s="8">
        <v>85</v>
      </c>
      <c r="CG121" s="26"/>
      <c r="CH121" s="8"/>
      <c r="CM121" s="8"/>
      <c r="CR121" s="8"/>
    </row>
    <row r="122" spans="1:225" x14ac:dyDescent="0.25">
      <c r="A122" s="8" t="s">
        <v>390</v>
      </c>
      <c r="B122" s="24" t="s">
        <v>876</v>
      </c>
      <c r="C122" s="25" t="s">
        <v>571</v>
      </c>
      <c r="E122" s="26" t="s">
        <v>1762</v>
      </c>
      <c r="F122" s="198" t="s">
        <v>1616</v>
      </c>
      <c r="G122" s="198" t="s">
        <v>1700</v>
      </c>
      <c r="H122" s="25" t="s">
        <v>2426</v>
      </c>
      <c r="I122" s="27" t="s">
        <v>3893</v>
      </c>
      <c r="J122" s="27" t="s">
        <v>866</v>
      </c>
      <c r="K122" s="28" t="s">
        <v>816</v>
      </c>
      <c r="X122" s="84" t="s">
        <v>1700</v>
      </c>
      <c r="Y122" s="84" t="s">
        <v>258</v>
      </c>
      <c r="AA122" s="84" t="s">
        <v>572</v>
      </c>
      <c r="AB122" s="84" t="s">
        <v>1749</v>
      </c>
      <c r="CB122" s="26"/>
      <c r="CC122" s="26"/>
      <c r="CF122" s="8"/>
      <c r="CG122" s="26"/>
      <c r="CH122" s="8"/>
      <c r="CM122" s="8"/>
      <c r="CR122" s="8"/>
    </row>
    <row r="123" spans="1:225" x14ac:dyDescent="0.25">
      <c r="A123" s="8" t="s">
        <v>3685</v>
      </c>
      <c r="B123" s="24" t="s">
        <v>322</v>
      </c>
      <c r="F123" s="198" t="s">
        <v>1700</v>
      </c>
      <c r="G123" s="198" t="s">
        <v>1700</v>
      </c>
      <c r="H123" s="25" t="s">
        <v>1700</v>
      </c>
      <c r="I123" s="27" t="s">
        <v>3903</v>
      </c>
      <c r="J123" s="27" t="s">
        <v>866</v>
      </c>
      <c r="K123" s="28" t="s">
        <v>816</v>
      </c>
      <c r="R123" s="29" t="s">
        <v>816</v>
      </c>
      <c r="CB123" s="278"/>
      <c r="CG123" s="278"/>
    </row>
    <row r="124" spans="1:225" x14ac:dyDescent="0.25">
      <c r="A124" s="19" t="s">
        <v>923</v>
      </c>
      <c r="B124" s="12" t="s">
        <v>868</v>
      </c>
      <c r="C124" s="13" t="s">
        <v>1277</v>
      </c>
      <c r="D124" s="14"/>
      <c r="E124" s="14" t="s">
        <v>1762</v>
      </c>
      <c r="F124" s="199" t="s">
        <v>924</v>
      </c>
      <c r="G124" s="199" t="s">
        <v>1700</v>
      </c>
      <c r="H124" s="13" t="s">
        <v>3998</v>
      </c>
      <c r="I124" s="20" t="s">
        <v>3901</v>
      </c>
      <c r="J124" s="20" t="s">
        <v>866</v>
      </c>
      <c r="K124" s="17" t="s">
        <v>853</v>
      </c>
      <c r="L124" s="21"/>
      <c r="M124" s="21"/>
      <c r="N124" s="17"/>
      <c r="O124" s="21"/>
      <c r="Q124" s="95"/>
      <c r="R124" s="17" t="s">
        <v>853</v>
      </c>
      <c r="S124" s="16"/>
      <c r="T124" s="13"/>
      <c r="U124" s="21"/>
      <c r="V124" s="21"/>
      <c r="W124" s="95">
        <v>150</v>
      </c>
      <c r="X124" s="86" t="s">
        <v>1700</v>
      </c>
      <c r="Y124" s="86" t="s">
        <v>791</v>
      </c>
      <c r="Z124" s="86"/>
      <c r="AA124" s="86" t="s">
        <v>23</v>
      </c>
      <c r="AB124" s="84" t="s">
        <v>126</v>
      </c>
      <c r="AC124" s="26">
        <v>42311</v>
      </c>
      <c r="AD124" s="26" t="s">
        <v>853</v>
      </c>
      <c r="AE124" s="19" t="s">
        <v>4110</v>
      </c>
      <c r="AF124" s="19">
        <v>300</v>
      </c>
      <c r="AG124" s="19">
        <v>150</v>
      </c>
      <c r="AI124" s="19"/>
      <c r="AJ124" s="19"/>
      <c r="AK124" s="19"/>
      <c r="AL124" s="19"/>
      <c r="AN124" s="19"/>
      <c r="AO124" s="19"/>
      <c r="AP124" s="19"/>
      <c r="AQ124" s="19"/>
      <c r="AS124" s="19"/>
      <c r="AT124" s="19"/>
      <c r="AU124" s="19"/>
      <c r="AV124" s="19"/>
      <c r="AX124" s="19"/>
      <c r="AY124" s="19"/>
      <c r="AZ124" s="19"/>
      <c r="BA124" s="19"/>
      <c r="BC124" s="19"/>
      <c r="BD124" s="19"/>
      <c r="BE124" s="19"/>
      <c r="BF124" s="19"/>
      <c r="BH124" s="19"/>
      <c r="BI124" s="19"/>
      <c r="BJ124" s="19"/>
      <c r="BK124" s="19"/>
      <c r="BM124" s="19"/>
      <c r="BN124" s="19"/>
      <c r="BO124" s="19"/>
      <c r="BP124" s="19"/>
      <c r="BR124" s="19"/>
      <c r="BS124" s="19"/>
      <c r="BT124" s="19"/>
      <c r="BU124" s="19"/>
      <c r="BW124" s="19"/>
      <c r="BX124" s="19"/>
      <c r="BY124" s="19"/>
      <c r="BZ124" s="19"/>
      <c r="CB124" s="26">
        <v>41921</v>
      </c>
      <c r="CC124" s="26" t="s">
        <v>853</v>
      </c>
      <c r="CD124" s="19" t="s">
        <v>2841</v>
      </c>
      <c r="CE124" s="19">
        <v>320</v>
      </c>
      <c r="CF124" s="19">
        <v>160</v>
      </c>
      <c r="CG124" s="26"/>
      <c r="CH124" s="19"/>
      <c r="CI124" s="19"/>
      <c r="CJ124" s="19"/>
      <c r="CK124" s="19"/>
      <c r="CM124" s="19"/>
      <c r="CN124" s="19"/>
      <c r="CO124" s="19"/>
      <c r="CP124" s="19"/>
      <c r="CR124" s="19"/>
      <c r="CS124" s="19"/>
      <c r="CT124" s="19"/>
      <c r="CU124" s="19"/>
      <c r="CW124" s="19"/>
      <c r="CX124" s="19"/>
      <c r="CY124" s="19"/>
      <c r="CZ124" s="19"/>
      <c r="DB124" s="19"/>
      <c r="DC124" s="19"/>
      <c r="DD124" s="19"/>
      <c r="DE124" s="19"/>
      <c r="DG124" s="19"/>
      <c r="DH124" s="19"/>
      <c r="DI124" s="19"/>
      <c r="DJ124" s="19"/>
      <c r="DL124" s="19"/>
      <c r="DM124" s="19"/>
      <c r="DN124" s="19"/>
      <c r="DO124" s="19"/>
      <c r="DQ124" s="19"/>
      <c r="DR124" s="19"/>
      <c r="DS124" s="19"/>
      <c r="DT124" s="19"/>
      <c r="DV124" s="19"/>
      <c r="DW124" s="19"/>
      <c r="DX124" s="19"/>
      <c r="DY124" s="19"/>
    </row>
    <row r="125" spans="1:225" x14ac:dyDescent="0.25">
      <c r="A125" s="8" t="s">
        <v>1994</v>
      </c>
      <c r="B125" s="24" t="s">
        <v>890</v>
      </c>
      <c r="C125" s="25" t="s">
        <v>1993</v>
      </c>
      <c r="E125" s="26" t="s">
        <v>1762</v>
      </c>
      <c r="F125" s="198" t="s">
        <v>874</v>
      </c>
      <c r="G125" s="198" t="s">
        <v>1700</v>
      </c>
      <c r="H125" s="25" t="s">
        <v>4681</v>
      </c>
      <c r="I125" s="27" t="s">
        <v>3893</v>
      </c>
      <c r="J125" s="27" t="s">
        <v>866</v>
      </c>
      <c r="K125" s="28" t="s">
        <v>853</v>
      </c>
      <c r="R125" s="29" t="s">
        <v>853</v>
      </c>
      <c r="W125" s="93">
        <v>47</v>
      </c>
      <c r="X125" s="84" t="s">
        <v>1700</v>
      </c>
      <c r="Y125" s="84" t="s">
        <v>2499</v>
      </c>
      <c r="AA125" s="86" t="s">
        <v>30</v>
      </c>
      <c r="AB125" s="84" t="s">
        <v>126</v>
      </c>
      <c r="AC125" s="26">
        <v>42416</v>
      </c>
      <c r="AD125" s="26" t="s">
        <v>853</v>
      </c>
      <c r="AE125" s="8" t="s">
        <v>4692</v>
      </c>
      <c r="AF125" s="8">
        <v>95</v>
      </c>
      <c r="AG125" s="8">
        <v>47</v>
      </c>
      <c r="CB125" s="26">
        <v>42032</v>
      </c>
      <c r="CC125" s="26" t="s">
        <v>853</v>
      </c>
      <c r="CD125" s="8" t="s">
        <v>3461</v>
      </c>
      <c r="CE125" s="8">
        <v>95</v>
      </c>
      <c r="CF125" s="8">
        <v>48</v>
      </c>
      <c r="CG125" s="26"/>
      <c r="CH125" s="8"/>
      <c r="CM125" s="8"/>
      <c r="CR125" s="8"/>
    </row>
    <row r="126" spans="1:225" ht="13.5" customHeight="1" x14ac:dyDescent="0.25">
      <c r="A126" s="19" t="s">
        <v>925</v>
      </c>
      <c r="B126" s="12" t="s">
        <v>926</v>
      </c>
      <c r="C126" s="13" t="s">
        <v>2156</v>
      </c>
      <c r="D126" s="14">
        <v>28239</v>
      </c>
      <c r="E126" s="14" t="s">
        <v>1762</v>
      </c>
      <c r="F126" s="199" t="s">
        <v>927</v>
      </c>
      <c r="G126" s="199" t="s">
        <v>928</v>
      </c>
      <c r="H126" s="13" t="s">
        <v>929</v>
      </c>
      <c r="I126" s="20" t="s">
        <v>3904</v>
      </c>
      <c r="J126" s="20" t="s">
        <v>866</v>
      </c>
      <c r="K126" s="16" t="s">
        <v>855</v>
      </c>
      <c r="L126" s="16"/>
      <c r="M126" s="13"/>
      <c r="N126" s="21"/>
      <c r="O126" s="21"/>
      <c r="Q126" s="95"/>
      <c r="R126" s="16" t="s">
        <v>816</v>
      </c>
      <c r="S126" s="29" t="s">
        <v>1416</v>
      </c>
      <c r="T126" s="29"/>
      <c r="U126" s="29"/>
      <c r="V126" s="29"/>
      <c r="W126" s="95"/>
      <c r="X126" s="86"/>
      <c r="Y126" s="86"/>
      <c r="Z126" s="86"/>
      <c r="AA126" s="86"/>
      <c r="AB126" s="86"/>
      <c r="AE126" s="19"/>
      <c r="AF126" s="19"/>
      <c r="AG126" s="19"/>
      <c r="AI126" s="19"/>
      <c r="AJ126" s="19"/>
      <c r="AK126" s="19"/>
      <c r="AL126" s="19"/>
      <c r="AN126" s="19"/>
      <c r="AO126" s="19"/>
      <c r="AP126" s="19"/>
      <c r="AQ126" s="19"/>
      <c r="AS126" s="19"/>
      <c r="AT126" s="19"/>
      <c r="AU126" s="19"/>
      <c r="AV126" s="19"/>
      <c r="AX126" s="19"/>
      <c r="AY126" s="19"/>
      <c r="AZ126" s="19"/>
      <c r="BA126" s="19"/>
      <c r="BC126" s="19"/>
      <c r="BD126" s="19"/>
      <c r="BE126" s="19"/>
      <c r="BF126" s="19"/>
      <c r="BH126" s="19"/>
      <c r="BI126" s="19"/>
      <c r="BJ126" s="19"/>
      <c r="BK126" s="19"/>
      <c r="BM126" s="19"/>
      <c r="BN126" s="19"/>
      <c r="BO126" s="19"/>
      <c r="BP126" s="19"/>
      <c r="BR126" s="19"/>
      <c r="BS126" s="19"/>
      <c r="BT126" s="19"/>
      <c r="BU126" s="19"/>
      <c r="BW126" s="19"/>
      <c r="BX126" s="19"/>
      <c r="BY126" s="19"/>
      <c r="BZ126" s="19"/>
      <c r="CB126" s="26"/>
      <c r="CC126" s="26"/>
      <c r="CD126" s="19"/>
      <c r="CE126" s="19"/>
      <c r="CF126" s="19"/>
      <c r="CG126" s="26"/>
      <c r="CH126" s="19"/>
      <c r="CI126" s="19"/>
      <c r="CJ126" s="19"/>
      <c r="CK126" s="19"/>
      <c r="CM126" s="19"/>
      <c r="CN126" s="19"/>
      <c r="CO126" s="19"/>
      <c r="CP126" s="19"/>
      <c r="CR126" s="19"/>
      <c r="CS126" s="19"/>
      <c r="CT126" s="19"/>
      <c r="CU126" s="19"/>
      <c r="CW126" s="19"/>
      <c r="CX126" s="19"/>
      <c r="CY126" s="19"/>
      <c r="CZ126" s="19"/>
      <c r="DB126" s="19"/>
      <c r="DC126" s="19"/>
      <c r="DD126" s="19"/>
      <c r="DE126" s="19"/>
      <c r="DG126" s="19"/>
      <c r="DH126" s="19"/>
      <c r="DI126" s="19"/>
      <c r="DJ126" s="19"/>
      <c r="DL126" s="19"/>
      <c r="DM126" s="19"/>
      <c r="DN126" s="19"/>
      <c r="DO126" s="19"/>
      <c r="DQ126" s="19"/>
      <c r="DR126" s="19"/>
      <c r="DS126" s="19"/>
      <c r="DT126" s="19"/>
      <c r="DV126" s="19"/>
      <c r="DW126" s="19"/>
      <c r="DX126" s="19"/>
      <c r="DY126" s="19"/>
      <c r="EB126" s="19"/>
      <c r="EC126" s="19"/>
      <c r="ED126" s="19"/>
      <c r="EE126" s="19"/>
      <c r="EF126" s="19"/>
      <c r="EG126" s="19"/>
      <c r="EH126" s="19"/>
      <c r="EI126" s="19"/>
      <c r="EJ126" s="19"/>
      <c r="EK126" s="19"/>
      <c r="EL126" s="19"/>
      <c r="EN126" s="19"/>
      <c r="EO126" s="19"/>
      <c r="EP126" s="19"/>
      <c r="EQ126" s="19"/>
      <c r="ER126" s="19"/>
      <c r="ES126" s="19"/>
      <c r="ET126" s="19"/>
      <c r="EU126" s="19"/>
      <c r="EV126" s="19"/>
      <c r="EW126" s="19"/>
      <c r="EX126" s="19"/>
      <c r="EZ126" s="19"/>
      <c r="FA126" s="19"/>
      <c r="FB126" s="19"/>
      <c r="FC126" s="19"/>
      <c r="FD126" s="19"/>
      <c r="FE126" s="19"/>
      <c r="FF126" s="19"/>
      <c r="FG126" s="19"/>
      <c r="FH126" s="19"/>
      <c r="FI126" s="19"/>
      <c r="FJ126" s="19"/>
      <c r="FL126" s="19"/>
      <c r="FM126" s="19"/>
      <c r="FN126" s="19"/>
      <c r="FO126" s="19"/>
      <c r="FP126" s="19"/>
      <c r="FQ126" s="19"/>
      <c r="FR126" s="19"/>
      <c r="FS126" s="19"/>
      <c r="FT126" s="19"/>
      <c r="FU126" s="19"/>
      <c r="FV126" s="19"/>
      <c r="FX126" s="19"/>
      <c r="FY126" s="19"/>
      <c r="FZ126" s="19"/>
      <c r="GA126" s="19"/>
      <c r="GB126" s="19"/>
      <c r="GC126" s="19"/>
      <c r="GD126" s="19"/>
      <c r="GE126" s="19"/>
      <c r="GF126" s="19"/>
      <c r="GG126" s="19"/>
      <c r="GH126" s="19"/>
      <c r="GJ126" s="19"/>
      <c r="GK126" s="19"/>
      <c r="GL126" s="19"/>
      <c r="GM126" s="19"/>
      <c r="GN126" s="19"/>
      <c r="GO126" s="19"/>
      <c r="GP126" s="19"/>
      <c r="GQ126" s="19"/>
      <c r="GR126" s="19"/>
      <c r="GS126" s="19"/>
      <c r="GT126" s="19"/>
      <c r="GV126" s="19"/>
      <c r="GW126" s="19"/>
      <c r="GX126" s="19"/>
      <c r="GY126" s="19"/>
      <c r="GZ126" s="19"/>
      <c r="HA126" s="19"/>
      <c r="HB126" s="19"/>
      <c r="HC126" s="19"/>
      <c r="HD126" s="19"/>
      <c r="HE126" s="19"/>
      <c r="HF126" s="19"/>
      <c r="HH126" s="19"/>
      <c r="HI126" s="19"/>
      <c r="HJ126" s="19"/>
      <c r="HK126" s="19"/>
      <c r="HL126" s="19"/>
      <c r="HM126" s="19"/>
      <c r="HN126" s="19"/>
      <c r="HO126" s="19"/>
      <c r="HP126" s="19"/>
      <c r="HQ126" s="19"/>
    </row>
    <row r="127" spans="1:225" x14ac:dyDescent="0.25">
      <c r="A127" s="8" t="s">
        <v>925</v>
      </c>
      <c r="B127" s="24" t="s">
        <v>1118</v>
      </c>
      <c r="E127" s="26" t="s">
        <v>877</v>
      </c>
      <c r="F127" s="198" t="s">
        <v>1700</v>
      </c>
      <c r="G127" s="198" t="s">
        <v>1700</v>
      </c>
      <c r="H127" s="25" t="s">
        <v>1700</v>
      </c>
      <c r="J127" s="27" t="s">
        <v>866</v>
      </c>
      <c r="CA127" s="19"/>
      <c r="CB127" s="26"/>
      <c r="CC127" s="26"/>
      <c r="CF127" s="8"/>
      <c r="CG127" s="26"/>
      <c r="CH127" s="8"/>
      <c r="CM127" s="8"/>
      <c r="CR127" s="8"/>
    </row>
    <row r="128" spans="1:225" x14ac:dyDescent="0.25">
      <c r="A128" s="8" t="s">
        <v>388</v>
      </c>
      <c r="B128" s="24" t="s">
        <v>880</v>
      </c>
      <c r="E128" s="26" t="s">
        <v>1762</v>
      </c>
      <c r="F128" s="198" t="s">
        <v>1700</v>
      </c>
      <c r="G128" s="198" t="s">
        <v>1700</v>
      </c>
      <c r="H128" s="25" t="s">
        <v>1700</v>
      </c>
      <c r="I128" s="27" t="s">
        <v>3903</v>
      </c>
      <c r="J128" s="27" t="s">
        <v>866</v>
      </c>
      <c r="K128" s="28" t="s">
        <v>385</v>
      </c>
      <c r="L128" s="29" t="s">
        <v>3908</v>
      </c>
      <c r="R128" s="29" t="s">
        <v>857</v>
      </c>
      <c r="CB128" s="26"/>
      <c r="CC128" s="26"/>
      <c r="CF128" s="8"/>
      <c r="CG128" s="26"/>
      <c r="CH128" s="8"/>
      <c r="CM128" s="8"/>
      <c r="CR128" s="8"/>
    </row>
    <row r="129" spans="1:225" x14ac:dyDescent="0.25">
      <c r="A129" s="8" t="s">
        <v>1515</v>
      </c>
      <c r="B129" s="24" t="s">
        <v>969</v>
      </c>
      <c r="C129" s="25" t="s">
        <v>1514</v>
      </c>
      <c r="E129" s="26" t="s">
        <v>1762</v>
      </c>
      <c r="F129" s="198" t="s">
        <v>134</v>
      </c>
      <c r="G129" s="198" t="s">
        <v>1700</v>
      </c>
      <c r="H129" s="25" t="s">
        <v>2451</v>
      </c>
      <c r="J129" s="27" t="s">
        <v>866</v>
      </c>
      <c r="X129" s="84" t="s">
        <v>1700</v>
      </c>
      <c r="Y129" s="84" t="s">
        <v>282</v>
      </c>
      <c r="AA129" s="84" t="s">
        <v>1266</v>
      </c>
      <c r="AB129" s="84" t="s">
        <v>302</v>
      </c>
      <c r="CA129" s="19"/>
      <c r="CB129" s="26"/>
      <c r="CC129" s="26"/>
      <c r="CF129" s="8"/>
      <c r="CG129" s="26"/>
      <c r="CH129" s="8"/>
      <c r="CM129" s="8"/>
      <c r="CR129" s="8"/>
      <c r="DZ129" s="279"/>
    </row>
    <row r="130" spans="1:225" x14ac:dyDescent="0.25">
      <c r="A130" s="8" t="s">
        <v>2014</v>
      </c>
      <c r="B130" s="24" t="s">
        <v>1318</v>
      </c>
      <c r="C130" s="25" t="s">
        <v>2015</v>
      </c>
      <c r="E130" s="26" t="s">
        <v>1764</v>
      </c>
      <c r="F130" s="198" t="s">
        <v>1467</v>
      </c>
      <c r="G130" s="198" t="s">
        <v>1700</v>
      </c>
      <c r="H130" s="25" t="s">
        <v>2342</v>
      </c>
      <c r="I130" s="27" t="s">
        <v>3894</v>
      </c>
      <c r="J130" s="27" t="s">
        <v>866</v>
      </c>
      <c r="K130" s="28" t="s">
        <v>853</v>
      </c>
      <c r="R130" s="29" t="s">
        <v>853</v>
      </c>
      <c r="W130" s="93">
        <v>160</v>
      </c>
      <c r="X130" s="84" t="s">
        <v>1700</v>
      </c>
      <c r="Y130" s="84" t="s">
        <v>791</v>
      </c>
      <c r="AA130" s="84" t="s">
        <v>2016</v>
      </c>
      <c r="AB130" s="84" t="s">
        <v>126</v>
      </c>
      <c r="AC130" s="26">
        <v>42453</v>
      </c>
      <c r="AD130" s="26" t="s">
        <v>853</v>
      </c>
      <c r="AE130" s="8" t="s">
        <v>4721</v>
      </c>
      <c r="AF130" s="8">
        <v>415</v>
      </c>
      <c r="AG130" s="8">
        <v>160</v>
      </c>
      <c r="CB130" s="26">
        <v>42135</v>
      </c>
      <c r="CC130" s="26" t="s">
        <v>853</v>
      </c>
      <c r="CD130" s="8" t="s">
        <v>3704</v>
      </c>
      <c r="CE130" s="8">
        <v>420</v>
      </c>
      <c r="CF130" s="8">
        <v>160</v>
      </c>
      <c r="CG130" s="26"/>
      <c r="CH130" s="8"/>
      <c r="CM130" s="8"/>
      <c r="CR130" s="8"/>
    </row>
    <row r="131" spans="1:225" ht="16.5" customHeight="1" x14ac:dyDescent="0.25">
      <c r="A131" s="8" t="s">
        <v>27</v>
      </c>
      <c r="B131" s="24" t="s">
        <v>944</v>
      </c>
      <c r="E131" s="26" t="s">
        <v>1762</v>
      </c>
      <c r="F131" s="198" t="s">
        <v>1700</v>
      </c>
      <c r="G131" s="198" t="s">
        <v>1700</v>
      </c>
      <c r="H131" s="25" t="s">
        <v>1700</v>
      </c>
      <c r="J131" s="27" t="s">
        <v>866</v>
      </c>
      <c r="CB131" s="26"/>
      <c r="CC131" s="26"/>
      <c r="CF131" s="8"/>
      <c r="CG131" s="26"/>
      <c r="CH131" s="8"/>
      <c r="CM131" s="8"/>
      <c r="CR131" s="8"/>
    </row>
    <row r="132" spans="1:225" x14ac:dyDescent="0.25">
      <c r="A132" s="8" t="s">
        <v>40</v>
      </c>
      <c r="B132" s="24" t="s">
        <v>1508</v>
      </c>
      <c r="F132" s="198" t="s">
        <v>1700</v>
      </c>
      <c r="G132" s="198" t="s">
        <v>1700</v>
      </c>
      <c r="H132" s="25" t="s">
        <v>1700</v>
      </c>
      <c r="J132" s="27" t="s">
        <v>866</v>
      </c>
      <c r="CB132" s="26"/>
      <c r="CC132" s="26"/>
      <c r="CF132" s="8"/>
      <c r="CG132" s="26"/>
      <c r="CH132" s="8"/>
      <c r="CM132" s="8"/>
      <c r="CR132" s="8"/>
    </row>
    <row r="133" spans="1:225" x14ac:dyDescent="0.25">
      <c r="A133" s="8" t="s">
        <v>1214</v>
      </c>
      <c r="B133" s="24" t="s">
        <v>931</v>
      </c>
      <c r="C133" s="25" t="s">
        <v>1215</v>
      </c>
      <c r="F133" s="198" t="s">
        <v>932</v>
      </c>
      <c r="G133" s="198" t="s">
        <v>1700</v>
      </c>
      <c r="H133" s="25" t="s">
        <v>3483</v>
      </c>
      <c r="J133" s="27" t="s">
        <v>866</v>
      </c>
      <c r="R133" s="29" t="s">
        <v>853</v>
      </c>
      <c r="X133" s="84" t="s">
        <v>1700</v>
      </c>
      <c r="Y133" s="84" t="s">
        <v>791</v>
      </c>
      <c r="AA133" s="84" t="s">
        <v>1216</v>
      </c>
      <c r="AB133" s="84" t="s">
        <v>126</v>
      </c>
      <c r="CB133" s="26">
        <v>42032</v>
      </c>
      <c r="CC133" s="26" t="s">
        <v>853</v>
      </c>
      <c r="CD133" s="8" t="s">
        <v>3484</v>
      </c>
      <c r="CE133" s="8">
        <v>72</v>
      </c>
      <c r="CF133" s="8">
        <v>36</v>
      </c>
      <c r="CG133" s="26">
        <v>42219</v>
      </c>
      <c r="CH133" s="8" t="s">
        <v>853</v>
      </c>
      <c r="CI133" s="8" t="s">
        <v>3834</v>
      </c>
      <c r="CJ133" s="8">
        <v>37</v>
      </c>
      <c r="CK133" s="8">
        <v>18</v>
      </c>
      <c r="CM133" s="8"/>
      <c r="CR133" s="8"/>
      <c r="EB133" s="19"/>
      <c r="EC133" s="19"/>
      <c r="ED133" s="19"/>
      <c r="EE133" s="19"/>
      <c r="EF133" s="19"/>
      <c r="EG133" s="19"/>
      <c r="EH133" s="19"/>
      <c r="EI133" s="19"/>
      <c r="EJ133" s="19"/>
      <c r="EK133" s="19"/>
      <c r="EL133" s="19"/>
      <c r="EN133" s="19"/>
      <c r="EO133" s="19"/>
      <c r="EP133" s="19"/>
      <c r="EQ133" s="19"/>
      <c r="ER133" s="19"/>
      <c r="ES133" s="19"/>
      <c r="ET133" s="19"/>
      <c r="EU133" s="19"/>
      <c r="EV133" s="19"/>
      <c r="EW133" s="19"/>
      <c r="EX133" s="19"/>
      <c r="EZ133" s="19"/>
      <c r="FA133" s="19"/>
      <c r="FB133" s="19"/>
      <c r="FC133" s="19"/>
      <c r="FD133" s="19"/>
      <c r="FE133" s="19"/>
      <c r="FF133" s="19"/>
      <c r="FG133" s="19"/>
      <c r="FH133" s="19"/>
      <c r="FI133" s="19"/>
      <c r="FJ133" s="19"/>
      <c r="FL133" s="19"/>
      <c r="FM133" s="19"/>
      <c r="FN133" s="19"/>
      <c r="FO133" s="19"/>
      <c r="FP133" s="19"/>
      <c r="FQ133" s="19"/>
      <c r="FR133" s="19"/>
      <c r="FS133" s="19"/>
      <c r="FT133" s="19"/>
      <c r="FU133" s="19"/>
      <c r="FV133" s="19"/>
      <c r="FX133" s="19"/>
      <c r="FY133" s="19"/>
      <c r="FZ133" s="19"/>
      <c r="GA133" s="19"/>
      <c r="GB133" s="19"/>
      <c r="GC133" s="19"/>
      <c r="GD133" s="19"/>
      <c r="GE133" s="19"/>
      <c r="GF133" s="19"/>
      <c r="GG133" s="19"/>
      <c r="GH133" s="19"/>
      <c r="GJ133" s="19"/>
      <c r="GK133" s="19"/>
      <c r="GL133" s="19"/>
      <c r="GM133" s="19"/>
      <c r="GN133" s="19"/>
      <c r="GO133" s="19"/>
      <c r="GP133" s="19"/>
      <c r="GQ133" s="19"/>
      <c r="GR133" s="19"/>
      <c r="GS133" s="19"/>
      <c r="GT133" s="19"/>
      <c r="GV133" s="19"/>
      <c r="GW133" s="19"/>
      <c r="GX133" s="19"/>
      <c r="GY133" s="19"/>
      <c r="GZ133" s="19"/>
      <c r="HA133" s="19"/>
      <c r="HB133" s="19"/>
      <c r="HC133" s="19"/>
      <c r="HD133" s="19"/>
      <c r="HE133" s="19"/>
      <c r="HF133" s="19"/>
      <c r="HH133" s="19"/>
      <c r="HI133" s="19"/>
      <c r="HJ133" s="19"/>
      <c r="HK133" s="19"/>
      <c r="HL133" s="19"/>
      <c r="HM133" s="19"/>
      <c r="HN133" s="19"/>
      <c r="HO133" s="19"/>
      <c r="HP133" s="19"/>
      <c r="HQ133" s="19"/>
    </row>
    <row r="134" spans="1:225" x14ac:dyDescent="0.25">
      <c r="A134" s="8" t="s">
        <v>3329</v>
      </c>
      <c r="B134" s="24" t="s">
        <v>3330</v>
      </c>
      <c r="C134" s="25" t="s">
        <v>3331</v>
      </c>
      <c r="D134" s="26">
        <v>30792</v>
      </c>
      <c r="E134" s="26" t="s">
        <v>1768</v>
      </c>
      <c r="F134" s="198" t="s">
        <v>927</v>
      </c>
      <c r="G134" s="198" t="s">
        <v>3332</v>
      </c>
      <c r="H134" s="25" t="s">
        <v>3333</v>
      </c>
      <c r="I134" s="27" t="s">
        <v>3901</v>
      </c>
      <c r="J134" s="27" t="s">
        <v>866</v>
      </c>
      <c r="K134" s="28" t="s">
        <v>856</v>
      </c>
      <c r="R134" s="29" t="s">
        <v>856</v>
      </c>
      <c r="CB134" s="26"/>
      <c r="CC134" s="26"/>
      <c r="CF134" s="8"/>
      <c r="CG134" s="26"/>
      <c r="CH134" s="8"/>
      <c r="CM134" s="8"/>
      <c r="CR134" s="8"/>
      <c r="DZ134" s="19"/>
    </row>
    <row r="135" spans="1:225" x14ac:dyDescent="0.25">
      <c r="A135" s="8" t="s">
        <v>3392</v>
      </c>
      <c r="B135" s="24" t="s">
        <v>776</v>
      </c>
      <c r="C135" s="25" t="s">
        <v>3391</v>
      </c>
      <c r="E135" s="26" t="s">
        <v>1762</v>
      </c>
      <c r="F135" s="198" t="s">
        <v>874</v>
      </c>
      <c r="G135" s="198" t="s">
        <v>1700</v>
      </c>
      <c r="H135" s="25" t="s">
        <v>3393</v>
      </c>
      <c r="J135" s="27" t="s">
        <v>866</v>
      </c>
      <c r="R135" s="29" t="s">
        <v>853</v>
      </c>
      <c r="X135" s="84" t="s">
        <v>1700</v>
      </c>
      <c r="Y135" s="84" t="s">
        <v>2921</v>
      </c>
      <c r="AA135" s="84" t="s">
        <v>3395</v>
      </c>
      <c r="AB135" s="84" t="s">
        <v>1269</v>
      </c>
      <c r="CB135" s="278">
        <v>42011</v>
      </c>
      <c r="CC135" s="278" t="s">
        <v>853</v>
      </c>
      <c r="CD135" s="8" t="s">
        <v>3394</v>
      </c>
      <c r="CE135" s="8">
        <v>280</v>
      </c>
      <c r="CF135" s="279">
        <v>140</v>
      </c>
      <c r="CG135" s="278"/>
    </row>
    <row r="136" spans="1:225" x14ac:dyDescent="0.25">
      <c r="A136" s="8" t="s">
        <v>3397</v>
      </c>
      <c r="B136" s="24" t="s">
        <v>895</v>
      </c>
      <c r="C136" s="25" t="s">
        <v>3396</v>
      </c>
      <c r="E136" s="26" t="s">
        <v>1762</v>
      </c>
      <c r="F136" s="198" t="s">
        <v>1962</v>
      </c>
      <c r="G136" s="198" t="s">
        <v>1700</v>
      </c>
      <c r="H136" s="25" t="s">
        <v>3398</v>
      </c>
      <c r="I136" s="27" t="s">
        <v>3896</v>
      </c>
      <c r="J136" s="27" t="s">
        <v>866</v>
      </c>
      <c r="K136" s="28" t="s">
        <v>817</v>
      </c>
      <c r="L136" s="29" t="s">
        <v>853</v>
      </c>
      <c r="R136" s="29" t="s">
        <v>853</v>
      </c>
      <c r="W136" s="93">
        <v>160</v>
      </c>
      <c r="X136" s="84" t="s">
        <v>1700</v>
      </c>
      <c r="Y136" s="84" t="s">
        <v>2499</v>
      </c>
      <c r="AA136" s="84" t="s">
        <v>3399</v>
      </c>
      <c r="AB136" s="84" t="s">
        <v>126</v>
      </c>
      <c r="AC136" s="26">
        <v>42545</v>
      </c>
      <c r="AD136" s="26" t="s">
        <v>853</v>
      </c>
      <c r="AE136" s="8" t="s">
        <v>4867</v>
      </c>
      <c r="AF136" s="8">
        <v>342</v>
      </c>
      <c r="AG136" s="8">
        <v>160</v>
      </c>
      <c r="CB136" s="278">
        <v>42011</v>
      </c>
      <c r="CC136" s="278" t="s">
        <v>853</v>
      </c>
      <c r="CD136" s="8" t="s">
        <v>3400</v>
      </c>
      <c r="CE136" s="8">
        <v>999</v>
      </c>
      <c r="CF136" s="279">
        <v>160</v>
      </c>
      <c r="CG136" s="278"/>
    </row>
    <row r="137" spans="1:225" x14ac:dyDescent="0.25">
      <c r="A137" s="8" t="s">
        <v>4761</v>
      </c>
      <c r="B137" s="24" t="s">
        <v>1581</v>
      </c>
      <c r="C137" s="25" t="s">
        <v>1669</v>
      </c>
      <c r="E137" s="26" t="s">
        <v>1762</v>
      </c>
      <c r="F137" s="198" t="s">
        <v>946</v>
      </c>
      <c r="G137" s="198" t="s">
        <v>1700</v>
      </c>
      <c r="H137" s="25" t="s">
        <v>3375</v>
      </c>
      <c r="I137" s="27" t="s">
        <v>3895</v>
      </c>
      <c r="J137" s="27" t="s">
        <v>866</v>
      </c>
      <c r="K137" s="28" t="s">
        <v>853</v>
      </c>
      <c r="R137" s="29" t="s">
        <v>853</v>
      </c>
      <c r="W137" s="93">
        <v>160</v>
      </c>
      <c r="X137" s="84" t="s">
        <v>1700</v>
      </c>
      <c r="Y137" s="84" t="s">
        <v>2499</v>
      </c>
      <c r="AA137" s="84" t="s">
        <v>4762</v>
      </c>
      <c r="AB137" s="84" t="s">
        <v>126</v>
      </c>
      <c r="AC137" s="26">
        <v>42453</v>
      </c>
      <c r="AD137" s="26" t="s">
        <v>853</v>
      </c>
      <c r="AE137" s="8" t="s">
        <v>4763</v>
      </c>
      <c r="AF137" s="8">
        <v>528</v>
      </c>
      <c r="AG137" s="8">
        <v>160</v>
      </c>
      <c r="CB137" s="26">
        <v>42011</v>
      </c>
      <c r="CC137" s="26" t="s">
        <v>853</v>
      </c>
      <c r="CD137" s="8" t="s">
        <v>3376</v>
      </c>
      <c r="CE137" s="8">
        <v>528</v>
      </c>
      <c r="CF137" s="8">
        <v>160</v>
      </c>
      <c r="CG137" s="26"/>
      <c r="CH137" s="8"/>
      <c r="CM137" s="8"/>
      <c r="CR137" s="8"/>
    </row>
    <row r="138" spans="1:225" x14ac:dyDescent="0.25">
      <c r="A138" s="8" t="s">
        <v>3034</v>
      </c>
      <c r="B138" s="24" t="s">
        <v>1161</v>
      </c>
      <c r="C138" s="25" t="s">
        <v>3035</v>
      </c>
      <c r="E138" s="26" t="s">
        <v>1762</v>
      </c>
      <c r="F138" s="198" t="s">
        <v>1700</v>
      </c>
      <c r="G138" s="198" t="s">
        <v>1700</v>
      </c>
      <c r="H138" s="25" t="s">
        <v>1700</v>
      </c>
      <c r="I138" s="27" t="s">
        <v>3903</v>
      </c>
      <c r="J138" s="27" t="s">
        <v>866</v>
      </c>
      <c r="K138" s="28" t="s">
        <v>859</v>
      </c>
      <c r="R138" s="29" t="s">
        <v>859</v>
      </c>
      <c r="W138" s="93">
        <v>280</v>
      </c>
      <c r="X138" s="84" t="s">
        <v>1700</v>
      </c>
      <c r="Y138" s="84" t="s">
        <v>372</v>
      </c>
      <c r="AA138" s="84" t="s">
        <v>3036</v>
      </c>
      <c r="AB138" s="84" t="s">
        <v>221</v>
      </c>
      <c r="AC138" s="26">
        <v>42334</v>
      </c>
      <c r="AD138" s="26" t="s">
        <v>859</v>
      </c>
      <c r="AE138" s="8" t="s">
        <v>4310</v>
      </c>
      <c r="AF138" s="8">
        <v>588</v>
      </c>
      <c r="AG138" s="8">
        <v>280</v>
      </c>
      <c r="CB138" s="278">
        <v>41943</v>
      </c>
      <c r="CC138" s="278" t="s">
        <v>859</v>
      </c>
      <c r="CD138" s="279" t="s">
        <v>2307</v>
      </c>
      <c r="CE138" s="8">
        <v>588</v>
      </c>
      <c r="CF138" s="279">
        <v>280</v>
      </c>
      <c r="CG138" s="278"/>
      <c r="CH138" s="278"/>
      <c r="CI138" s="279"/>
      <c r="CK138" s="279"/>
      <c r="CL138" s="278"/>
      <c r="CM138" s="278"/>
      <c r="CN138" s="279"/>
      <c r="CP138" s="279"/>
      <c r="CQ138" s="278"/>
      <c r="CR138" s="279"/>
      <c r="CS138" s="279"/>
      <c r="CU138" s="279"/>
      <c r="CV138" s="278"/>
      <c r="CW138" s="279"/>
      <c r="CX138" s="279"/>
      <c r="CZ138" s="279"/>
      <c r="DA138" s="278"/>
      <c r="DB138" s="279"/>
      <c r="DC138" s="279"/>
      <c r="DE138" s="279"/>
      <c r="DF138" s="278"/>
      <c r="DG138" s="279"/>
      <c r="DH138" s="279"/>
      <c r="DJ138" s="279"/>
      <c r="DK138" s="278"/>
      <c r="DL138" s="279"/>
      <c r="DM138" s="279"/>
      <c r="DO138" s="279"/>
      <c r="DP138" s="278"/>
      <c r="DQ138" s="279"/>
      <c r="DR138" s="279"/>
      <c r="DT138" s="279"/>
      <c r="DU138" s="278"/>
      <c r="DV138" s="257"/>
      <c r="DW138" s="257"/>
      <c r="DY138" s="257"/>
    </row>
    <row r="139" spans="1:225" x14ac:dyDescent="0.25">
      <c r="A139" s="19" t="s">
        <v>2061</v>
      </c>
      <c r="B139" s="12" t="s">
        <v>951</v>
      </c>
      <c r="C139" s="13" t="s">
        <v>351</v>
      </c>
      <c r="D139" s="14"/>
      <c r="E139" s="14" t="s">
        <v>1762</v>
      </c>
      <c r="F139" s="199" t="s">
        <v>2142</v>
      </c>
      <c r="G139" s="199" t="s">
        <v>1394</v>
      </c>
      <c r="H139" s="13" t="s">
        <v>1700</v>
      </c>
      <c r="I139" s="20"/>
      <c r="J139" s="20" t="s">
        <v>866</v>
      </c>
      <c r="K139" s="17"/>
      <c r="L139" s="21"/>
      <c r="M139" s="21"/>
      <c r="N139" s="21"/>
      <c r="O139" s="21"/>
      <c r="Q139" s="95"/>
      <c r="R139" s="17"/>
      <c r="S139" s="29"/>
      <c r="T139" s="29"/>
      <c r="U139" s="29"/>
      <c r="V139" s="29"/>
      <c r="W139" s="95"/>
      <c r="X139" s="86" t="s">
        <v>1700</v>
      </c>
      <c r="Y139" s="86" t="s">
        <v>791</v>
      </c>
      <c r="Z139" s="86"/>
      <c r="AA139" s="84" t="s">
        <v>33</v>
      </c>
      <c r="AB139" s="84" t="s">
        <v>126</v>
      </c>
      <c r="AE139" s="19"/>
      <c r="AF139" s="19"/>
      <c r="AG139" s="19"/>
      <c r="AI139" s="19"/>
      <c r="AJ139" s="19"/>
      <c r="AK139" s="19"/>
      <c r="AL139" s="19"/>
      <c r="AN139" s="19"/>
      <c r="AO139" s="19"/>
      <c r="AP139" s="19"/>
      <c r="AQ139" s="19"/>
      <c r="AS139" s="19"/>
      <c r="AT139" s="19"/>
      <c r="AU139" s="19"/>
      <c r="AV139" s="19"/>
      <c r="AX139" s="19"/>
      <c r="AY139" s="19"/>
      <c r="AZ139" s="19"/>
      <c r="BA139" s="19"/>
      <c r="BC139" s="19"/>
      <c r="BD139" s="19"/>
      <c r="BE139" s="19"/>
      <c r="BF139" s="19"/>
      <c r="BH139" s="19"/>
      <c r="BI139" s="19"/>
      <c r="BJ139" s="19"/>
      <c r="BK139" s="19"/>
      <c r="BM139" s="19"/>
      <c r="BN139" s="19"/>
      <c r="BO139" s="19"/>
      <c r="BP139" s="19"/>
      <c r="BR139" s="19"/>
      <c r="BS139" s="19"/>
      <c r="BT139" s="19"/>
      <c r="BU139" s="19"/>
      <c r="BW139" s="19"/>
      <c r="BX139" s="19"/>
      <c r="BY139" s="19"/>
      <c r="BZ139" s="19"/>
      <c r="CB139" s="26"/>
      <c r="CC139" s="26"/>
      <c r="CD139" s="19"/>
      <c r="CE139" s="19"/>
      <c r="CF139" s="19"/>
      <c r="CG139" s="26"/>
      <c r="CH139" s="19"/>
      <c r="CI139" s="19"/>
      <c r="CJ139" s="19"/>
      <c r="CK139" s="19"/>
      <c r="CM139" s="19"/>
      <c r="CN139" s="19"/>
      <c r="CO139" s="19"/>
      <c r="CP139" s="19"/>
      <c r="CR139" s="19"/>
      <c r="CS139" s="19"/>
      <c r="CT139" s="19"/>
      <c r="CU139" s="19"/>
      <c r="CW139" s="19"/>
      <c r="CX139" s="19"/>
      <c r="CY139" s="19"/>
      <c r="CZ139" s="19"/>
      <c r="DB139" s="19"/>
      <c r="DC139" s="19"/>
      <c r="DD139" s="19"/>
      <c r="DE139" s="19"/>
      <c r="DG139" s="19"/>
      <c r="DH139" s="19"/>
      <c r="DI139" s="19"/>
      <c r="DJ139" s="19"/>
      <c r="DL139" s="19"/>
      <c r="DM139" s="19"/>
      <c r="DN139" s="19"/>
      <c r="DO139" s="19"/>
      <c r="DQ139" s="19"/>
      <c r="DR139" s="19"/>
      <c r="DS139" s="19"/>
      <c r="DT139" s="19"/>
      <c r="DV139" s="19"/>
      <c r="DW139" s="19"/>
      <c r="DX139" s="19"/>
      <c r="DY139" s="19"/>
    </row>
    <row r="140" spans="1:225" x14ac:dyDescent="0.25">
      <c r="A140" s="8" t="s">
        <v>1883</v>
      </c>
      <c r="B140" s="24" t="s">
        <v>1472</v>
      </c>
      <c r="C140" s="25" t="s">
        <v>1884</v>
      </c>
      <c r="E140" s="26" t="s">
        <v>1762</v>
      </c>
      <c r="F140" s="198" t="s">
        <v>722</v>
      </c>
      <c r="G140" s="198" t="s">
        <v>1700</v>
      </c>
      <c r="H140" s="25" t="s">
        <v>1700</v>
      </c>
      <c r="I140" s="27" t="s">
        <v>3896</v>
      </c>
      <c r="J140" s="27" t="s">
        <v>866</v>
      </c>
      <c r="K140" s="28" t="s">
        <v>853</v>
      </c>
      <c r="W140" s="93">
        <v>65</v>
      </c>
      <c r="X140" s="84" t="s">
        <v>1700</v>
      </c>
      <c r="Y140" s="84" t="s">
        <v>282</v>
      </c>
      <c r="AA140" s="84" t="s">
        <v>1886</v>
      </c>
      <c r="AB140" s="84" t="s">
        <v>1885</v>
      </c>
      <c r="AC140" s="26">
        <v>42493</v>
      </c>
      <c r="AD140" s="26" t="s">
        <v>853</v>
      </c>
      <c r="AE140" s="8" t="s">
        <v>4798</v>
      </c>
      <c r="AF140" s="8">
        <v>130</v>
      </c>
      <c r="AG140" s="8">
        <v>65</v>
      </c>
      <c r="BW140" s="19"/>
      <c r="BX140" s="19"/>
      <c r="BZ140" s="19"/>
      <c r="CB140" s="26"/>
      <c r="CC140" s="26"/>
      <c r="CF140" s="8"/>
      <c r="CG140" s="26"/>
      <c r="CH140" s="8"/>
      <c r="CM140" s="8"/>
      <c r="CR140" s="8"/>
      <c r="DV140" s="19"/>
      <c r="DW140" s="19"/>
      <c r="DX140" s="19"/>
      <c r="DY140" s="19"/>
      <c r="DZ140" s="19"/>
    </row>
    <row r="141" spans="1:225" ht="13.5" x14ac:dyDescent="0.25">
      <c r="A141" s="8" t="s">
        <v>208</v>
      </c>
      <c r="B141" s="24" t="s">
        <v>880</v>
      </c>
      <c r="C141" s="25" t="s">
        <v>4509</v>
      </c>
      <c r="E141" s="26" t="s">
        <v>1762</v>
      </c>
      <c r="F141" s="198" t="s">
        <v>4511</v>
      </c>
      <c r="G141" s="198" t="s">
        <v>1700</v>
      </c>
      <c r="H141" s="25" t="s">
        <v>4510</v>
      </c>
      <c r="I141" s="27" t="s">
        <v>3903</v>
      </c>
      <c r="J141" s="27" t="s">
        <v>866</v>
      </c>
      <c r="K141" s="28" t="s">
        <v>853</v>
      </c>
      <c r="W141" s="93">
        <v>75</v>
      </c>
      <c r="X141" s="84" t="s">
        <v>1700</v>
      </c>
      <c r="Y141" s="84" t="s">
        <v>2499</v>
      </c>
      <c r="AA141" s="84" t="s">
        <v>4512</v>
      </c>
      <c r="AB141" s="84" t="s">
        <v>126</v>
      </c>
      <c r="AC141" s="26">
        <v>42360</v>
      </c>
      <c r="AD141" s="26" t="s">
        <v>853</v>
      </c>
      <c r="AE141" s="8" t="s">
        <v>4513</v>
      </c>
      <c r="AF141" s="8">
        <v>150</v>
      </c>
      <c r="AG141" s="8">
        <v>75</v>
      </c>
      <c r="CB141" s="278"/>
      <c r="CG141" s="278"/>
      <c r="DZ141" s="258"/>
    </row>
    <row r="142" spans="1:225" x14ac:dyDescent="0.25">
      <c r="A142" s="8" t="s">
        <v>208</v>
      </c>
      <c r="B142" s="24" t="s">
        <v>209</v>
      </c>
      <c r="C142" s="25" t="s">
        <v>631</v>
      </c>
      <c r="E142" s="26" t="s">
        <v>1762</v>
      </c>
      <c r="F142" s="198" t="s">
        <v>814</v>
      </c>
      <c r="G142" s="198" t="s">
        <v>1700</v>
      </c>
      <c r="H142" s="25" t="s">
        <v>3427</v>
      </c>
      <c r="I142" s="27" t="s">
        <v>3894</v>
      </c>
      <c r="J142" s="27" t="s">
        <v>866</v>
      </c>
      <c r="K142" s="28" t="s">
        <v>853</v>
      </c>
      <c r="Q142" s="93"/>
      <c r="R142" s="28" t="s">
        <v>853</v>
      </c>
      <c r="S142" s="29"/>
      <c r="T142" s="29"/>
      <c r="U142" s="29"/>
      <c r="V142" s="29"/>
      <c r="W142" s="93">
        <v>160</v>
      </c>
      <c r="X142" s="86" t="s">
        <v>1700</v>
      </c>
      <c r="Y142" s="86" t="s">
        <v>195</v>
      </c>
      <c r="Z142" s="86"/>
      <c r="AA142" s="84" t="s">
        <v>632</v>
      </c>
      <c r="AB142" s="84" t="s">
        <v>1957</v>
      </c>
      <c r="AC142" s="26">
        <v>42453</v>
      </c>
      <c r="AD142" s="8" t="s">
        <v>853</v>
      </c>
      <c r="AE142" s="8" t="s">
        <v>4720</v>
      </c>
      <c r="AF142" s="8">
        <v>420</v>
      </c>
      <c r="AG142" s="8">
        <v>160</v>
      </c>
      <c r="BV142" s="8"/>
      <c r="CB142" s="26">
        <v>42011</v>
      </c>
      <c r="CC142" s="8" t="s">
        <v>853</v>
      </c>
      <c r="CD142" s="8" t="s">
        <v>3428</v>
      </c>
      <c r="CE142" s="8">
        <v>420</v>
      </c>
      <c r="CF142" s="8">
        <v>160</v>
      </c>
      <c r="CG142" s="26"/>
      <c r="CH142" s="8"/>
      <c r="CM142" s="8"/>
      <c r="CR142" s="8"/>
      <c r="DU142" s="8"/>
    </row>
    <row r="143" spans="1:225" x14ac:dyDescent="0.25">
      <c r="A143" s="8" t="s">
        <v>210</v>
      </c>
      <c r="B143" s="24" t="s">
        <v>935</v>
      </c>
      <c r="C143" s="25" t="s">
        <v>312</v>
      </c>
      <c r="E143" s="26" t="s">
        <v>1762</v>
      </c>
      <c r="F143" s="198" t="s">
        <v>913</v>
      </c>
      <c r="G143" s="198" t="s">
        <v>1700</v>
      </c>
      <c r="H143" s="25" t="s">
        <v>2345</v>
      </c>
      <c r="J143" s="27" t="s">
        <v>866</v>
      </c>
      <c r="Q143" s="93"/>
      <c r="R143" s="28" t="s">
        <v>853</v>
      </c>
      <c r="S143" s="21"/>
      <c r="T143" s="21"/>
      <c r="U143" s="21"/>
      <c r="V143" s="21"/>
      <c r="W143" s="95"/>
      <c r="X143" s="86" t="s">
        <v>1700</v>
      </c>
      <c r="Y143" s="86" t="s">
        <v>246</v>
      </c>
      <c r="Z143" s="86"/>
      <c r="AA143" s="86" t="s">
        <v>35</v>
      </c>
      <c r="AB143" s="84" t="s">
        <v>126</v>
      </c>
      <c r="AE143" s="19"/>
      <c r="AF143" s="19"/>
      <c r="AG143" s="19"/>
      <c r="AI143" s="19"/>
      <c r="AJ143" s="19"/>
      <c r="AK143" s="19"/>
      <c r="AL143" s="19"/>
      <c r="AN143" s="19"/>
      <c r="AO143" s="19"/>
      <c r="AP143" s="19"/>
      <c r="AQ143" s="19"/>
      <c r="AS143" s="19"/>
      <c r="AT143" s="19"/>
      <c r="AU143" s="19"/>
      <c r="AV143" s="19"/>
      <c r="AX143" s="19"/>
      <c r="AY143" s="19"/>
      <c r="AZ143" s="19"/>
      <c r="BA143" s="19"/>
      <c r="BC143" s="19"/>
      <c r="BD143" s="19"/>
      <c r="BE143" s="19"/>
      <c r="BF143" s="19"/>
      <c r="BH143" s="19"/>
      <c r="BI143" s="19"/>
      <c r="BJ143" s="19"/>
      <c r="BK143" s="19"/>
      <c r="BM143" s="19"/>
      <c r="BN143" s="19"/>
      <c r="BO143" s="19"/>
      <c r="BP143" s="19"/>
      <c r="BR143" s="19"/>
      <c r="BS143" s="19"/>
      <c r="BT143" s="19"/>
      <c r="BU143" s="19"/>
      <c r="BW143" s="19"/>
      <c r="BX143" s="19"/>
      <c r="BY143" s="19"/>
      <c r="BZ143" s="19"/>
      <c r="CB143" s="26">
        <v>41934</v>
      </c>
      <c r="CC143" s="26" t="s">
        <v>853</v>
      </c>
      <c r="CD143" s="19" t="s">
        <v>2890</v>
      </c>
      <c r="CE143" s="19">
        <v>130</v>
      </c>
      <c r="CF143" s="19">
        <v>65</v>
      </c>
      <c r="CG143" s="26"/>
      <c r="CH143" s="19"/>
      <c r="CI143" s="19"/>
      <c r="CJ143" s="19"/>
      <c r="CK143" s="19"/>
      <c r="CM143" s="19"/>
      <c r="CN143" s="19"/>
      <c r="CO143" s="19"/>
      <c r="CP143" s="19"/>
      <c r="CR143" s="19"/>
      <c r="CS143" s="19"/>
      <c r="CT143" s="19"/>
      <c r="CU143" s="19"/>
      <c r="CW143" s="19"/>
      <c r="CX143" s="19"/>
      <c r="CY143" s="19"/>
      <c r="CZ143" s="19"/>
      <c r="DB143" s="19"/>
      <c r="DC143" s="19"/>
      <c r="DD143" s="19"/>
      <c r="DE143" s="19"/>
      <c r="DG143" s="19"/>
      <c r="DH143" s="19"/>
      <c r="DI143" s="19"/>
      <c r="DJ143" s="19"/>
      <c r="DL143" s="19"/>
      <c r="DM143" s="19"/>
      <c r="DN143" s="19"/>
      <c r="DO143" s="19"/>
      <c r="DQ143" s="19"/>
      <c r="DR143" s="19"/>
      <c r="DS143" s="19"/>
      <c r="DT143" s="19"/>
      <c r="DV143" s="19"/>
      <c r="DW143" s="19"/>
      <c r="DX143" s="19"/>
      <c r="DY143" s="19"/>
    </row>
    <row r="144" spans="1:225" x14ac:dyDescent="0.25">
      <c r="A144" s="8" t="s">
        <v>713</v>
      </c>
      <c r="B144" s="24" t="s">
        <v>1614</v>
      </c>
      <c r="C144" s="25" t="s">
        <v>714</v>
      </c>
      <c r="E144" s="26" t="s">
        <v>1764</v>
      </c>
      <c r="F144" s="198" t="s">
        <v>134</v>
      </c>
      <c r="G144" s="198" t="s">
        <v>1700</v>
      </c>
      <c r="H144" s="25" t="s">
        <v>3057</v>
      </c>
      <c r="I144" s="27" t="s">
        <v>3903</v>
      </c>
      <c r="J144" s="27" t="s">
        <v>866</v>
      </c>
      <c r="K144" s="28" t="s">
        <v>853</v>
      </c>
      <c r="R144" s="29" t="s">
        <v>853</v>
      </c>
      <c r="S144" s="8" t="s">
        <v>1126</v>
      </c>
      <c r="W144" s="93">
        <v>105</v>
      </c>
      <c r="X144" s="84" t="s">
        <v>1700</v>
      </c>
      <c r="Y144" s="84" t="s">
        <v>3058</v>
      </c>
      <c r="AA144" s="84" t="s">
        <v>716</v>
      </c>
      <c r="AB144" s="84" t="s">
        <v>715</v>
      </c>
      <c r="AC144" s="26">
        <v>42360</v>
      </c>
      <c r="AD144" s="26" t="s">
        <v>853</v>
      </c>
      <c r="AE144" s="8" t="s">
        <v>4435</v>
      </c>
      <c r="AF144" s="8">
        <v>210</v>
      </c>
      <c r="AG144" s="8">
        <v>105</v>
      </c>
      <c r="CB144" s="26">
        <v>41943</v>
      </c>
      <c r="CC144" s="26" t="s">
        <v>853</v>
      </c>
      <c r="CD144" s="8" t="s">
        <v>3059</v>
      </c>
      <c r="CE144" s="8">
        <v>175</v>
      </c>
      <c r="CF144" s="8">
        <v>88</v>
      </c>
      <c r="CG144" s="26">
        <v>42094</v>
      </c>
      <c r="CH144" s="8" t="s">
        <v>1126</v>
      </c>
      <c r="CI144" s="8" t="s">
        <v>3675</v>
      </c>
      <c r="CJ144" s="8">
        <v>40.700000000000003</v>
      </c>
      <c r="CK144" s="8">
        <v>20.350000000000001</v>
      </c>
      <c r="CM144" s="8"/>
      <c r="CR144" s="8"/>
    </row>
    <row r="145" spans="1:225" x14ac:dyDescent="0.25">
      <c r="A145" s="8" t="s">
        <v>3060</v>
      </c>
      <c r="B145" s="24" t="s">
        <v>2151</v>
      </c>
      <c r="C145" s="25" t="s">
        <v>1206</v>
      </c>
      <c r="E145" s="26" t="s">
        <v>1762</v>
      </c>
      <c r="F145" s="198" t="s">
        <v>1201</v>
      </c>
      <c r="G145" s="198" t="s">
        <v>1700</v>
      </c>
      <c r="H145" s="25" t="s">
        <v>3061</v>
      </c>
      <c r="I145" s="27" t="s">
        <v>3903</v>
      </c>
      <c r="J145" s="27" t="s">
        <v>866</v>
      </c>
      <c r="K145" s="28" t="s">
        <v>853</v>
      </c>
      <c r="R145" s="29" t="s">
        <v>853</v>
      </c>
      <c r="W145" s="93">
        <v>112</v>
      </c>
      <c r="X145" s="84" t="s">
        <v>1700</v>
      </c>
      <c r="Y145" s="84" t="s">
        <v>2499</v>
      </c>
      <c r="AA145" s="84" t="s">
        <v>3062</v>
      </c>
      <c r="AB145" s="84" t="s">
        <v>126</v>
      </c>
      <c r="AC145" s="26">
        <v>42360</v>
      </c>
      <c r="AD145" s="26" t="s">
        <v>853</v>
      </c>
      <c r="AE145" s="8" t="s">
        <v>4440</v>
      </c>
      <c r="AF145" s="8">
        <v>140</v>
      </c>
      <c r="AG145" s="8">
        <v>70</v>
      </c>
      <c r="AH145" s="26">
        <v>42453</v>
      </c>
      <c r="AI145" s="8" t="s">
        <v>853</v>
      </c>
      <c r="AJ145" s="8" t="s">
        <v>4728</v>
      </c>
      <c r="AK145" s="8">
        <v>22</v>
      </c>
      <c r="AL145" s="8">
        <v>11</v>
      </c>
      <c r="AM145" s="26">
        <v>42453</v>
      </c>
      <c r="AN145" s="8" t="s">
        <v>853</v>
      </c>
      <c r="AO145" s="8" t="s">
        <v>4729</v>
      </c>
      <c r="AP145" s="8">
        <v>62</v>
      </c>
      <c r="AQ145" s="8">
        <v>31</v>
      </c>
      <c r="CB145" s="26">
        <v>41943</v>
      </c>
      <c r="CC145" s="26" t="s">
        <v>853</v>
      </c>
      <c r="CD145" s="8" t="s">
        <v>3063</v>
      </c>
      <c r="CE145" s="8">
        <v>147</v>
      </c>
      <c r="CF145" s="8">
        <v>74</v>
      </c>
      <c r="CG145" s="26">
        <v>42249</v>
      </c>
      <c r="CH145" s="8" t="s">
        <v>853</v>
      </c>
      <c r="CI145" s="8" t="s">
        <v>3882</v>
      </c>
      <c r="CJ145" s="8">
        <v>22</v>
      </c>
      <c r="CK145" s="8">
        <v>11</v>
      </c>
      <c r="CM145" s="8"/>
      <c r="CR145" s="8"/>
    </row>
    <row r="146" spans="1:225" ht="13.5" x14ac:dyDescent="0.25">
      <c r="A146" s="8" t="s">
        <v>4827</v>
      </c>
      <c r="B146" s="24" t="s">
        <v>1632</v>
      </c>
      <c r="C146" s="25" t="s">
        <v>4828</v>
      </c>
      <c r="E146" s="26" t="s">
        <v>1762</v>
      </c>
      <c r="F146" s="198" t="s">
        <v>913</v>
      </c>
      <c r="G146" s="198" t="s">
        <v>2374</v>
      </c>
      <c r="H146" s="25" t="s">
        <v>4829</v>
      </c>
      <c r="I146" s="27" t="s">
        <v>3896</v>
      </c>
      <c r="J146" s="27" t="s">
        <v>866</v>
      </c>
      <c r="K146" s="28" t="s">
        <v>853</v>
      </c>
      <c r="W146" s="93">
        <v>160</v>
      </c>
      <c r="X146" s="84" t="s">
        <v>1700</v>
      </c>
      <c r="Y146" s="84" t="s">
        <v>2499</v>
      </c>
      <c r="AA146" s="84" t="s">
        <v>4830</v>
      </c>
      <c r="AB146" s="84" t="s">
        <v>126</v>
      </c>
      <c r="AC146" s="26">
        <v>42545</v>
      </c>
      <c r="AD146" s="26" t="s">
        <v>853</v>
      </c>
      <c r="AE146" s="8" t="s">
        <v>4831</v>
      </c>
      <c r="AF146" s="8">
        <v>730</v>
      </c>
      <c r="AG146" s="8">
        <v>160</v>
      </c>
      <c r="CB146" s="278"/>
      <c r="CG146" s="278"/>
      <c r="DZ146" s="258"/>
    </row>
    <row r="147" spans="1:225" x14ac:dyDescent="0.25">
      <c r="A147" s="8" t="s">
        <v>2807</v>
      </c>
      <c r="B147" s="24" t="s">
        <v>936</v>
      </c>
      <c r="C147" s="25" t="s">
        <v>2806</v>
      </c>
      <c r="E147" s="26" t="s">
        <v>1762</v>
      </c>
      <c r="F147" s="198" t="s">
        <v>350</v>
      </c>
      <c r="G147" s="198" t="s">
        <v>1700</v>
      </c>
      <c r="H147" s="25" t="s">
        <v>2808</v>
      </c>
      <c r="J147" s="27" t="s">
        <v>866</v>
      </c>
      <c r="R147" s="29" t="s">
        <v>853</v>
      </c>
      <c r="X147" s="84" t="s">
        <v>1700</v>
      </c>
      <c r="Y147" s="84" t="s">
        <v>2499</v>
      </c>
      <c r="AA147" s="84" t="s">
        <v>2809</v>
      </c>
      <c r="AB147" s="84" t="s">
        <v>126</v>
      </c>
      <c r="CB147" s="26">
        <v>41921</v>
      </c>
      <c r="CC147" s="8" t="s">
        <v>853</v>
      </c>
      <c r="CD147" s="8" t="s">
        <v>2810</v>
      </c>
      <c r="CE147" s="8">
        <v>148</v>
      </c>
      <c r="CF147" s="8">
        <v>74</v>
      </c>
      <c r="CG147" s="26"/>
      <c r="CH147" s="8"/>
      <c r="CM147" s="8"/>
      <c r="CR147" s="8"/>
      <c r="DU147" s="8"/>
    </row>
    <row r="148" spans="1:225" x14ac:dyDescent="0.25">
      <c r="A148" s="8" t="s">
        <v>782</v>
      </c>
      <c r="B148" s="24" t="s">
        <v>39</v>
      </c>
      <c r="F148" s="198" t="s">
        <v>1700</v>
      </c>
      <c r="G148" s="198" t="s">
        <v>1700</v>
      </c>
      <c r="H148" s="25" t="s">
        <v>1700</v>
      </c>
      <c r="J148" s="27" t="s">
        <v>866</v>
      </c>
      <c r="CB148" s="26"/>
      <c r="CC148" s="26"/>
      <c r="CD148" s="19"/>
      <c r="CE148" s="19"/>
      <c r="CF148" s="19"/>
      <c r="CG148" s="26"/>
      <c r="CH148" s="19"/>
      <c r="CI148" s="19"/>
      <c r="CJ148" s="19"/>
      <c r="CK148" s="19"/>
      <c r="CM148" s="19"/>
      <c r="CN148" s="19"/>
      <c r="CO148" s="19"/>
      <c r="CP148" s="19"/>
      <c r="CR148" s="19"/>
      <c r="CS148" s="19"/>
      <c r="CT148" s="19"/>
      <c r="CU148" s="19"/>
      <c r="CW148" s="19"/>
      <c r="CX148" s="19"/>
      <c r="CY148" s="19"/>
      <c r="CZ148" s="19"/>
      <c r="DB148" s="19"/>
      <c r="DC148" s="19"/>
      <c r="DD148" s="19"/>
      <c r="DE148" s="19"/>
      <c r="DG148" s="19"/>
      <c r="DH148" s="19"/>
      <c r="DI148" s="19"/>
      <c r="DJ148" s="19"/>
      <c r="DL148" s="19"/>
      <c r="DM148" s="19"/>
      <c r="DN148" s="19"/>
      <c r="DO148" s="19"/>
      <c r="DQ148" s="19"/>
      <c r="DR148" s="19"/>
      <c r="DS148" s="19"/>
      <c r="DT148" s="19"/>
      <c r="DV148" s="19"/>
      <c r="DW148" s="19"/>
      <c r="DX148" s="19"/>
      <c r="DY148" s="19"/>
      <c r="EB148" s="19"/>
      <c r="EC148" s="19"/>
      <c r="ED148" s="19"/>
      <c r="EE148" s="19"/>
      <c r="EF148" s="19"/>
      <c r="EG148" s="19"/>
      <c r="EH148" s="19"/>
      <c r="EI148" s="19"/>
      <c r="EJ148" s="19"/>
      <c r="EK148" s="19"/>
      <c r="EL148" s="19"/>
      <c r="EN148" s="19"/>
      <c r="EO148" s="19"/>
      <c r="EP148" s="19"/>
      <c r="EQ148" s="19"/>
      <c r="ER148" s="19"/>
      <c r="ES148" s="19"/>
      <c r="ET148" s="19"/>
      <c r="EU148" s="19"/>
      <c r="EV148" s="19"/>
      <c r="EW148" s="19"/>
      <c r="EX148" s="19"/>
      <c r="EZ148" s="19"/>
      <c r="FA148" s="19"/>
      <c r="FB148" s="19"/>
      <c r="FC148" s="19"/>
      <c r="FD148" s="19"/>
      <c r="FE148" s="19"/>
      <c r="FF148" s="19"/>
      <c r="FG148" s="19"/>
      <c r="FH148" s="19"/>
      <c r="FI148" s="19"/>
      <c r="FJ148" s="19"/>
      <c r="FL148" s="19"/>
      <c r="FM148" s="19"/>
      <c r="FN148" s="19"/>
      <c r="FO148" s="19"/>
      <c r="FP148" s="19"/>
      <c r="FQ148" s="19"/>
      <c r="FR148" s="19"/>
      <c r="FS148" s="19"/>
      <c r="FT148" s="19"/>
      <c r="FU148" s="19"/>
      <c r="FV148" s="19"/>
      <c r="FX148" s="19"/>
      <c r="FY148" s="19"/>
      <c r="FZ148" s="19"/>
      <c r="GA148" s="19"/>
      <c r="GB148" s="19"/>
      <c r="GC148" s="19"/>
      <c r="GD148" s="19"/>
      <c r="GE148" s="19"/>
      <c r="GF148" s="19"/>
      <c r="GG148" s="19"/>
      <c r="GH148" s="19"/>
      <c r="GJ148" s="19"/>
      <c r="GK148" s="19"/>
      <c r="GL148" s="19"/>
      <c r="GM148" s="19"/>
      <c r="GN148" s="19"/>
      <c r="GO148" s="19"/>
      <c r="GP148" s="19"/>
      <c r="GQ148" s="19"/>
      <c r="GR148" s="19"/>
      <c r="GS148" s="19"/>
      <c r="GT148" s="19"/>
      <c r="GV148" s="19"/>
      <c r="GW148" s="19"/>
      <c r="GX148" s="19"/>
      <c r="GY148" s="19"/>
      <c r="GZ148" s="19"/>
      <c r="HA148" s="19"/>
      <c r="HB148" s="19"/>
      <c r="HC148" s="19"/>
      <c r="HD148" s="19"/>
      <c r="HE148" s="19"/>
      <c r="HF148" s="19"/>
      <c r="HH148" s="19"/>
      <c r="HI148" s="19"/>
      <c r="HJ148" s="19"/>
      <c r="HK148" s="19"/>
      <c r="HL148" s="19"/>
      <c r="HM148" s="19"/>
      <c r="HN148" s="19"/>
      <c r="HO148" s="19"/>
      <c r="HP148" s="19"/>
      <c r="HQ148" s="19"/>
    </row>
    <row r="149" spans="1:225" x14ac:dyDescent="0.25">
      <c r="A149" s="8" t="s">
        <v>2206</v>
      </c>
      <c r="B149" s="24" t="s">
        <v>2207</v>
      </c>
      <c r="C149" s="25" t="s">
        <v>2208</v>
      </c>
      <c r="E149" s="26" t="s">
        <v>1762</v>
      </c>
      <c r="F149" s="198" t="s">
        <v>56</v>
      </c>
      <c r="G149" s="198" t="s">
        <v>1700</v>
      </c>
      <c r="H149" s="25" t="s">
        <v>4690</v>
      </c>
      <c r="I149" s="27" t="s">
        <v>3893</v>
      </c>
      <c r="J149" s="27" t="s">
        <v>866</v>
      </c>
      <c r="K149" s="28" t="s">
        <v>853</v>
      </c>
      <c r="W149" s="93">
        <v>100</v>
      </c>
      <c r="X149" s="84" t="s">
        <v>1700</v>
      </c>
      <c r="Y149" s="84" t="s">
        <v>2921</v>
      </c>
      <c r="AA149" s="84" t="s">
        <v>2209</v>
      </c>
      <c r="AB149" s="84" t="s">
        <v>987</v>
      </c>
      <c r="AC149" s="26">
        <v>42416</v>
      </c>
      <c r="AD149" s="26" t="s">
        <v>853</v>
      </c>
      <c r="AE149" s="8" t="s">
        <v>4691</v>
      </c>
      <c r="AF149" s="8">
        <v>200</v>
      </c>
      <c r="AG149" s="8">
        <v>100</v>
      </c>
      <c r="CB149" s="26"/>
      <c r="CC149" s="26"/>
      <c r="CF149" s="8"/>
      <c r="CG149" s="26"/>
      <c r="CH149" s="8"/>
      <c r="CM149" s="8"/>
      <c r="CR149" s="8"/>
    </row>
    <row r="150" spans="1:225" x14ac:dyDescent="0.25">
      <c r="A150" s="8" t="s">
        <v>731</v>
      </c>
      <c r="B150" s="24" t="s">
        <v>732</v>
      </c>
      <c r="C150" s="25" t="s">
        <v>730</v>
      </c>
      <c r="E150" s="26" t="s">
        <v>1762</v>
      </c>
      <c r="F150" s="198" t="s">
        <v>733</v>
      </c>
      <c r="G150" s="198" t="s">
        <v>1700</v>
      </c>
      <c r="H150" s="25" t="s">
        <v>2448</v>
      </c>
      <c r="J150" s="27" t="s">
        <v>866</v>
      </c>
      <c r="X150" s="84" t="s">
        <v>1700</v>
      </c>
      <c r="Y150" s="84" t="s">
        <v>1205</v>
      </c>
      <c r="AA150" s="84" t="s">
        <v>2450</v>
      </c>
      <c r="AB150" s="84" t="s">
        <v>2449</v>
      </c>
      <c r="CA150" s="19"/>
      <c r="CB150" s="26"/>
      <c r="CC150" s="26"/>
      <c r="CF150" s="8"/>
      <c r="CG150" s="26"/>
      <c r="CH150" s="8"/>
      <c r="CM150" s="8"/>
      <c r="CR150" s="8"/>
    </row>
    <row r="151" spans="1:225" x14ac:dyDescent="0.25">
      <c r="A151" s="8" t="s">
        <v>1661</v>
      </c>
      <c r="B151" s="24" t="s">
        <v>890</v>
      </c>
      <c r="C151" s="25" t="s">
        <v>1662</v>
      </c>
      <c r="E151" s="26" t="s">
        <v>1762</v>
      </c>
      <c r="F151" s="198" t="s">
        <v>946</v>
      </c>
      <c r="G151" s="198" t="s">
        <v>2383</v>
      </c>
      <c r="H151" s="25" t="s">
        <v>2903</v>
      </c>
      <c r="I151" s="27" t="s">
        <v>3903</v>
      </c>
      <c r="J151" s="27" t="s">
        <v>866</v>
      </c>
      <c r="K151" s="28" t="s">
        <v>853</v>
      </c>
      <c r="R151" s="29" t="s">
        <v>853</v>
      </c>
      <c r="W151" s="93">
        <v>122</v>
      </c>
      <c r="X151" s="84" t="s">
        <v>1700</v>
      </c>
      <c r="Y151" s="84" t="s">
        <v>649</v>
      </c>
      <c r="AA151" s="84" t="s">
        <v>1692</v>
      </c>
      <c r="AB151" s="84" t="s">
        <v>1152</v>
      </c>
      <c r="AC151" s="26">
        <v>42360</v>
      </c>
      <c r="AD151" s="26" t="s">
        <v>853</v>
      </c>
      <c r="AE151" s="8" t="s">
        <v>4514</v>
      </c>
      <c r="AF151" s="8">
        <v>245</v>
      </c>
      <c r="AG151" s="8">
        <v>122</v>
      </c>
      <c r="CB151" s="26">
        <v>41934</v>
      </c>
      <c r="CC151" s="26" t="s">
        <v>853</v>
      </c>
      <c r="CD151" s="8" t="s">
        <v>2904</v>
      </c>
      <c r="CE151" s="8">
        <v>450</v>
      </c>
      <c r="CF151" s="8">
        <v>160</v>
      </c>
      <c r="CG151" s="26"/>
      <c r="CH151" s="8"/>
      <c r="CM151" s="8"/>
      <c r="CR151" s="8"/>
    </row>
    <row r="152" spans="1:225" x14ac:dyDescent="0.25">
      <c r="A152" s="8" t="s">
        <v>2203</v>
      </c>
      <c r="B152" s="24" t="s">
        <v>2145</v>
      </c>
      <c r="C152" s="25" t="s">
        <v>2204</v>
      </c>
      <c r="E152" s="26" t="s">
        <v>1762</v>
      </c>
      <c r="F152" s="198" t="s">
        <v>49</v>
      </c>
      <c r="G152" s="198" t="s">
        <v>1700</v>
      </c>
      <c r="H152" s="25" t="s">
        <v>3553</v>
      </c>
      <c r="I152" s="27" t="s">
        <v>3896</v>
      </c>
      <c r="J152" s="27" t="s">
        <v>866</v>
      </c>
      <c r="K152" s="28" t="s">
        <v>853</v>
      </c>
      <c r="R152" s="29" t="s">
        <v>853</v>
      </c>
      <c r="W152" s="93">
        <v>160</v>
      </c>
      <c r="X152" s="84" t="s">
        <v>1700</v>
      </c>
      <c r="Y152" s="84" t="s">
        <v>2499</v>
      </c>
      <c r="AA152" s="84" t="s">
        <v>2205</v>
      </c>
      <c r="AB152" s="84" t="s">
        <v>126</v>
      </c>
      <c r="AC152" s="26">
        <v>42493</v>
      </c>
      <c r="AD152" s="26" t="s">
        <v>853</v>
      </c>
      <c r="AE152" s="8" t="s">
        <v>4802</v>
      </c>
      <c r="AF152" s="8">
        <v>359.88</v>
      </c>
      <c r="AG152" s="8">
        <v>160</v>
      </c>
      <c r="CB152" s="26">
        <v>42074</v>
      </c>
      <c r="CC152" s="26" t="s">
        <v>853</v>
      </c>
      <c r="CD152" s="8" t="s">
        <v>3554</v>
      </c>
      <c r="CE152" s="8">
        <v>359.86</v>
      </c>
      <c r="CF152" s="8">
        <v>160</v>
      </c>
      <c r="CG152" s="26"/>
      <c r="CH152" s="8"/>
      <c r="CM152" s="8"/>
      <c r="CR152" s="8"/>
    </row>
    <row r="153" spans="1:225" x14ac:dyDescent="0.25">
      <c r="A153" s="8" t="s">
        <v>3410</v>
      </c>
      <c r="B153" s="24" t="s">
        <v>962</v>
      </c>
      <c r="C153" s="25" t="s">
        <v>3409</v>
      </c>
      <c r="E153" s="26" t="s">
        <v>1762</v>
      </c>
      <c r="F153" s="198" t="s">
        <v>947</v>
      </c>
      <c r="G153" s="198" t="s">
        <v>1700</v>
      </c>
      <c r="H153" s="25" t="s">
        <v>3411</v>
      </c>
      <c r="J153" s="27" t="s">
        <v>866</v>
      </c>
      <c r="R153" s="29" t="s">
        <v>853</v>
      </c>
      <c r="X153" s="84" t="s">
        <v>1700</v>
      </c>
      <c r="Y153" s="84" t="s">
        <v>190</v>
      </c>
      <c r="AA153" s="84" t="s">
        <v>3412</v>
      </c>
      <c r="AB153" s="84" t="s">
        <v>126</v>
      </c>
      <c r="CB153" s="278">
        <v>42011</v>
      </c>
      <c r="CC153" s="278" t="s">
        <v>853</v>
      </c>
      <c r="CD153" s="8" t="s">
        <v>3413</v>
      </c>
      <c r="CE153" s="8">
        <v>140</v>
      </c>
      <c r="CF153" s="279">
        <v>70</v>
      </c>
      <c r="CG153" s="278"/>
    </row>
    <row r="154" spans="1:225" x14ac:dyDescent="0.25">
      <c r="A154" s="8" t="s">
        <v>2370</v>
      </c>
      <c r="B154" s="24" t="s">
        <v>2371</v>
      </c>
      <c r="C154" s="25" t="s">
        <v>2372</v>
      </c>
      <c r="E154" s="26" t="s">
        <v>1762</v>
      </c>
      <c r="F154" s="198" t="s">
        <v>913</v>
      </c>
      <c r="G154" s="198" t="s">
        <v>2374</v>
      </c>
      <c r="H154" s="25" t="s">
        <v>2373</v>
      </c>
      <c r="J154" s="27" t="s">
        <v>866</v>
      </c>
      <c r="X154" s="84" t="s">
        <v>1700</v>
      </c>
      <c r="Y154" s="84" t="s">
        <v>2375</v>
      </c>
      <c r="AA154" s="84" t="s">
        <v>2376</v>
      </c>
      <c r="AB154" s="84" t="s">
        <v>1152</v>
      </c>
      <c r="CB154" s="26"/>
      <c r="CC154" s="26"/>
      <c r="CF154" s="8"/>
      <c r="CG154" s="26"/>
      <c r="CH154" s="8"/>
      <c r="CM154" s="8"/>
      <c r="CR154" s="8"/>
    </row>
    <row r="155" spans="1:225" x14ac:dyDescent="0.25">
      <c r="A155" s="8" t="s">
        <v>2514</v>
      </c>
      <c r="B155" s="24" t="s">
        <v>962</v>
      </c>
      <c r="C155" s="25" t="s">
        <v>2515</v>
      </c>
      <c r="E155" s="26" t="s">
        <v>1762</v>
      </c>
      <c r="F155" s="198" t="s">
        <v>1503</v>
      </c>
      <c r="G155" s="198" t="s">
        <v>1700</v>
      </c>
      <c r="H155" s="25" t="s">
        <v>2516</v>
      </c>
      <c r="J155" s="27" t="s">
        <v>866</v>
      </c>
      <c r="X155" s="84" t="s">
        <v>1700</v>
      </c>
      <c r="Y155" s="84" t="s">
        <v>2518</v>
      </c>
      <c r="AA155" s="84" t="s">
        <v>2519</v>
      </c>
      <c r="AB155" s="84" t="s">
        <v>2517</v>
      </c>
      <c r="CB155" s="26"/>
      <c r="CC155" s="26"/>
      <c r="CF155" s="8"/>
      <c r="CG155" s="26"/>
      <c r="CH155" s="8"/>
      <c r="CM155" s="8"/>
      <c r="CR155" s="8"/>
      <c r="DZ155" s="257"/>
    </row>
    <row r="156" spans="1:225" x14ac:dyDescent="0.25">
      <c r="A156" s="8" t="s">
        <v>941</v>
      </c>
      <c r="B156" s="24" t="s">
        <v>942</v>
      </c>
      <c r="C156" s="25" t="s">
        <v>1887</v>
      </c>
      <c r="E156" s="26" t="s">
        <v>1762</v>
      </c>
      <c r="F156" s="198" t="s">
        <v>943</v>
      </c>
      <c r="G156" s="198" t="s">
        <v>1700</v>
      </c>
      <c r="H156" s="25" t="s">
        <v>3653</v>
      </c>
      <c r="J156" s="27" t="s">
        <v>866</v>
      </c>
      <c r="Q156" s="93"/>
      <c r="R156" s="28" t="s">
        <v>853</v>
      </c>
      <c r="S156" s="29"/>
      <c r="T156" s="29"/>
      <c r="U156" s="29"/>
      <c r="V156" s="29"/>
      <c r="W156" s="95"/>
      <c r="X156" s="86" t="s">
        <v>1700</v>
      </c>
      <c r="Y156" s="86" t="s">
        <v>246</v>
      </c>
      <c r="Z156" s="86"/>
      <c r="AA156" s="84" t="s">
        <v>43</v>
      </c>
      <c r="AB156" s="84" t="s">
        <v>126</v>
      </c>
      <c r="AD156" s="19"/>
      <c r="AE156" s="19"/>
      <c r="AF156" s="19"/>
      <c r="AG156" s="19"/>
      <c r="AI156" s="19"/>
      <c r="AJ156" s="19"/>
      <c r="AK156" s="19"/>
      <c r="AL156" s="19"/>
      <c r="AN156" s="19"/>
      <c r="AO156" s="19"/>
      <c r="AP156" s="19"/>
      <c r="AQ156" s="19"/>
      <c r="AS156" s="19"/>
      <c r="AT156" s="19"/>
      <c r="AU156" s="19"/>
      <c r="AV156" s="19"/>
      <c r="AX156" s="19"/>
      <c r="AY156" s="19"/>
      <c r="AZ156" s="19"/>
      <c r="BA156" s="19"/>
      <c r="BC156" s="19"/>
      <c r="BD156" s="19"/>
      <c r="BE156" s="19"/>
      <c r="BF156" s="19"/>
      <c r="BH156" s="19"/>
      <c r="BI156" s="19"/>
      <c r="BJ156" s="19"/>
      <c r="BK156" s="19"/>
      <c r="BL156" s="8"/>
      <c r="BO156" s="19"/>
      <c r="BQ156" s="8"/>
      <c r="BT156" s="19"/>
      <c r="BV156" s="8"/>
      <c r="BY156" s="19"/>
      <c r="CB156" s="26">
        <v>42097</v>
      </c>
      <c r="CC156" s="19" t="s">
        <v>853</v>
      </c>
      <c r="CD156" s="19" t="s">
        <v>3654</v>
      </c>
      <c r="CE156" s="19">
        <v>487</v>
      </c>
      <c r="CF156" s="19">
        <v>160</v>
      </c>
      <c r="CG156" s="26"/>
      <c r="CH156" s="19"/>
      <c r="CI156" s="19"/>
      <c r="CJ156" s="19"/>
      <c r="CK156" s="19"/>
      <c r="CM156" s="19"/>
      <c r="CN156" s="19"/>
      <c r="CO156" s="19"/>
      <c r="CP156" s="19"/>
      <c r="CR156" s="19"/>
      <c r="CS156" s="19"/>
      <c r="CT156" s="19"/>
      <c r="CU156" s="19"/>
      <c r="CW156" s="19"/>
      <c r="CX156" s="19"/>
      <c r="CY156" s="19"/>
      <c r="CZ156" s="19"/>
      <c r="DB156" s="19"/>
      <c r="DC156" s="19"/>
      <c r="DD156" s="19"/>
      <c r="DE156" s="19"/>
      <c r="DG156" s="19"/>
      <c r="DH156" s="19"/>
      <c r="DI156" s="19"/>
      <c r="DJ156" s="19"/>
      <c r="DK156" s="8"/>
      <c r="DP156" s="8"/>
      <c r="DU156" s="8"/>
      <c r="DZ156" s="279"/>
    </row>
    <row r="157" spans="1:225" x14ac:dyDescent="0.25">
      <c r="A157" s="8" t="s">
        <v>3568</v>
      </c>
      <c r="B157" s="24" t="s">
        <v>3569</v>
      </c>
      <c r="C157" s="25" t="s">
        <v>3567</v>
      </c>
      <c r="E157" s="26" t="s">
        <v>1764</v>
      </c>
      <c r="F157" s="198" t="s">
        <v>1700</v>
      </c>
      <c r="G157" s="198" t="s">
        <v>1700</v>
      </c>
      <c r="H157" s="25" t="s">
        <v>3570</v>
      </c>
      <c r="J157" s="27" t="s">
        <v>866</v>
      </c>
      <c r="R157" s="29" t="s">
        <v>853</v>
      </c>
      <c r="X157" s="84" t="s">
        <v>1700</v>
      </c>
      <c r="Y157" s="84" t="s">
        <v>319</v>
      </c>
      <c r="AA157" s="84" t="s">
        <v>3571</v>
      </c>
      <c r="AB157" s="84" t="s">
        <v>302</v>
      </c>
      <c r="CB157" s="278">
        <v>42074</v>
      </c>
      <c r="CC157" s="278" t="s">
        <v>853</v>
      </c>
      <c r="CD157" s="8" t="s">
        <v>3572</v>
      </c>
      <c r="CE157" s="8">
        <v>408.8</v>
      </c>
      <c r="CF157" s="279">
        <v>160</v>
      </c>
      <c r="CG157" s="278"/>
    </row>
    <row r="158" spans="1:225" x14ac:dyDescent="0.25">
      <c r="A158" s="8" t="s">
        <v>3568</v>
      </c>
      <c r="B158" s="24" t="s">
        <v>878</v>
      </c>
      <c r="C158" s="25" t="s">
        <v>4567</v>
      </c>
      <c r="E158" s="26" t="s">
        <v>1764</v>
      </c>
      <c r="F158" s="198" t="s">
        <v>138</v>
      </c>
      <c r="G158" s="198" t="s">
        <v>1700</v>
      </c>
      <c r="H158" s="25" t="s">
        <v>4568</v>
      </c>
      <c r="I158" s="27" t="s">
        <v>3904</v>
      </c>
      <c r="J158" s="27" t="s">
        <v>866</v>
      </c>
      <c r="K158" s="28" t="s">
        <v>853</v>
      </c>
      <c r="W158" s="93">
        <v>127</v>
      </c>
      <c r="X158" s="84" t="s">
        <v>1700</v>
      </c>
      <c r="Y158" s="84" t="s">
        <v>2499</v>
      </c>
      <c r="AA158" s="84" t="s">
        <v>4569</v>
      </c>
      <c r="AB158" s="84" t="s">
        <v>126</v>
      </c>
      <c r="AC158" s="26">
        <v>42360</v>
      </c>
      <c r="AD158" s="26" t="s">
        <v>853</v>
      </c>
      <c r="AE158" s="8" t="s">
        <v>4570</v>
      </c>
      <c r="AF158" s="8">
        <v>135</v>
      </c>
      <c r="AG158" s="8">
        <v>67</v>
      </c>
      <c r="AH158" s="26">
        <v>42360</v>
      </c>
      <c r="AI158" s="8" t="s">
        <v>853</v>
      </c>
      <c r="AJ158" s="8" t="s">
        <v>4571</v>
      </c>
      <c r="AK158" s="8">
        <v>120</v>
      </c>
      <c r="AL158" s="8">
        <v>60</v>
      </c>
      <c r="CB158" s="278"/>
      <c r="CG158" s="278"/>
    </row>
    <row r="159" spans="1:225" x14ac:dyDescent="0.25">
      <c r="A159" s="8" t="s">
        <v>3089</v>
      </c>
      <c r="B159" s="24" t="s">
        <v>1433</v>
      </c>
      <c r="C159" s="25" t="s">
        <v>3088</v>
      </c>
      <c r="E159" s="26" t="s">
        <v>1762</v>
      </c>
      <c r="F159" s="198" t="s">
        <v>194</v>
      </c>
      <c r="G159" s="198" t="s">
        <v>1700</v>
      </c>
      <c r="H159" s="25" t="s">
        <v>3090</v>
      </c>
      <c r="J159" s="27" t="s">
        <v>866</v>
      </c>
      <c r="R159" s="29" t="s">
        <v>853</v>
      </c>
      <c r="X159" s="84" t="s">
        <v>1700</v>
      </c>
      <c r="Y159" s="84" t="s">
        <v>2499</v>
      </c>
      <c r="AA159" s="84" t="s">
        <v>3091</v>
      </c>
      <c r="AB159" s="84" t="s">
        <v>126</v>
      </c>
      <c r="CB159" s="278">
        <v>41943</v>
      </c>
      <c r="CC159" s="278" t="s">
        <v>853</v>
      </c>
      <c r="CD159" s="279" t="s">
        <v>3092</v>
      </c>
      <c r="CE159" s="8">
        <v>380</v>
      </c>
      <c r="CF159" s="279">
        <v>160</v>
      </c>
      <c r="CG159" s="278"/>
      <c r="CH159" s="278"/>
      <c r="CI159" s="279"/>
      <c r="CK159" s="279"/>
      <c r="CL159" s="277"/>
      <c r="CM159" s="278"/>
      <c r="CN159" s="279"/>
      <c r="CP159" s="279"/>
      <c r="CQ159" s="278"/>
      <c r="CR159" s="279"/>
      <c r="CS159" s="279"/>
      <c r="CU159" s="279"/>
      <c r="CV159" s="278"/>
      <c r="CW159" s="279"/>
      <c r="CX159" s="279"/>
      <c r="CZ159" s="279"/>
      <c r="DA159" s="278"/>
      <c r="DB159" s="279"/>
      <c r="DC159" s="279"/>
      <c r="DE159" s="279"/>
      <c r="DF159" s="278"/>
      <c r="DG159" s="279"/>
      <c r="DH159" s="279"/>
      <c r="DJ159" s="279"/>
      <c r="DK159" s="278"/>
      <c r="DL159" s="279"/>
      <c r="DM159" s="279"/>
      <c r="DO159" s="279"/>
      <c r="DP159" s="278"/>
      <c r="DQ159" s="279"/>
      <c r="DR159" s="279"/>
      <c r="DT159" s="279"/>
      <c r="DU159" s="278"/>
      <c r="DV159" s="279"/>
      <c r="DW159" s="279"/>
      <c r="DY159" s="279"/>
    </row>
    <row r="160" spans="1:225" x14ac:dyDescent="0.25">
      <c r="A160" s="8" t="s">
        <v>298</v>
      </c>
      <c r="B160" s="24" t="s">
        <v>1626</v>
      </c>
      <c r="F160" s="198" t="s">
        <v>1700</v>
      </c>
      <c r="G160" s="198" t="s">
        <v>1700</v>
      </c>
      <c r="H160" s="25" t="s">
        <v>1700</v>
      </c>
      <c r="J160" s="27" t="s">
        <v>866</v>
      </c>
      <c r="CB160" s="26"/>
      <c r="CC160" s="26"/>
      <c r="CF160" s="8"/>
      <c r="CG160" s="26"/>
      <c r="CH160" s="8"/>
      <c r="CM160" s="8"/>
      <c r="CR160" s="8"/>
    </row>
    <row r="161" spans="1:225" x14ac:dyDescent="0.25">
      <c r="A161" s="8" t="s">
        <v>1341</v>
      </c>
      <c r="B161" s="24" t="s">
        <v>1342</v>
      </c>
      <c r="F161" s="198" t="s">
        <v>1343</v>
      </c>
      <c r="G161" s="198" t="s">
        <v>1344</v>
      </c>
      <c r="H161" s="25" t="s">
        <v>1345</v>
      </c>
      <c r="I161" s="27" t="s">
        <v>3895</v>
      </c>
      <c r="J161" s="27" t="s">
        <v>866</v>
      </c>
      <c r="K161" s="28" t="s">
        <v>3907</v>
      </c>
      <c r="P161" s="17">
        <v>1</v>
      </c>
      <c r="CB161" s="26"/>
      <c r="CC161" s="26"/>
      <c r="CF161" s="8"/>
      <c r="CG161" s="26"/>
      <c r="CH161" s="8"/>
      <c r="CM161" s="8"/>
      <c r="CR161" s="8"/>
    </row>
    <row r="162" spans="1:225" x14ac:dyDescent="0.25">
      <c r="A162" s="8" t="s">
        <v>1249</v>
      </c>
      <c r="B162" s="24" t="s">
        <v>966</v>
      </c>
      <c r="C162" s="25" t="s">
        <v>1250</v>
      </c>
      <c r="E162" s="26" t="s">
        <v>1762</v>
      </c>
      <c r="F162" s="198" t="s">
        <v>947</v>
      </c>
      <c r="G162" s="198" t="s">
        <v>1700</v>
      </c>
      <c r="H162" s="25" t="s">
        <v>2885</v>
      </c>
      <c r="I162" s="27" t="s">
        <v>3902</v>
      </c>
      <c r="J162" s="27" t="s">
        <v>866</v>
      </c>
      <c r="K162" s="28" t="s">
        <v>853</v>
      </c>
      <c r="R162" s="29" t="s">
        <v>853</v>
      </c>
      <c r="W162" s="93">
        <v>145</v>
      </c>
      <c r="X162" s="84" t="s">
        <v>1700</v>
      </c>
      <c r="Y162" s="84" t="s">
        <v>791</v>
      </c>
      <c r="AA162" s="84" t="s">
        <v>570</v>
      </c>
      <c r="AB162" s="84" t="s">
        <v>126</v>
      </c>
      <c r="AC162" s="26">
        <v>42313</v>
      </c>
      <c r="AD162" s="26" t="s">
        <v>853</v>
      </c>
      <c r="AE162" s="8" t="s">
        <v>4177</v>
      </c>
      <c r="AF162" s="8">
        <v>290</v>
      </c>
      <c r="AG162" s="8">
        <v>145</v>
      </c>
      <c r="CB162" s="26">
        <v>41934</v>
      </c>
      <c r="CC162" s="26" t="s">
        <v>853</v>
      </c>
      <c r="CD162" s="8" t="s">
        <v>2886</v>
      </c>
      <c r="CE162" s="8">
        <v>300</v>
      </c>
      <c r="CF162" s="8">
        <v>150</v>
      </c>
      <c r="CG162" s="26"/>
      <c r="CH162" s="8"/>
      <c r="CM162" s="8"/>
      <c r="CR162" s="8"/>
      <c r="DZ162" s="279"/>
    </row>
    <row r="163" spans="1:225" x14ac:dyDescent="0.25">
      <c r="A163" s="8" t="s">
        <v>349</v>
      </c>
      <c r="B163" s="24" t="s">
        <v>779</v>
      </c>
      <c r="C163" s="25" t="s">
        <v>1271</v>
      </c>
      <c r="E163" s="26" t="s">
        <v>1762</v>
      </c>
      <c r="F163" s="198" t="s">
        <v>1879</v>
      </c>
      <c r="G163" s="198" t="s">
        <v>1700</v>
      </c>
      <c r="H163" s="25" t="s">
        <v>2661</v>
      </c>
      <c r="I163" s="27" t="s">
        <v>3901</v>
      </c>
      <c r="J163" s="27" t="s">
        <v>866</v>
      </c>
      <c r="K163" s="28" t="s">
        <v>853</v>
      </c>
      <c r="R163" s="29" t="s">
        <v>853</v>
      </c>
      <c r="W163" s="93">
        <v>107</v>
      </c>
      <c r="X163" s="84" t="s">
        <v>1700</v>
      </c>
      <c r="Y163" s="84" t="s">
        <v>246</v>
      </c>
      <c r="AA163" s="84" t="s">
        <v>1143</v>
      </c>
      <c r="AB163" s="84" t="s">
        <v>126</v>
      </c>
      <c r="AC163" s="26">
        <v>42311</v>
      </c>
      <c r="AD163" s="26" t="s">
        <v>853</v>
      </c>
      <c r="AE163" s="8" t="s">
        <v>4072</v>
      </c>
      <c r="AF163" s="8">
        <v>60</v>
      </c>
      <c r="AG163" s="8">
        <v>30</v>
      </c>
      <c r="AH163" s="26">
        <v>42453</v>
      </c>
      <c r="AI163" s="8" t="s">
        <v>853</v>
      </c>
      <c r="AJ163" s="8" t="s">
        <v>4744</v>
      </c>
      <c r="AK163" s="8">
        <v>145</v>
      </c>
      <c r="AL163" s="8">
        <v>77</v>
      </c>
      <c r="CB163" s="26">
        <v>41921</v>
      </c>
      <c r="CC163" s="26" t="s">
        <v>853</v>
      </c>
      <c r="CD163" s="8" t="s">
        <v>2662</v>
      </c>
      <c r="CE163" s="8">
        <v>60</v>
      </c>
      <c r="CF163" s="8">
        <v>30</v>
      </c>
      <c r="CG163" s="26">
        <v>41943</v>
      </c>
      <c r="CH163" s="8" t="s">
        <v>853</v>
      </c>
      <c r="CI163" s="8" t="s">
        <v>2983</v>
      </c>
      <c r="CJ163" s="8">
        <v>60</v>
      </c>
      <c r="CK163" s="8">
        <v>30</v>
      </c>
      <c r="CM163" s="8"/>
      <c r="CR163" s="8"/>
    </row>
    <row r="164" spans="1:225" x14ac:dyDescent="0.25">
      <c r="A164" s="8" t="s">
        <v>1986</v>
      </c>
      <c r="B164" s="24" t="s">
        <v>1987</v>
      </c>
      <c r="C164" s="25" t="s">
        <v>1988</v>
      </c>
      <c r="D164" s="26">
        <v>29611</v>
      </c>
      <c r="E164" s="26" t="s">
        <v>1764</v>
      </c>
      <c r="F164" s="198" t="s">
        <v>927</v>
      </c>
      <c r="G164" s="198" t="s">
        <v>1700</v>
      </c>
      <c r="H164" s="25" t="s">
        <v>1989</v>
      </c>
      <c r="J164" s="27" t="s">
        <v>866</v>
      </c>
      <c r="Q164" s="93"/>
      <c r="R164" s="28" t="s">
        <v>1763</v>
      </c>
      <c r="S164" s="29"/>
      <c r="T164" s="29"/>
      <c r="U164" s="29"/>
      <c r="V164" s="29"/>
      <c r="W164" s="95"/>
      <c r="X164" s="86" t="s">
        <v>566</v>
      </c>
      <c r="Y164" s="86" t="s">
        <v>565</v>
      </c>
      <c r="Z164" s="86"/>
      <c r="AA164" s="86" t="s">
        <v>567</v>
      </c>
      <c r="AB164" s="86" t="s">
        <v>126</v>
      </c>
      <c r="AE164" s="19"/>
      <c r="AF164" s="19"/>
      <c r="AG164" s="19"/>
      <c r="AI164" s="19"/>
      <c r="AJ164" s="19"/>
      <c r="AK164" s="19"/>
      <c r="AL164" s="19"/>
      <c r="AN164" s="19"/>
      <c r="AO164" s="19"/>
      <c r="AP164" s="19"/>
      <c r="AQ164" s="19"/>
      <c r="AS164" s="19"/>
      <c r="AT164" s="19"/>
      <c r="AU164" s="19"/>
      <c r="AV164" s="19"/>
      <c r="AX164" s="19"/>
      <c r="AY164" s="19"/>
      <c r="AZ164" s="19"/>
      <c r="BA164" s="19"/>
      <c r="BC164" s="19"/>
      <c r="BD164" s="19"/>
      <c r="BE164" s="19"/>
      <c r="BF164" s="19"/>
      <c r="BH164" s="19"/>
      <c r="BI164" s="19"/>
      <c r="BJ164" s="19"/>
      <c r="BK164" s="19"/>
      <c r="BM164" s="19"/>
      <c r="BN164" s="19"/>
      <c r="BO164" s="19"/>
      <c r="BP164" s="19"/>
      <c r="BR164" s="19"/>
      <c r="BS164" s="19"/>
      <c r="BT164" s="19"/>
      <c r="BU164" s="19"/>
      <c r="BW164" s="19"/>
      <c r="BX164" s="19"/>
      <c r="BY164" s="19"/>
      <c r="BZ164" s="19"/>
      <c r="CB164" s="26"/>
      <c r="CC164" s="26"/>
      <c r="CD164" s="19"/>
      <c r="CE164" s="19"/>
      <c r="CF164" s="19"/>
      <c r="CG164" s="26"/>
      <c r="CH164" s="19"/>
      <c r="CI164" s="19"/>
      <c r="CJ164" s="19"/>
      <c r="CK164" s="19"/>
      <c r="CM164" s="19"/>
      <c r="CN164" s="19"/>
      <c r="CO164" s="19"/>
      <c r="CP164" s="19"/>
      <c r="CR164" s="19"/>
      <c r="CS164" s="19"/>
      <c r="CT164" s="19"/>
      <c r="CU164" s="19"/>
      <c r="CW164" s="19"/>
      <c r="CX164" s="19"/>
      <c r="CY164" s="19"/>
      <c r="CZ164" s="19"/>
      <c r="DB164" s="19"/>
      <c r="DC164" s="19"/>
      <c r="DD164" s="19"/>
      <c r="DE164" s="19"/>
      <c r="DG164" s="19"/>
      <c r="DH164" s="19"/>
      <c r="DI164" s="19"/>
      <c r="DJ164" s="19"/>
      <c r="DL164" s="19"/>
      <c r="DM164" s="19"/>
      <c r="DN164" s="19"/>
      <c r="DO164" s="19"/>
      <c r="DQ164" s="19"/>
      <c r="DR164" s="19"/>
      <c r="DS164" s="19"/>
      <c r="DT164" s="19"/>
      <c r="DV164" s="19"/>
      <c r="DW164" s="19"/>
      <c r="DX164" s="19"/>
      <c r="DY164" s="19"/>
      <c r="DZ164" s="279"/>
      <c r="EB164" s="19"/>
      <c r="EC164" s="19"/>
      <c r="ED164" s="19"/>
      <c r="EE164" s="19"/>
      <c r="EF164" s="19"/>
      <c r="EG164" s="19"/>
      <c r="EH164" s="19"/>
      <c r="EI164" s="19"/>
      <c r="EJ164" s="19"/>
      <c r="EK164" s="19"/>
      <c r="EL164" s="19"/>
      <c r="EN164" s="19"/>
      <c r="EO164" s="19"/>
      <c r="EP164" s="19"/>
      <c r="EQ164" s="19"/>
      <c r="ER164" s="19"/>
      <c r="ES164" s="19"/>
      <c r="ET164" s="19"/>
      <c r="EU164" s="19"/>
      <c r="EV164" s="19"/>
      <c r="EW164" s="19"/>
      <c r="EX164" s="19"/>
      <c r="EZ164" s="19"/>
      <c r="FA164" s="19"/>
      <c r="FB164" s="19"/>
      <c r="FC164" s="19"/>
      <c r="FD164" s="19"/>
      <c r="FE164" s="19"/>
      <c r="FF164" s="19"/>
      <c r="FG164" s="19"/>
      <c r="FH164" s="19"/>
      <c r="FI164" s="19"/>
      <c r="FJ164" s="19"/>
      <c r="FL164" s="19"/>
      <c r="FM164" s="19"/>
      <c r="FN164" s="19"/>
      <c r="FO164" s="19"/>
      <c r="FP164" s="19"/>
      <c r="FQ164" s="19"/>
      <c r="FR164" s="19"/>
      <c r="FS164" s="19"/>
      <c r="FT164" s="19"/>
      <c r="FU164" s="19"/>
      <c r="FV164" s="19"/>
      <c r="FX164" s="19"/>
      <c r="FY164" s="19"/>
      <c r="FZ164" s="19"/>
      <c r="GA164" s="19"/>
      <c r="GB164" s="19"/>
      <c r="GC164" s="19"/>
      <c r="GD164" s="19"/>
      <c r="GE164" s="19"/>
      <c r="GF164" s="19"/>
      <c r="GG164" s="19"/>
      <c r="GH164" s="19"/>
      <c r="GJ164" s="19"/>
      <c r="GK164" s="19"/>
      <c r="GL164" s="19"/>
      <c r="GM164" s="19"/>
      <c r="GN164" s="19"/>
      <c r="GO164" s="19"/>
      <c r="GP164" s="19"/>
      <c r="GQ164" s="19"/>
      <c r="GR164" s="19"/>
      <c r="GS164" s="19"/>
      <c r="GT164" s="19"/>
      <c r="GV164" s="19"/>
      <c r="GW164" s="19"/>
      <c r="GX164" s="19"/>
      <c r="GY164" s="19"/>
      <c r="GZ164" s="19"/>
      <c r="HA164" s="19"/>
      <c r="HB164" s="19"/>
      <c r="HC164" s="19"/>
      <c r="HD164" s="19"/>
      <c r="HE164" s="19"/>
      <c r="HF164" s="19"/>
      <c r="HH164" s="19"/>
      <c r="HI164" s="19"/>
      <c r="HJ164" s="19"/>
      <c r="HK164" s="19"/>
      <c r="HL164" s="19"/>
      <c r="HM164" s="19"/>
      <c r="HN164" s="19"/>
      <c r="HO164" s="19"/>
      <c r="HP164" s="19"/>
      <c r="HQ164" s="19"/>
    </row>
    <row r="165" spans="1:225" x14ac:dyDescent="0.25">
      <c r="A165" s="8" t="s">
        <v>833</v>
      </c>
      <c r="B165" s="24" t="s">
        <v>834</v>
      </c>
      <c r="C165" s="25" t="s">
        <v>835</v>
      </c>
      <c r="E165" s="26" t="s">
        <v>1762</v>
      </c>
      <c r="F165" s="198" t="s">
        <v>867</v>
      </c>
      <c r="G165" s="198" t="s">
        <v>2344</v>
      </c>
      <c r="H165" s="25" t="s">
        <v>2799</v>
      </c>
      <c r="I165" s="27" t="s">
        <v>3901</v>
      </c>
      <c r="J165" s="27" t="s">
        <v>866</v>
      </c>
      <c r="K165" s="28" t="s">
        <v>853</v>
      </c>
      <c r="R165" s="29" t="s">
        <v>853</v>
      </c>
      <c r="W165" s="93">
        <v>158</v>
      </c>
      <c r="X165" s="84" t="s">
        <v>1700</v>
      </c>
      <c r="Y165" s="84" t="s">
        <v>4062</v>
      </c>
      <c r="AA165" s="84" t="s">
        <v>4061</v>
      </c>
      <c r="AB165" s="84" t="s">
        <v>590</v>
      </c>
      <c r="AC165" s="26">
        <v>42311</v>
      </c>
      <c r="AD165" s="26" t="s">
        <v>853</v>
      </c>
      <c r="AE165" s="8" t="s">
        <v>4063</v>
      </c>
      <c r="AF165" s="8">
        <v>317</v>
      </c>
      <c r="AG165" s="8">
        <v>158</v>
      </c>
      <c r="CB165" s="26">
        <v>41921</v>
      </c>
      <c r="CC165" s="26" t="s">
        <v>853</v>
      </c>
      <c r="CD165" s="8" t="s">
        <v>2800</v>
      </c>
      <c r="CE165" s="8">
        <v>308</v>
      </c>
      <c r="CF165" s="8">
        <v>154</v>
      </c>
      <c r="CG165" s="26"/>
      <c r="CH165" s="8"/>
      <c r="CM165" s="8"/>
      <c r="CR165" s="8"/>
      <c r="DZ165" s="19"/>
    </row>
    <row r="166" spans="1:225" x14ac:dyDescent="0.25">
      <c r="A166" s="8" t="s">
        <v>4344</v>
      </c>
      <c r="B166" s="24" t="s">
        <v>4345</v>
      </c>
      <c r="C166" s="25" t="s">
        <v>4343</v>
      </c>
      <c r="E166" s="26" t="s">
        <v>1762</v>
      </c>
      <c r="F166" s="198" t="s">
        <v>1396</v>
      </c>
      <c r="G166" s="198" t="s">
        <v>1700</v>
      </c>
      <c r="H166" s="25" t="s">
        <v>4346</v>
      </c>
      <c r="I166" s="27" t="s">
        <v>3903</v>
      </c>
      <c r="J166" s="27" t="s">
        <v>866</v>
      </c>
      <c r="K166" s="28" t="s">
        <v>853</v>
      </c>
      <c r="W166" s="93">
        <v>160</v>
      </c>
      <c r="X166" s="84" t="s">
        <v>1700</v>
      </c>
      <c r="Y166" s="84" t="s">
        <v>2499</v>
      </c>
      <c r="AA166" s="84" t="s">
        <v>4347</v>
      </c>
      <c r="AB166" s="84" t="s">
        <v>126</v>
      </c>
      <c r="AC166" s="26">
        <v>42352</v>
      </c>
      <c r="AD166" s="26" t="s">
        <v>853</v>
      </c>
      <c r="AE166" s="8" t="s">
        <v>4348</v>
      </c>
      <c r="AF166" s="8">
        <v>345</v>
      </c>
      <c r="AG166" s="8">
        <v>160</v>
      </c>
      <c r="CB166" s="278"/>
      <c r="CG166" s="278"/>
    </row>
    <row r="167" spans="1:225" x14ac:dyDescent="0.25">
      <c r="A167" s="8" t="s">
        <v>88</v>
      </c>
      <c r="B167" s="24" t="s">
        <v>897</v>
      </c>
      <c r="C167" s="25" t="s">
        <v>89</v>
      </c>
      <c r="E167" s="26" t="s">
        <v>1762</v>
      </c>
      <c r="F167" s="198" t="s">
        <v>1503</v>
      </c>
      <c r="G167" s="198" t="s">
        <v>1700</v>
      </c>
      <c r="H167" s="25" t="s">
        <v>3124</v>
      </c>
      <c r="J167" s="27" t="s">
        <v>866</v>
      </c>
      <c r="R167" s="29" t="s">
        <v>853</v>
      </c>
      <c r="X167" s="84" t="s">
        <v>1700</v>
      </c>
      <c r="Y167" s="84" t="s">
        <v>791</v>
      </c>
      <c r="AA167" s="84" t="s">
        <v>90</v>
      </c>
      <c r="AB167" s="84" t="s">
        <v>126</v>
      </c>
      <c r="CB167" s="26">
        <v>41977</v>
      </c>
      <c r="CC167" s="26" t="s">
        <v>853</v>
      </c>
      <c r="CD167" s="8" t="s">
        <v>3125</v>
      </c>
      <c r="CE167" s="8">
        <v>230</v>
      </c>
      <c r="CF167" s="8">
        <v>115</v>
      </c>
      <c r="CG167" s="26"/>
      <c r="CH167" s="8"/>
      <c r="CM167" s="8"/>
      <c r="CR167" s="8"/>
    </row>
    <row r="168" spans="1:225" x14ac:dyDescent="0.25">
      <c r="A168" s="8" t="s">
        <v>789</v>
      </c>
      <c r="B168" s="24" t="s">
        <v>1655</v>
      </c>
      <c r="C168" s="25" t="s">
        <v>790</v>
      </c>
      <c r="D168" s="26">
        <v>26691</v>
      </c>
      <c r="E168" s="26" t="s">
        <v>1762</v>
      </c>
      <c r="F168" s="198" t="s">
        <v>1546</v>
      </c>
      <c r="G168" s="198" t="s">
        <v>1700</v>
      </c>
      <c r="H168" s="25" t="s">
        <v>1700</v>
      </c>
      <c r="I168" s="27" t="s">
        <v>3902</v>
      </c>
      <c r="J168" s="27" t="s">
        <v>866</v>
      </c>
      <c r="K168" s="28" t="s">
        <v>3907</v>
      </c>
      <c r="L168" s="29" t="s">
        <v>816</v>
      </c>
      <c r="P168" s="17">
        <v>1</v>
      </c>
      <c r="R168" s="29" t="s">
        <v>1763</v>
      </c>
      <c r="S168" s="8" t="s">
        <v>816</v>
      </c>
      <c r="X168" s="84" t="s">
        <v>1700</v>
      </c>
      <c r="Y168" s="84" t="s">
        <v>282</v>
      </c>
      <c r="AA168" s="84" t="s">
        <v>1122</v>
      </c>
      <c r="AB168" s="84" t="s">
        <v>1121</v>
      </c>
      <c r="CB168" s="26"/>
      <c r="CC168" s="26"/>
      <c r="CF168" s="8"/>
      <c r="CG168" s="26"/>
      <c r="CH168" s="8"/>
      <c r="CM168" s="8"/>
      <c r="CR168" s="8"/>
      <c r="DZ168" s="257"/>
    </row>
    <row r="169" spans="1:225" x14ac:dyDescent="0.25">
      <c r="A169" s="8" t="s">
        <v>4308</v>
      </c>
      <c r="B169" s="24" t="s">
        <v>873</v>
      </c>
      <c r="F169" s="198" t="s">
        <v>1700</v>
      </c>
      <c r="G169" s="198" t="s">
        <v>1700</v>
      </c>
      <c r="H169" s="25" t="s">
        <v>1700</v>
      </c>
      <c r="I169" s="27" t="s">
        <v>3902</v>
      </c>
      <c r="J169" s="27" t="s">
        <v>866</v>
      </c>
      <c r="K169" s="28" t="s">
        <v>3907</v>
      </c>
      <c r="P169" s="17">
        <v>1</v>
      </c>
      <c r="CB169" s="278"/>
      <c r="CG169" s="278"/>
    </row>
    <row r="170" spans="1:225" x14ac:dyDescent="0.25">
      <c r="A170" s="8" t="s">
        <v>2097</v>
      </c>
      <c r="B170" s="24" t="s">
        <v>880</v>
      </c>
      <c r="C170" s="25" t="s">
        <v>2095</v>
      </c>
      <c r="E170" s="26" t="s">
        <v>1764</v>
      </c>
      <c r="F170" s="198" t="s">
        <v>2096</v>
      </c>
      <c r="G170" s="198" t="s">
        <v>1700</v>
      </c>
      <c r="H170" s="25" t="s">
        <v>1700</v>
      </c>
      <c r="J170" s="27" t="s">
        <v>866</v>
      </c>
      <c r="Q170" s="95"/>
      <c r="R170" s="17" t="s">
        <v>816</v>
      </c>
      <c r="S170" s="21" t="s">
        <v>816</v>
      </c>
      <c r="T170" s="21"/>
      <c r="U170" s="21"/>
      <c r="V170" s="21"/>
      <c r="AA170" s="86"/>
      <c r="AB170" s="86"/>
      <c r="CB170" s="26"/>
      <c r="CC170" s="26"/>
      <c r="CF170" s="8"/>
      <c r="CG170" s="26"/>
      <c r="CH170" s="8"/>
      <c r="CM170" s="8"/>
      <c r="CR170" s="8"/>
    </row>
    <row r="171" spans="1:225" x14ac:dyDescent="0.25">
      <c r="A171" s="8" t="s">
        <v>594</v>
      </c>
      <c r="B171" s="24" t="s">
        <v>593</v>
      </c>
      <c r="D171" s="26">
        <v>22619</v>
      </c>
      <c r="E171" s="26" t="s">
        <v>1768</v>
      </c>
      <c r="F171" s="198" t="s">
        <v>1343</v>
      </c>
      <c r="G171" s="198" t="s">
        <v>1700</v>
      </c>
      <c r="H171" s="25" t="s">
        <v>1700</v>
      </c>
      <c r="J171" s="27" t="s">
        <v>866</v>
      </c>
      <c r="R171" s="29" t="s">
        <v>1763</v>
      </c>
      <c r="S171" s="8" t="s">
        <v>855</v>
      </c>
      <c r="CB171" s="26"/>
      <c r="CC171" s="26"/>
      <c r="CF171" s="8"/>
      <c r="CG171" s="26"/>
      <c r="CH171" s="8"/>
      <c r="CM171" s="8"/>
      <c r="CR171" s="8"/>
    </row>
    <row r="172" spans="1:225" x14ac:dyDescent="0.25">
      <c r="A172" s="8" t="s">
        <v>2919</v>
      </c>
      <c r="B172" s="24" t="s">
        <v>861</v>
      </c>
      <c r="C172" s="25" t="s">
        <v>2918</v>
      </c>
      <c r="E172" s="26" t="s">
        <v>1762</v>
      </c>
      <c r="F172" s="198" t="s">
        <v>245</v>
      </c>
      <c r="G172" s="198" t="s">
        <v>1700</v>
      </c>
      <c r="H172" s="25" t="s">
        <v>2920</v>
      </c>
      <c r="J172" s="27" t="s">
        <v>866</v>
      </c>
      <c r="R172" s="29" t="s">
        <v>853</v>
      </c>
      <c r="X172" s="84" t="s">
        <v>1700</v>
      </c>
      <c r="Y172" s="84" t="s">
        <v>2921</v>
      </c>
      <c r="AA172" s="84" t="s">
        <v>2922</v>
      </c>
      <c r="AB172" s="84" t="s">
        <v>255</v>
      </c>
      <c r="CB172" s="26">
        <v>41934</v>
      </c>
      <c r="CC172" s="26" t="s">
        <v>853</v>
      </c>
      <c r="CD172" s="19" t="s">
        <v>2923</v>
      </c>
      <c r="CE172" s="19">
        <v>375</v>
      </c>
      <c r="CF172" s="19">
        <v>160</v>
      </c>
      <c r="CG172" s="26"/>
      <c r="CH172" s="19"/>
      <c r="CI172" s="19"/>
      <c r="CJ172" s="19"/>
      <c r="CK172" s="19"/>
      <c r="CM172" s="19"/>
      <c r="CN172" s="19"/>
      <c r="CO172" s="19"/>
      <c r="CP172" s="19"/>
      <c r="CR172" s="19"/>
      <c r="CS172" s="19"/>
      <c r="CT172" s="19"/>
      <c r="CU172" s="19"/>
      <c r="CW172" s="19"/>
      <c r="CX172" s="19"/>
      <c r="CY172" s="19"/>
      <c r="CZ172" s="19"/>
      <c r="DB172" s="19"/>
      <c r="DC172" s="19"/>
      <c r="DD172" s="19"/>
      <c r="DE172" s="19"/>
      <c r="DG172" s="19"/>
      <c r="DH172" s="19"/>
      <c r="DI172" s="19"/>
      <c r="DJ172" s="19"/>
      <c r="DL172" s="19"/>
      <c r="DM172" s="19"/>
      <c r="DN172" s="19"/>
      <c r="DO172" s="19"/>
      <c r="DQ172" s="19"/>
      <c r="DR172" s="19"/>
      <c r="DS172" s="19"/>
      <c r="DT172" s="19"/>
      <c r="DV172" s="19"/>
      <c r="DW172" s="19"/>
      <c r="DX172" s="19"/>
      <c r="DY172" s="19"/>
    </row>
    <row r="173" spans="1:225" ht="13.5" x14ac:dyDescent="0.25">
      <c r="A173" s="8" t="s">
        <v>609</v>
      </c>
      <c r="B173" s="24" t="s">
        <v>324</v>
      </c>
      <c r="D173" s="26">
        <v>32762</v>
      </c>
      <c r="E173" s="26" t="s">
        <v>1762</v>
      </c>
      <c r="F173" s="198" t="s">
        <v>1392</v>
      </c>
      <c r="G173" s="198" t="s">
        <v>1700</v>
      </c>
      <c r="H173" s="25" t="s">
        <v>610</v>
      </c>
      <c r="J173" s="27" t="s">
        <v>866</v>
      </c>
      <c r="CB173" s="278"/>
      <c r="CD173" s="279"/>
      <c r="CG173" s="278"/>
      <c r="CH173" s="278"/>
      <c r="CI173" s="279"/>
      <c r="CK173" s="279"/>
      <c r="CL173" s="278"/>
      <c r="CM173" s="278"/>
      <c r="CN173" s="279"/>
      <c r="CP173" s="279"/>
      <c r="CQ173" s="278"/>
      <c r="CR173" s="279"/>
      <c r="CS173" s="279"/>
      <c r="CU173" s="279"/>
      <c r="CV173" s="278"/>
      <c r="CW173" s="279"/>
      <c r="CX173" s="279"/>
      <c r="CZ173" s="279"/>
      <c r="DA173" s="278"/>
      <c r="DB173" s="279"/>
      <c r="DC173" s="279"/>
      <c r="DE173" s="279"/>
      <c r="DF173" s="278"/>
      <c r="DG173" s="279"/>
      <c r="DH173" s="279"/>
      <c r="DJ173" s="279"/>
      <c r="DK173" s="278"/>
      <c r="DL173" s="279"/>
      <c r="DM173" s="279"/>
      <c r="DO173" s="279"/>
      <c r="DP173" s="278"/>
      <c r="DQ173" s="279"/>
      <c r="DR173" s="279"/>
      <c r="DT173" s="279"/>
      <c r="DU173" s="278"/>
      <c r="DV173" s="258"/>
      <c r="DW173" s="258"/>
      <c r="DY173" s="258"/>
      <c r="EB173" s="19"/>
      <c r="EC173" s="19"/>
      <c r="ED173" s="19"/>
      <c r="EE173" s="19"/>
      <c r="EF173" s="19"/>
      <c r="EG173" s="19"/>
      <c r="EH173" s="19"/>
      <c r="EI173" s="19"/>
      <c r="EJ173" s="19"/>
      <c r="EK173" s="19"/>
      <c r="EL173" s="19"/>
      <c r="EN173" s="19"/>
      <c r="EO173" s="19"/>
      <c r="EP173" s="19"/>
      <c r="EQ173" s="19"/>
      <c r="ER173" s="19"/>
      <c r="ES173" s="19"/>
      <c r="ET173" s="19"/>
      <c r="EU173" s="19"/>
      <c r="EV173" s="19"/>
      <c r="EW173" s="19"/>
      <c r="EX173" s="19"/>
      <c r="EZ173" s="19"/>
      <c r="FA173" s="19"/>
      <c r="FB173" s="19"/>
      <c r="FC173" s="19"/>
      <c r="FD173" s="19"/>
      <c r="FE173" s="19"/>
      <c r="FF173" s="19"/>
      <c r="FG173" s="19"/>
      <c r="FH173" s="19"/>
      <c r="FI173" s="19"/>
      <c r="FJ173" s="19"/>
      <c r="FL173" s="19"/>
      <c r="FM173" s="19"/>
      <c r="FN173" s="19"/>
      <c r="FO173" s="19"/>
      <c r="FP173" s="19"/>
      <c r="FQ173" s="19"/>
      <c r="FR173" s="19"/>
      <c r="FS173" s="19"/>
      <c r="FT173" s="19"/>
      <c r="FU173" s="19"/>
      <c r="FV173" s="19"/>
      <c r="FX173" s="19"/>
      <c r="FY173" s="19"/>
      <c r="FZ173" s="19"/>
      <c r="GA173" s="19"/>
      <c r="GB173" s="19"/>
      <c r="GC173" s="19"/>
      <c r="GD173" s="19"/>
      <c r="GE173" s="19"/>
      <c r="GF173" s="19"/>
      <c r="GG173" s="19"/>
      <c r="GH173" s="19"/>
      <c r="GJ173" s="19"/>
      <c r="GK173" s="19"/>
      <c r="GL173" s="19"/>
      <c r="GM173" s="19"/>
      <c r="GN173" s="19"/>
      <c r="GO173" s="19"/>
      <c r="GP173" s="19"/>
      <c r="GQ173" s="19"/>
      <c r="GR173" s="19"/>
      <c r="GS173" s="19"/>
      <c r="GT173" s="19"/>
      <c r="GV173" s="19"/>
      <c r="GW173" s="19"/>
      <c r="GX173" s="19"/>
      <c r="GY173" s="19"/>
      <c r="GZ173" s="19"/>
      <c r="HA173" s="19"/>
      <c r="HB173" s="19"/>
      <c r="HC173" s="19"/>
      <c r="HD173" s="19"/>
      <c r="HE173" s="19"/>
      <c r="HF173" s="19"/>
      <c r="HH173" s="19"/>
      <c r="HI173" s="19"/>
      <c r="HJ173" s="19"/>
      <c r="HK173" s="19"/>
      <c r="HL173" s="19"/>
      <c r="HM173" s="19"/>
      <c r="HN173" s="19"/>
      <c r="HO173" s="19"/>
      <c r="HP173" s="19"/>
      <c r="HQ173" s="19"/>
    </row>
    <row r="174" spans="1:225" x14ac:dyDescent="0.25">
      <c r="A174" s="8" t="s">
        <v>1100</v>
      </c>
      <c r="B174" s="24" t="s">
        <v>966</v>
      </c>
      <c r="C174" s="25" t="s">
        <v>1101</v>
      </c>
      <c r="F174" s="198" t="s">
        <v>968</v>
      </c>
      <c r="G174" s="198" t="s">
        <v>1700</v>
      </c>
      <c r="H174" s="25" t="s">
        <v>1700</v>
      </c>
      <c r="J174" s="27" t="s">
        <v>866</v>
      </c>
      <c r="X174" s="84" t="s">
        <v>1700</v>
      </c>
      <c r="Y174" s="84" t="s">
        <v>791</v>
      </c>
      <c r="AA174" s="84" t="s">
        <v>1102</v>
      </c>
      <c r="AB174" s="84" t="s">
        <v>126</v>
      </c>
      <c r="CB174" s="26"/>
      <c r="CC174" s="26"/>
      <c r="CF174" s="8"/>
      <c r="CG174" s="26"/>
      <c r="CH174" s="8"/>
      <c r="CM174" s="8"/>
      <c r="CR174" s="8"/>
      <c r="DZ174" s="19"/>
    </row>
    <row r="175" spans="1:225" x14ac:dyDescent="0.25">
      <c r="A175" s="8" t="s">
        <v>3819</v>
      </c>
      <c r="B175" s="24" t="s">
        <v>2138</v>
      </c>
      <c r="D175" s="26">
        <v>30104</v>
      </c>
      <c r="E175" s="26" t="s">
        <v>1762</v>
      </c>
      <c r="F175" s="198" t="s">
        <v>3820</v>
      </c>
      <c r="G175" s="198" t="s">
        <v>1700</v>
      </c>
      <c r="H175" s="25" t="s">
        <v>1700</v>
      </c>
      <c r="J175" s="27" t="s">
        <v>866</v>
      </c>
      <c r="R175" s="29" t="s">
        <v>855</v>
      </c>
      <c r="CB175" s="278"/>
      <c r="CG175" s="278"/>
    </row>
    <row r="176" spans="1:225" x14ac:dyDescent="0.25">
      <c r="A176" s="8" t="s">
        <v>4739</v>
      </c>
      <c r="B176" s="24" t="s">
        <v>1855</v>
      </c>
      <c r="C176" s="25" t="s">
        <v>4738</v>
      </c>
      <c r="E176" s="26" t="s">
        <v>1762</v>
      </c>
      <c r="F176" s="198" t="s">
        <v>946</v>
      </c>
      <c r="G176" s="198" t="s">
        <v>2679</v>
      </c>
      <c r="H176" s="25" t="s">
        <v>4740</v>
      </c>
      <c r="I176" s="27" t="s">
        <v>3894</v>
      </c>
      <c r="J176" s="27" t="s">
        <v>866</v>
      </c>
      <c r="K176" s="28" t="s">
        <v>853</v>
      </c>
      <c r="W176" s="93">
        <v>160</v>
      </c>
      <c r="X176" s="84" t="s">
        <v>1700</v>
      </c>
      <c r="Y176" s="84" t="s">
        <v>4532</v>
      </c>
      <c r="AA176" s="84" t="s">
        <v>4741</v>
      </c>
      <c r="AB176" s="84" t="s">
        <v>1152</v>
      </c>
      <c r="AC176" s="26">
        <v>42453</v>
      </c>
      <c r="AD176" s="26" t="s">
        <v>853</v>
      </c>
      <c r="AE176" s="8" t="s">
        <v>4742</v>
      </c>
      <c r="AF176" s="8">
        <v>396</v>
      </c>
      <c r="AG176" s="8">
        <v>160</v>
      </c>
      <c r="CB176" s="278"/>
      <c r="CG176" s="278"/>
    </row>
    <row r="177" spans="1:225" x14ac:dyDescent="0.25">
      <c r="A177" s="8" t="s">
        <v>2347</v>
      </c>
      <c r="B177" s="24" t="s">
        <v>183</v>
      </c>
      <c r="C177" s="25" t="s">
        <v>2348</v>
      </c>
      <c r="E177" s="26" t="s">
        <v>1762</v>
      </c>
      <c r="F177" s="198" t="s">
        <v>947</v>
      </c>
      <c r="G177" s="198" t="s">
        <v>2350</v>
      </c>
      <c r="H177" s="25" t="s">
        <v>2349</v>
      </c>
      <c r="J177" s="27" t="s">
        <v>866</v>
      </c>
      <c r="R177" s="29" t="s">
        <v>853</v>
      </c>
      <c r="X177" s="84" t="s">
        <v>1700</v>
      </c>
      <c r="Y177" s="84" t="s">
        <v>2352</v>
      </c>
      <c r="AA177" s="84" t="s">
        <v>2353</v>
      </c>
      <c r="AB177" s="84" t="s">
        <v>2351</v>
      </c>
      <c r="CB177" s="26">
        <v>42074</v>
      </c>
      <c r="CC177" s="26" t="s">
        <v>853</v>
      </c>
      <c r="CD177" s="8" t="s">
        <v>3546</v>
      </c>
      <c r="CE177" s="8">
        <v>207</v>
      </c>
      <c r="CF177" s="8">
        <v>104</v>
      </c>
      <c r="CG177" s="26"/>
      <c r="CH177" s="8"/>
      <c r="CM177" s="8"/>
      <c r="CR177" s="8"/>
    </row>
    <row r="178" spans="1:225" x14ac:dyDescent="0.25">
      <c r="A178" s="8" t="s">
        <v>2462</v>
      </c>
      <c r="B178" s="24" t="s">
        <v>2463</v>
      </c>
      <c r="C178" s="25" t="s">
        <v>2464</v>
      </c>
      <c r="E178" s="26" t="s">
        <v>896</v>
      </c>
      <c r="F178" s="198" t="s">
        <v>896</v>
      </c>
      <c r="G178" s="198" t="s">
        <v>1700</v>
      </c>
      <c r="H178" s="25" t="s">
        <v>2465</v>
      </c>
      <c r="J178" s="27" t="s">
        <v>866</v>
      </c>
      <c r="X178" s="84" t="s">
        <v>1700</v>
      </c>
      <c r="Y178" s="84" t="s">
        <v>258</v>
      </c>
      <c r="AA178" s="84" t="s">
        <v>2466</v>
      </c>
      <c r="AB178" s="84" t="s">
        <v>1749</v>
      </c>
      <c r="CB178" s="26"/>
      <c r="CC178" s="26"/>
      <c r="CF178" s="8"/>
      <c r="CG178" s="26"/>
      <c r="CH178" s="8"/>
      <c r="CM178" s="8"/>
      <c r="CR178" s="8"/>
    </row>
    <row r="179" spans="1:225" ht="13.5" x14ac:dyDescent="0.25">
      <c r="A179" s="8" t="s">
        <v>2973</v>
      </c>
      <c r="B179" s="24" t="s">
        <v>951</v>
      </c>
      <c r="D179" s="26">
        <v>27413</v>
      </c>
      <c r="E179" s="26" t="s">
        <v>877</v>
      </c>
      <c r="F179" s="198" t="s">
        <v>1700</v>
      </c>
      <c r="G179" s="198" t="s">
        <v>1700</v>
      </c>
      <c r="H179" s="25" t="s">
        <v>1700</v>
      </c>
      <c r="J179" s="27" t="s">
        <v>866</v>
      </c>
      <c r="R179" s="29" t="s">
        <v>817</v>
      </c>
      <c r="CB179" s="278"/>
      <c r="CD179" s="279"/>
      <c r="CG179" s="278"/>
      <c r="CH179" s="278"/>
      <c r="CI179" s="279"/>
      <c r="CK179" s="279"/>
      <c r="CL179" s="278"/>
      <c r="CM179" s="278"/>
      <c r="CN179" s="279"/>
      <c r="CP179" s="279"/>
      <c r="CQ179" s="278"/>
      <c r="CR179" s="279"/>
      <c r="CS179" s="279"/>
      <c r="CU179" s="279"/>
      <c r="CV179" s="278"/>
      <c r="CW179" s="279"/>
      <c r="CX179" s="279"/>
      <c r="CZ179" s="279"/>
      <c r="DA179" s="278"/>
      <c r="DB179" s="279"/>
      <c r="DC179" s="279"/>
      <c r="DE179" s="279"/>
      <c r="DF179" s="278"/>
      <c r="DG179" s="279"/>
      <c r="DH179" s="279"/>
      <c r="DJ179" s="279"/>
      <c r="DK179" s="278"/>
      <c r="DL179" s="279"/>
      <c r="DM179" s="279"/>
      <c r="DO179" s="279"/>
      <c r="DP179" s="278"/>
      <c r="DQ179" s="279"/>
      <c r="DR179" s="279"/>
      <c r="DT179" s="279"/>
      <c r="DU179" s="278"/>
      <c r="DV179" s="258"/>
      <c r="DW179" s="258"/>
      <c r="DY179" s="258"/>
    </row>
    <row r="180" spans="1:225" x14ac:dyDescent="0.25">
      <c r="A180" s="8" t="s">
        <v>3249</v>
      </c>
      <c r="B180" s="24" t="s">
        <v>926</v>
      </c>
      <c r="C180" s="25" t="s">
        <v>3248</v>
      </c>
      <c r="E180" s="26" t="s">
        <v>1762</v>
      </c>
      <c r="F180" s="198" t="s">
        <v>874</v>
      </c>
      <c r="G180" s="198" t="s">
        <v>1700</v>
      </c>
      <c r="H180" s="25" t="s">
        <v>3250</v>
      </c>
      <c r="J180" s="27" t="s">
        <v>866</v>
      </c>
      <c r="R180" s="29" t="s">
        <v>853</v>
      </c>
      <c r="X180" s="84" t="s">
        <v>1700</v>
      </c>
      <c r="Y180" s="84" t="s">
        <v>2499</v>
      </c>
      <c r="AA180" s="84" t="s">
        <v>3251</v>
      </c>
      <c r="AB180" s="84" t="s">
        <v>126</v>
      </c>
      <c r="CB180" s="26">
        <v>41977</v>
      </c>
      <c r="CC180" s="26" t="s">
        <v>853</v>
      </c>
      <c r="CD180" s="8" t="s">
        <v>3252</v>
      </c>
      <c r="CE180" s="8">
        <v>528.79999999999995</v>
      </c>
      <c r="CF180" s="8">
        <v>160</v>
      </c>
      <c r="CG180" s="26"/>
      <c r="CH180" s="8"/>
      <c r="CM180" s="8"/>
      <c r="CR180" s="8"/>
    </row>
    <row r="181" spans="1:225" x14ac:dyDescent="0.25">
      <c r="A181" s="8" t="s">
        <v>1893</v>
      </c>
      <c r="B181" s="24" t="s">
        <v>26</v>
      </c>
      <c r="C181" s="25" t="s">
        <v>1894</v>
      </c>
      <c r="E181" s="26" t="s">
        <v>1762</v>
      </c>
      <c r="F181" s="198" t="s">
        <v>932</v>
      </c>
      <c r="G181" s="198" t="s">
        <v>1700</v>
      </c>
      <c r="H181" s="25" t="s">
        <v>2931</v>
      </c>
      <c r="I181" s="27" t="s">
        <v>3904</v>
      </c>
      <c r="J181" s="27" t="s">
        <v>866</v>
      </c>
      <c r="K181" s="28" t="s">
        <v>853</v>
      </c>
      <c r="R181" s="29" t="s">
        <v>853</v>
      </c>
      <c r="W181" s="93">
        <v>160</v>
      </c>
      <c r="X181" s="84" t="s">
        <v>1700</v>
      </c>
      <c r="Y181" s="84" t="s">
        <v>2932</v>
      </c>
      <c r="AA181" s="84" t="s">
        <v>1895</v>
      </c>
      <c r="AB181" s="84" t="s">
        <v>51</v>
      </c>
      <c r="AC181" s="26">
        <v>42360</v>
      </c>
      <c r="AD181" s="26" t="s">
        <v>853</v>
      </c>
      <c r="AE181" s="8" t="s">
        <v>4563</v>
      </c>
      <c r="AF181" s="8">
        <v>525</v>
      </c>
      <c r="AG181" s="8">
        <v>160</v>
      </c>
      <c r="CB181" s="26">
        <v>41934</v>
      </c>
      <c r="CC181" s="26" t="s">
        <v>853</v>
      </c>
      <c r="CD181" s="8" t="s">
        <v>2933</v>
      </c>
      <c r="CE181" s="8">
        <v>135</v>
      </c>
      <c r="CF181" s="8">
        <v>68</v>
      </c>
      <c r="CG181" s="26">
        <v>42011</v>
      </c>
      <c r="CH181" s="8" t="s">
        <v>853</v>
      </c>
      <c r="CI181" s="8" t="s">
        <v>3390</v>
      </c>
      <c r="CJ181" s="8">
        <v>150</v>
      </c>
      <c r="CK181" s="8">
        <v>75</v>
      </c>
      <c r="CM181" s="8"/>
      <c r="CR181" s="8"/>
    </row>
    <row r="182" spans="1:225" x14ac:dyDescent="0.25">
      <c r="A182" s="8" t="s">
        <v>4295</v>
      </c>
      <c r="B182" s="24" t="s">
        <v>875</v>
      </c>
      <c r="C182" s="25" t="s">
        <v>4294</v>
      </c>
      <c r="E182" s="26" t="s">
        <v>1764</v>
      </c>
      <c r="F182" s="198" t="s">
        <v>1609</v>
      </c>
      <c r="G182" s="198" t="s">
        <v>1700</v>
      </c>
      <c r="H182" s="25" t="s">
        <v>4296</v>
      </c>
      <c r="I182" s="27" t="s">
        <v>3902</v>
      </c>
      <c r="J182" s="27" t="s">
        <v>866</v>
      </c>
      <c r="K182" s="28" t="s">
        <v>853</v>
      </c>
      <c r="W182" s="93">
        <v>160</v>
      </c>
      <c r="X182" s="84" t="s">
        <v>1700</v>
      </c>
      <c r="Y182" s="84" t="s">
        <v>2499</v>
      </c>
      <c r="AA182" s="84" t="s">
        <v>4297</v>
      </c>
      <c r="AB182" s="84" t="s">
        <v>126</v>
      </c>
      <c r="AC182" s="26">
        <v>42334</v>
      </c>
      <c r="AD182" s="26" t="s">
        <v>853</v>
      </c>
      <c r="AE182" s="8" t="s">
        <v>4298</v>
      </c>
      <c r="AF182" s="8">
        <v>348</v>
      </c>
      <c r="AG182" s="8">
        <v>160</v>
      </c>
      <c r="CB182" s="278"/>
      <c r="CG182" s="278"/>
    </row>
    <row r="183" spans="1:225" x14ac:dyDescent="0.25">
      <c r="A183" s="8" t="s">
        <v>4779</v>
      </c>
      <c r="B183" s="24" t="s">
        <v>4780</v>
      </c>
      <c r="F183" s="198" t="s">
        <v>1700</v>
      </c>
      <c r="G183" s="198" t="s">
        <v>1700</v>
      </c>
      <c r="H183" s="25" t="s">
        <v>1700</v>
      </c>
      <c r="I183" s="27" t="s">
        <v>3895</v>
      </c>
      <c r="J183" s="27" t="s">
        <v>866</v>
      </c>
      <c r="K183" s="28" t="s">
        <v>3907</v>
      </c>
      <c r="P183" s="17">
        <v>1</v>
      </c>
      <c r="CB183" s="278"/>
      <c r="CG183" s="278"/>
    </row>
    <row r="184" spans="1:225" x14ac:dyDescent="0.25">
      <c r="A184" s="19" t="s">
        <v>777</v>
      </c>
      <c r="B184" s="12" t="s">
        <v>880</v>
      </c>
      <c r="C184" s="13" t="s">
        <v>333</v>
      </c>
      <c r="D184" s="14"/>
      <c r="E184" s="14" t="s">
        <v>1762</v>
      </c>
      <c r="F184" s="199" t="s">
        <v>1849</v>
      </c>
      <c r="G184" s="199" t="s">
        <v>1700</v>
      </c>
      <c r="H184" s="13" t="s">
        <v>2391</v>
      </c>
      <c r="I184" s="22" t="s">
        <v>3896</v>
      </c>
      <c r="J184" s="20" t="s">
        <v>866</v>
      </c>
      <c r="K184" s="17" t="s">
        <v>853</v>
      </c>
      <c r="L184" s="21"/>
      <c r="M184" s="21"/>
      <c r="N184" s="21"/>
      <c r="O184" s="21"/>
      <c r="Q184" s="95"/>
      <c r="R184" s="17" t="s">
        <v>853</v>
      </c>
      <c r="S184" s="29"/>
      <c r="T184" s="29"/>
      <c r="U184" s="29"/>
      <c r="V184" s="29"/>
      <c r="W184" s="95">
        <v>78</v>
      </c>
      <c r="X184" s="86" t="s">
        <v>1700</v>
      </c>
      <c r="Y184" s="86" t="s">
        <v>2499</v>
      </c>
      <c r="Z184" s="86"/>
      <c r="AA184" s="86" t="s">
        <v>60</v>
      </c>
      <c r="AB184" s="84" t="s">
        <v>126</v>
      </c>
      <c r="AC184" s="26">
        <v>42493</v>
      </c>
      <c r="AD184" s="26" t="s">
        <v>853</v>
      </c>
      <c r="AE184" s="19" t="s">
        <v>4813</v>
      </c>
      <c r="AF184" s="19">
        <v>156</v>
      </c>
      <c r="AG184" s="19">
        <v>78</v>
      </c>
      <c r="AI184" s="19"/>
      <c r="AJ184" s="19"/>
      <c r="AK184" s="19"/>
      <c r="AL184" s="19"/>
      <c r="AN184" s="19"/>
      <c r="AO184" s="19"/>
      <c r="AP184" s="19"/>
      <c r="AQ184" s="19"/>
      <c r="AS184" s="19"/>
      <c r="AT184" s="19"/>
      <c r="AU184" s="19"/>
      <c r="AV184" s="19"/>
      <c r="AX184" s="19"/>
      <c r="AY184" s="19"/>
      <c r="AZ184" s="19"/>
      <c r="BA184" s="19"/>
      <c r="BC184" s="19"/>
      <c r="BD184" s="19"/>
      <c r="BE184" s="19"/>
      <c r="BF184" s="19"/>
      <c r="BH184" s="19"/>
      <c r="BI184" s="19"/>
      <c r="BJ184" s="19"/>
      <c r="BK184" s="19"/>
      <c r="BM184" s="19"/>
      <c r="BN184" s="19"/>
      <c r="BO184" s="19"/>
      <c r="BP184" s="19"/>
      <c r="BR184" s="19"/>
      <c r="BS184" s="19"/>
      <c r="BT184" s="19"/>
      <c r="BU184" s="19"/>
      <c r="BV184" s="8"/>
      <c r="BY184" s="19"/>
      <c r="CA184" s="19"/>
      <c r="CB184" s="26">
        <v>42032</v>
      </c>
      <c r="CC184" s="26" t="s">
        <v>853</v>
      </c>
      <c r="CD184" s="19" t="s">
        <v>3482</v>
      </c>
      <c r="CE184" s="19">
        <v>156</v>
      </c>
      <c r="CF184" s="19">
        <v>78</v>
      </c>
      <c r="CG184" s="26"/>
      <c r="CH184" s="19"/>
      <c r="CI184" s="19"/>
      <c r="CJ184" s="19"/>
      <c r="CK184" s="19"/>
      <c r="CM184" s="19"/>
      <c r="CN184" s="19"/>
      <c r="CO184" s="19"/>
      <c r="CP184" s="19"/>
      <c r="CR184" s="19"/>
      <c r="CS184" s="19"/>
      <c r="CT184" s="19"/>
      <c r="CU184" s="19"/>
      <c r="CW184" s="19"/>
      <c r="CX184" s="19"/>
      <c r="CY184" s="19"/>
      <c r="CZ184" s="19"/>
      <c r="DB184" s="19"/>
      <c r="DC184" s="19"/>
      <c r="DD184" s="19"/>
      <c r="DE184" s="19"/>
      <c r="DG184" s="19"/>
      <c r="DH184" s="19"/>
      <c r="DI184" s="19"/>
      <c r="DJ184" s="19"/>
      <c r="DL184" s="19"/>
      <c r="DM184" s="19"/>
      <c r="DN184" s="19"/>
      <c r="DO184" s="19"/>
      <c r="DQ184" s="19"/>
      <c r="DR184" s="19"/>
      <c r="DS184" s="19"/>
      <c r="DT184" s="19"/>
      <c r="DU184" s="8"/>
    </row>
    <row r="185" spans="1:225" x14ac:dyDescent="0.25">
      <c r="A185" s="8" t="s">
        <v>2997</v>
      </c>
      <c r="B185" s="24" t="s">
        <v>969</v>
      </c>
      <c r="C185" s="25" t="s">
        <v>2998</v>
      </c>
      <c r="E185" s="26" t="s">
        <v>1762</v>
      </c>
      <c r="F185" s="198" t="s">
        <v>367</v>
      </c>
      <c r="G185" s="198" t="s">
        <v>1700</v>
      </c>
      <c r="H185" s="25" t="s">
        <v>2999</v>
      </c>
      <c r="I185" s="27" t="s">
        <v>3903</v>
      </c>
      <c r="J185" s="27" t="s">
        <v>866</v>
      </c>
      <c r="K185" s="28" t="s">
        <v>853</v>
      </c>
      <c r="R185" s="29" t="s">
        <v>853</v>
      </c>
      <c r="W185" s="93">
        <v>41</v>
      </c>
      <c r="X185" s="84" t="s">
        <v>1700</v>
      </c>
      <c r="Y185" s="84" t="s">
        <v>2499</v>
      </c>
      <c r="AA185" s="84" t="s">
        <v>4398</v>
      </c>
      <c r="AB185" s="84" t="s">
        <v>126</v>
      </c>
      <c r="AC185" s="26">
        <v>42352</v>
      </c>
      <c r="AD185" s="26" t="s">
        <v>853</v>
      </c>
      <c r="AE185" s="8" t="s">
        <v>4399</v>
      </c>
      <c r="AF185" s="8">
        <v>83.62</v>
      </c>
      <c r="AG185" s="8">
        <v>41</v>
      </c>
      <c r="CB185" s="26">
        <v>41943</v>
      </c>
      <c r="CC185" s="26" t="s">
        <v>853</v>
      </c>
      <c r="CD185" s="8" t="s">
        <v>3000</v>
      </c>
      <c r="CE185" s="8">
        <v>82.62</v>
      </c>
      <c r="CF185" s="8">
        <v>42</v>
      </c>
      <c r="CG185" s="26"/>
      <c r="CH185" s="8"/>
      <c r="CM185" s="8"/>
      <c r="CR185" s="8"/>
    </row>
    <row r="186" spans="1:225" x14ac:dyDescent="0.25">
      <c r="A186" s="8" t="s">
        <v>2474</v>
      </c>
      <c r="B186" s="24" t="s">
        <v>216</v>
      </c>
      <c r="F186" s="198" t="s">
        <v>1700</v>
      </c>
      <c r="G186" s="198" t="s">
        <v>1700</v>
      </c>
      <c r="H186" s="25" t="s">
        <v>1700</v>
      </c>
      <c r="J186" s="27" t="s">
        <v>866</v>
      </c>
      <c r="R186" s="29" t="s">
        <v>889</v>
      </c>
      <c r="CB186" s="26"/>
      <c r="CC186" s="26"/>
      <c r="CF186" s="8"/>
      <c r="CG186" s="26"/>
      <c r="CH186" s="8"/>
      <c r="CM186" s="8"/>
      <c r="CR186" s="8"/>
    </row>
    <row r="187" spans="1:225" x14ac:dyDescent="0.25">
      <c r="A187" s="8" t="s">
        <v>662</v>
      </c>
      <c r="B187" s="24" t="s">
        <v>663</v>
      </c>
      <c r="C187" s="25" t="s">
        <v>664</v>
      </c>
      <c r="E187" s="26" t="s">
        <v>1762</v>
      </c>
      <c r="F187" s="198" t="s">
        <v>788</v>
      </c>
      <c r="G187" s="198" t="s">
        <v>1700</v>
      </c>
      <c r="H187" s="25" t="s">
        <v>2681</v>
      </c>
      <c r="I187" s="27" t="s">
        <v>3902</v>
      </c>
      <c r="J187" s="27" t="s">
        <v>866</v>
      </c>
      <c r="K187" s="28" t="s">
        <v>853</v>
      </c>
      <c r="R187" s="29" t="s">
        <v>853</v>
      </c>
      <c r="W187" s="93">
        <v>160</v>
      </c>
      <c r="X187" s="84" t="s">
        <v>1700</v>
      </c>
      <c r="Y187" s="84" t="s">
        <v>791</v>
      </c>
      <c r="AA187" s="84" t="s">
        <v>678</v>
      </c>
      <c r="AB187" s="84" t="s">
        <v>126</v>
      </c>
      <c r="AC187" s="26">
        <v>42313</v>
      </c>
      <c r="AD187" s="26" t="s">
        <v>853</v>
      </c>
      <c r="AE187" s="8" t="s">
        <v>4223</v>
      </c>
      <c r="AF187" s="8">
        <v>800</v>
      </c>
      <c r="AG187" s="8">
        <v>160</v>
      </c>
      <c r="CB187" s="26">
        <v>41921</v>
      </c>
      <c r="CC187" s="26" t="s">
        <v>853</v>
      </c>
      <c r="CD187" s="8" t="s">
        <v>2682</v>
      </c>
      <c r="CE187" s="8">
        <v>500</v>
      </c>
      <c r="CF187" s="8">
        <v>160</v>
      </c>
      <c r="CG187" s="26"/>
      <c r="CH187" s="8"/>
      <c r="CM187" s="8"/>
      <c r="CR187" s="8"/>
    </row>
    <row r="188" spans="1:225" x14ac:dyDescent="0.25">
      <c r="A188" s="8" t="s">
        <v>1035</v>
      </c>
      <c r="B188" s="24" t="s">
        <v>894</v>
      </c>
      <c r="C188" s="25" t="s">
        <v>1036</v>
      </c>
      <c r="E188" s="26" t="s">
        <v>1762</v>
      </c>
      <c r="F188" s="198" t="s">
        <v>968</v>
      </c>
      <c r="G188" s="198" t="s">
        <v>1700</v>
      </c>
      <c r="H188" s="25" t="s">
        <v>2440</v>
      </c>
      <c r="J188" s="27" t="s">
        <v>866</v>
      </c>
      <c r="X188" s="84" t="s">
        <v>1700</v>
      </c>
      <c r="Y188" s="84" t="s">
        <v>59</v>
      </c>
      <c r="AA188" s="84" t="s">
        <v>1037</v>
      </c>
      <c r="AB188" s="84" t="s">
        <v>590</v>
      </c>
      <c r="CB188" s="26"/>
      <c r="CC188" s="26"/>
      <c r="CF188" s="8"/>
      <c r="CG188" s="26"/>
      <c r="CH188" s="8"/>
      <c r="CM188" s="8"/>
      <c r="CR188" s="8"/>
      <c r="DZ188" s="19"/>
      <c r="EB188" s="19"/>
      <c r="EC188" s="19"/>
      <c r="ED188" s="19"/>
      <c r="EE188" s="19"/>
      <c r="EF188" s="19"/>
      <c r="EG188" s="19"/>
      <c r="EH188" s="19"/>
      <c r="EI188" s="19"/>
      <c r="EJ188" s="19"/>
      <c r="EK188" s="19"/>
      <c r="EL188" s="19"/>
      <c r="EN188" s="19"/>
      <c r="EO188" s="19"/>
      <c r="EP188" s="19"/>
      <c r="EQ188" s="19"/>
      <c r="ER188" s="19"/>
      <c r="ES188" s="19"/>
      <c r="ET188" s="19"/>
      <c r="EU188" s="19"/>
      <c r="EV188" s="19"/>
      <c r="EW188" s="19"/>
      <c r="EX188" s="19"/>
      <c r="EZ188" s="19"/>
      <c r="FA188" s="19"/>
      <c r="FB188" s="19"/>
      <c r="FC188" s="19"/>
      <c r="FD188" s="19"/>
      <c r="FE188" s="19"/>
      <c r="FF188" s="19"/>
      <c r="FG188" s="19"/>
      <c r="FH188" s="19"/>
      <c r="FI188" s="19"/>
      <c r="FJ188" s="19"/>
      <c r="FL188" s="19"/>
      <c r="FM188" s="19"/>
      <c r="FN188" s="19"/>
      <c r="FO188" s="19"/>
      <c r="FP188" s="19"/>
      <c r="FQ188" s="19"/>
      <c r="FR188" s="19"/>
      <c r="FS188" s="19"/>
      <c r="FT188" s="19"/>
      <c r="FU188" s="19"/>
      <c r="FV188" s="19"/>
      <c r="FX188" s="19"/>
      <c r="FY188" s="19"/>
      <c r="FZ188" s="19"/>
      <c r="GA188" s="19"/>
      <c r="GB188" s="19"/>
      <c r="GC188" s="19"/>
      <c r="GD188" s="19"/>
      <c r="GE188" s="19"/>
      <c r="GF188" s="19"/>
      <c r="GG188" s="19"/>
      <c r="GH188" s="19"/>
      <c r="GJ188" s="19"/>
      <c r="GK188" s="19"/>
      <c r="GL188" s="19"/>
      <c r="GM188" s="19"/>
      <c r="GN188" s="19"/>
      <c r="GO188" s="19"/>
      <c r="GP188" s="19"/>
      <c r="GQ188" s="19"/>
      <c r="GR188" s="19"/>
      <c r="GS188" s="19"/>
      <c r="GT188" s="19"/>
      <c r="GV188" s="19"/>
      <c r="GW188" s="19"/>
      <c r="GX188" s="19"/>
      <c r="GY188" s="19"/>
      <c r="GZ188" s="19"/>
      <c r="HA188" s="19"/>
      <c r="HB188" s="19"/>
      <c r="HC188" s="19"/>
      <c r="HD188" s="19"/>
      <c r="HE188" s="19"/>
      <c r="HF188" s="19"/>
      <c r="HH188" s="19"/>
      <c r="HI188" s="19"/>
      <c r="HJ188" s="19"/>
      <c r="HK188" s="19"/>
      <c r="HL188" s="19"/>
      <c r="HM188" s="19"/>
      <c r="HN188" s="19"/>
      <c r="HO188" s="19"/>
      <c r="HP188" s="19"/>
      <c r="HQ188" s="19"/>
    </row>
    <row r="189" spans="1:225" x14ac:dyDescent="0.25">
      <c r="A189" s="8" t="s">
        <v>1008</v>
      </c>
      <c r="B189" s="24" t="s">
        <v>1579</v>
      </c>
      <c r="F189" s="198" t="s">
        <v>1700</v>
      </c>
      <c r="G189" s="198" t="s">
        <v>1700</v>
      </c>
      <c r="H189" s="25" t="s">
        <v>1700</v>
      </c>
      <c r="J189" s="27" t="s">
        <v>866</v>
      </c>
      <c r="CB189" s="26"/>
      <c r="CC189" s="26"/>
      <c r="CF189" s="8"/>
      <c r="CG189" s="26"/>
      <c r="CH189" s="8"/>
      <c r="CM189" s="8"/>
      <c r="CR189" s="8"/>
      <c r="DZ189" s="19"/>
    </row>
    <row r="190" spans="1:225" x14ac:dyDescent="0.25">
      <c r="A190" s="8" t="s">
        <v>1207</v>
      </c>
      <c r="B190" s="24" t="s">
        <v>956</v>
      </c>
      <c r="D190" s="26">
        <v>17971</v>
      </c>
      <c r="E190" s="26" t="s">
        <v>1846</v>
      </c>
      <c r="F190" s="198" t="s">
        <v>1700</v>
      </c>
      <c r="G190" s="198" t="s">
        <v>1700</v>
      </c>
      <c r="H190" s="25" t="s">
        <v>1700</v>
      </c>
      <c r="I190" s="27" t="s">
        <v>3902</v>
      </c>
      <c r="J190" s="27" t="s">
        <v>866</v>
      </c>
      <c r="K190" s="28" t="s">
        <v>817</v>
      </c>
      <c r="R190" s="29" t="s">
        <v>817</v>
      </c>
      <c r="CA190" s="19"/>
      <c r="CB190" s="278"/>
      <c r="CD190" s="257"/>
      <c r="CG190" s="278"/>
      <c r="CH190" s="278"/>
      <c r="CI190" s="257"/>
      <c r="CK190" s="279"/>
      <c r="CL190" s="278"/>
      <c r="CM190" s="278"/>
      <c r="CN190" s="257"/>
      <c r="CP190" s="279"/>
      <c r="CQ190" s="278"/>
      <c r="CR190" s="257"/>
      <c r="CS190" s="257"/>
      <c r="CU190" s="257"/>
      <c r="CV190" s="278"/>
      <c r="CW190" s="257"/>
      <c r="CX190" s="257"/>
      <c r="CZ190" s="257"/>
      <c r="DA190" s="278"/>
      <c r="DB190" s="257"/>
      <c r="DC190" s="257"/>
      <c r="DE190" s="257"/>
      <c r="DF190" s="278"/>
      <c r="DG190" s="257"/>
      <c r="DH190" s="257"/>
      <c r="DJ190" s="257"/>
      <c r="DK190" s="278"/>
      <c r="DL190" s="257"/>
      <c r="DM190" s="257"/>
      <c r="DO190" s="257"/>
      <c r="DP190" s="278"/>
      <c r="DQ190" s="257"/>
      <c r="DR190" s="257"/>
      <c r="DT190" s="257"/>
      <c r="DU190" s="278"/>
      <c r="DV190" s="257"/>
      <c r="DW190" s="257"/>
      <c r="DY190" s="257"/>
    </row>
    <row r="191" spans="1:225" x14ac:dyDescent="0.25">
      <c r="A191" s="8" t="s">
        <v>1207</v>
      </c>
      <c r="B191" s="24" t="s">
        <v>2980</v>
      </c>
      <c r="D191" s="26">
        <v>18189</v>
      </c>
      <c r="E191" s="26" t="s">
        <v>877</v>
      </c>
      <c r="F191" s="198" t="s">
        <v>1700</v>
      </c>
      <c r="G191" s="198" t="s">
        <v>1700</v>
      </c>
      <c r="H191" s="25" t="s">
        <v>1700</v>
      </c>
      <c r="J191" s="27" t="s">
        <v>866</v>
      </c>
      <c r="R191" s="29" t="s">
        <v>817</v>
      </c>
      <c r="CB191" s="278"/>
      <c r="CD191" s="279"/>
      <c r="CE191" s="19"/>
      <c r="CG191" s="278"/>
      <c r="CH191" s="278"/>
      <c r="CI191" s="279"/>
      <c r="CJ191" s="19"/>
      <c r="CK191" s="279"/>
      <c r="CL191" s="278"/>
      <c r="CM191" s="278"/>
      <c r="CN191" s="279"/>
      <c r="CO191" s="19"/>
      <c r="CP191" s="279"/>
      <c r="CQ191" s="278"/>
      <c r="CR191" s="279"/>
      <c r="CS191" s="279"/>
      <c r="CT191" s="19"/>
      <c r="CU191" s="279"/>
      <c r="CV191" s="278"/>
      <c r="CW191" s="279"/>
      <c r="CX191" s="279"/>
      <c r="CY191" s="19"/>
      <c r="CZ191" s="279"/>
      <c r="DA191" s="278"/>
      <c r="DB191" s="279"/>
      <c r="DC191" s="279"/>
      <c r="DD191" s="19"/>
      <c r="DE191" s="279"/>
      <c r="DF191" s="278"/>
      <c r="DG191" s="279"/>
      <c r="DH191" s="279"/>
      <c r="DI191" s="19"/>
      <c r="DJ191" s="279"/>
      <c r="DK191" s="278"/>
      <c r="DL191" s="279"/>
      <c r="DM191" s="279"/>
      <c r="DN191" s="19"/>
      <c r="DO191" s="279"/>
      <c r="DP191" s="278"/>
      <c r="DQ191" s="279"/>
      <c r="DR191" s="279"/>
      <c r="DS191" s="19"/>
      <c r="DT191" s="279"/>
      <c r="DU191" s="278"/>
      <c r="DV191" s="279"/>
      <c r="DW191" s="279"/>
      <c r="DX191" s="19"/>
      <c r="DY191" s="279"/>
    </row>
    <row r="192" spans="1:225" x14ac:dyDescent="0.25">
      <c r="A192" s="8" t="s">
        <v>3167</v>
      </c>
      <c r="B192" s="24" t="s">
        <v>966</v>
      </c>
      <c r="C192" s="25" t="s">
        <v>843</v>
      </c>
      <c r="E192" s="26" t="s">
        <v>1762</v>
      </c>
      <c r="F192" s="198" t="s">
        <v>722</v>
      </c>
      <c r="G192" s="198" t="s">
        <v>1700</v>
      </c>
      <c r="H192" s="25" t="s">
        <v>3168</v>
      </c>
      <c r="J192" s="27" t="s">
        <v>866</v>
      </c>
      <c r="R192" s="29" t="s">
        <v>853</v>
      </c>
      <c r="X192" s="84" t="s">
        <v>1700</v>
      </c>
      <c r="Y192" s="84" t="s">
        <v>1473</v>
      </c>
      <c r="AA192" s="84" t="s">
        <v>545</v>
      </c>
      <c r="AB192" s="84" t="s">
        <v>1474</v>
      </c>
      <c r="CB192" s="26">
        <v>41977</v>
      </c>
      <c r="CC192" s="26" t="s">
        <v>853</v>
      </c>
      <c r="CD192" s="8" t="s">
        <v>3169</v>
      </c>
      <c r="CE192" s="8">
        <v>380</v>
      </c>
      <c r="CF192" s="8">
        <v>160</v>
      </c>
      <c r="CG192" s="26"/>
      <c r="CH192" s="8"/>
      <c r="CM192" s="8"/>
      <c r="CR192" s="8"/>
    </row>
    <row r="193" spans="1:225" x14ac:dyDescent="0.25">
      <c r="A193" s="8" t="s">
        <v>2303</v>
      </c>
      <c r="B193" s="24" t="s">
        <v>2151</v>
      </c>
      <c r="C193" s="25" t="s">
        <v>2304</v>
      </c>
      <c r="E193" s="26" t="s">
        <v>1762</v>
      </c>
      <c r="F193" s="198" t="s">
        <v>1700</v>
      </c>
      <c r="G193" s="198" t="s">
        <v>1700</v>
      </c>
      <c r="H193" s="25" t="s">
        <v>1700</v>
      </c>
      <c r="J193" s="27" t="s">
        <v>866</v>
      </c>
      <c r="X193" s="84" t="s">
        <v>1700</v>
      </c>
      <c r="Y193" s="84" t="s">
        <v>2305</v>
      </c>
      <c r="AA193" s="84" t="s">
        <v>2306</v>
      </c>
      <c r="AB193" s="84" t="s">
        <v>1957</v>
      </c>
      <c r="CB193" s="26"/>
      <c r="CC193" s="26"/>
      <c r="CF193" s="8"/>
      <c r="CG193" s="26"/>
      <c r="CH193" s="8"/>
      <c r="CM193" s="8"/>
      <c r="CR193" s="8"/>
    </row>
    <row r="194" spans="1:225" x14ac:dyDescent="0.25">
      <c r="A194" s="8" t="s">
        <v>4574</v>
      </c>
      <c r="B194" s="24" t="s">
        <v>1471</v>
      </c>
      <c r="C194" s="25" t="s">
        <v>4573</v>
      </c>
      <c r="E194" s="26" t="s">
        <v>1762</v>
      </c>
      <c r="F194" s="198" t="s">
        <v>1201</v>
      </c>
      <c r="G194" s="198" t="s">
        <v>1700</v>
      </c>
      <c r="H194" s="25" t="s">
        <v>4575</v>
      </c>
      <c r="I194" s="27" t="s">
        <v>3904</v>
      </c>
      <c r="J194" s="27" t="s">
        <v>866</v>
      </c>
      <c r="K194" s="28" t="s">
        <v>853</v>
      </c>
      <c r="W194" s="93">
        <v>89</v>
      </c>
      <c r="X194" s="84" t="s">
        <v>1700</v>
      </c>
      <c r="Y194" s="84" t="s">
        <v>2499</v>
      </c>
      <c r="AA194" s="84" t="s">
        <v>4576</v>
      </c>
      <c r="AB194" s="84" t="s">
        <v>126</v>
      </c>
      <c r="AC194" s="26">
        <v>42360</v>
      </c>
      <c r="AD194" s="26" t="s">
        <v>853</v>
      </c>
      <c r="AE194" s="8" t="s">
        <v>4577</v>
      </c>
      <c r="AF194" s="8">
        <v>189</v>
      </c>
      <c r="AG194" s="8">
        <v>89</v>
      </c>
      <c r="CB194" s="278"/>
      <c r="CG194" s="278"/>
    </row>
    <row r="195" spans="1:225" x14ac:dyDescent="0.25">
      <c r="A195" s="8" t="s">
        <v>529</v>
      </c>
      <c r="B195" s="24" t="s">
        <v>1549</v>
      </c>
      <c r="C195" s="25" t="s">
        <v>530</v>
      </c>
      <c r="E195" s="26" t="s">
        <v>1762</v>
      </c>
      <c r="F195" s="198" t="s">
        <v>1899</v>
      </c>
      <c r="G195" s="198" t="s">
        <v>1700</v>
      </c>
      <c r="H195" s="25" t="s">
        <v>1700</v>
      </c>
      <c r="J195" s="27" t="s">
        <v>866</v>
      </c>
      <c r="X195" s="84" t="s">
        <v>1700</v>
      </c>
      <c r="Y195" s="84" t="s">
        <v>791</v>
      </c>
      <c r="AA195" s="84" t="s">
        <v>531</v>
      </c>
      <c r="AB195" s="84" t="s">
        <v>126</v>
      </c>
      <c r="CB195" s="26"/>
      <c r="CC195" s="26"/>
      <c r="CF195" s="8"/>
      <c r="CG195" s="26"/>
      <c r="CH195" s="8"/>
      <c r="CM195" s="8"/>
      <c r="CR195" s="8"/>
    </row>
    <row r="196" spans="1:225" x14ac:dyDescent="0.25">
      <c r="A196" s="8" t="s">
        <v>4517</v>
      </c>
      <c r="B196" s="24" t="s">
        <v>1991</v>
      </c>
      <c r="C196" s="25" t="s">
        <v>4516</v>
      </c>
      <c r="E196" s="26" t="s">
        <v>1764</v>
      </c>
      <c r="F196" s="198" t="s">
        <v>1448</v>
      </c>
      <c r="G196" s="198" t="s">
        <v>1700</v>
      </c>
      <c r="H196" s="25" t="s">
        <v>4518</v>
      </c>
      <c r="I196" s="27" t="s">
        <v>3903</v>
      </c>
      <c r="J196" s="27" t="s">
        <v>866</v>
      </c>
      <c r="K196" s="28" t="s">
        <v>853</v>
      </c>
      <c r="W196" s="93">
        <v>105</v>
      </c>
      <c r="X196" s="84" t="s">
        <v>1700</v>
      </c>
      <c r="Y196" s="84" t="s">
        <v>2499</v>
      </c>
      <c r="AA196" s="84" t="s">
        <v>4519</v>
      </c>
      <c r="AB196" s="84" t="s">
        <v>126</v>
      </c>
      <c r="AC196" s="26">
        <v>42360</v>
      </c>
      <c r="AD196" s="26" t="s">
        <v>853</v>
      </c>
      <c r="AE196" s="8" t="s">
        <v>4520</v>
      </c>
      <c r="AF196" s="8">
        <v>210</v>
      </c>
      <c r="AG196" s="8">
        <v>105</v>
      </c>
      <c r="CB196" s="278"/>
      <c r="CG196" s="278"/>
    </row>
    <row r="197" spans="1:225" x14ac:dyDescent="0.25">
      <c r="A197" s="8" t="s">
        <v>1834</v>
      </c>
      <c r="B197" s="24" t="s">
        <v>2054</v>
      </c>
      <c r="C197" s="25" t="s">
        <v>2264</v>
      </c>
      <c r="F197" s="198" t="s">
        <v>1700</v>
      </c>
      <c r="G197" s="198" t="s">
        <v>1700</v>
      </c>
      <c r="H197" s="25" t="s">
        <v>1700</v>
      </c>
      <c r="J197" s="27" t="s">
        <v>866</v>
      </c>
      <c r="CB197" s="26"/>
      <c r="CC197" s="26"/>
      <c r="CF197" s="8"/>
      <c r="CG197" s="26"/>
      <c r="CH197" s="8"/>
      <c r="CM197" s="8"/>
      <c r="CR197" s="8"/>
    </row>
    <row r="198" spans="1:225" x14ac:dyDescent="0.25">
      <c r="A198" s="8" t="s">
        <v>369</v>
      </c>
      <c r="B198" s="24" t="s">
        <v>969</v>
      </c>
      <c r="F198" s="198" t="s">
        <v>1700</v>
      </c>
      <c r="G198" s="198" t="s">
        <v>1700</v>
      </c>
      <c r="H198" s="25" t="s">
        <v>1700</v>
      </c>
      <c r="I198" s="27" t="s">
        <v>3902</v>
      </c>
      <c r="J198" s="27" t="s">
        <v>866</v>
      </c>
      <c r="K198" s="28" t="s">
        <v>3907</v>
      </c>
      <c r="P198" s="17">
        <v>1</v>
      </c>
      <c r="CB198" s="26"/>
      <c r="CC198" s="26"/>
      <c r="CF198" s="8"/>
      <c r="CG198" s="26"/>
      <c r="CH198" s="8"/>
      <c r="CM198" s="8"/>
      <c r="CR198" s="8"/>
    </row>
    <row r="199" spans="1:225" x14ac:dyDescent="0.25">
      <c r="A199" s="8" t="s">
        <v>4820</v>
      </c>
      <c r="B199" s="24" t="s">
        <v>973</v>
      </c>
      <c r="E199" s="26" t="s">
        <v>1762</v>
      </c>
      <c r="F199" s="198" t="s">
        <v>1700</v>
      </c>
      <c r="G199" s="198" t="s">
        <v>1700</v>
      </c>
      <c r="H199" s="25" t="s">
        <v>1700</v>
      </c>
      <c r="I199" s="27" t="s">
        <v>3901</v>
      </c>
      <c r="J199" s="27" t="s">
        <v>866</v>
      </c>
      <c r="K199" s="28" t="s">
        <v>3908</v>
      </c>
      <c r="CB199" s="278"/>
      <c r="CG199" s="278"/>
    </row>
    <row r="200" spans="1:225" x14ac:dyDescent="0.25">
      <c r="A200" s="8" t="s">
        <v>573</v>
      </c>
      <c r="B200" s="24" t="s">
        <v>574</v>
      </c>
      <c r="E200" s="26" t="s">
        <v>877</v>
      </c>
      <c r="F200" s="198" t="s">
        <v>1700</v>
      </c>
      <c r="G200" s="198" t="s">
        <v>1700</v>
      </c>
      <c r="H200" s="25" t="s">
        <v>1700</v>
      </c>
      <c r="J200" s="27" t="s">
        <v>866</v>
      </c>
      <c r="CB200" s="278"/>
      <c r="CD200" s="279"/>
      <c r="CG200" s="278"/>
      <c r="CH200" s="278"/>
      <c r="CI200" s="279"/>
      <c r="CK200" s="279"/>
      <c r="CL200" s="277"/>
      <c r="CM200" s="278"/>
      <c r="CN200" s="279"/>
      <c r="CP200" s="279"/>
      <c r="CQ200" s="278"/>
      <c r="CR200" s="279"/>
      <c r="CS200" s="279"/>
      <c r="CU200" s="279"/>
      <c r="CV200" s="278"/>
      <c r="CW200" s="279"/>
      <c r="CX200" s="279"/>
      <c r="CZ200" s="279"/>
      <c r="DA200" s="278"/>
      <c r="DB200" s="279"/>
      <c r="DC200" s="279"/>
      <c r="DE200" s="279"/>
      <c r="DF200" s="278"/>
      <c r="DG200" s="279"/>
      <c r="DH200" s="279"/>
      <c r="DJ200" s="279"/>
      <c r="DK200" s="278"/>
      <c r="DL200" s="279"/>
      <c r="DM200" s="279"/>
      <c r="DO200" s="279"/>
      <c r="DP200" s="278"/>
      <c r="DQ200" s="279"/>
      <c r="DR200" s="279"/>
      <c r="DT200" s="279"/>
      <c r="DU200" s="278"/>
      <c r="DV200" s="279"/>
      <c r="DW200" s="279"/>
      <c r="DY200" s="279"/>
      <c r="EB200" s="19"/>
      <c r="EC200" s="19"/>
      <c r="ED200" s="19"/>
      <c r="EE200" s="19"/>
      <c r="EF200" s="19"/>
      <c r="EG200" s="19"/>
      <c r="EH200" s="19"/>
      <c r="EI200" s="19"/>
      <c r="EJ200" s="19"/>
      <c r="EK200" s="19"/>
      <c r="EL200" s="19"/>
      <c r="EN200" s="19"/>
      <c r="EO200" s="19"/>
      <c r="EP200" s="19"/>
      <c r="EQ200" s="19"/>
      <c r="ER200" s="19"/>
      <c r="ES200" s="19"/>
      <c r="ET200" s="19"/>
      <c r="EU200" s="19"/>
      <c r="EV200" s="19"/>
      <c r="EW200" s="19"/>
      <c r="EX200" s="19"/>
      <c r="EZ200" s="19"/>
      <c r="FA200" s="19"/>
      <c r="FB200" s="19"/>
      <c r="FC200" s="19"/>
      <c r="FD200" s="19"/>
      <c r="FE200" s="19"/>
      <c r="FF200" s="19"/>
      <c r="FG200" s="19"/>
      <c r="FH200" s="19"/>
      <c r="FI200" s="19"/>
      <c r="FJ200" s="19"/>
      <c r="FL200" s="19"/>
      <c r="FM200" s="19"/>
      <c r="FN200" s="19"/>
      <c r="FO200" s="19"/>
      <c r="FP200" s="19"/>
      <c r="FQ200" s="19"/>
      <c r="FR200" s="19"/>
      <c r="FS200" s="19"/>
      <c r="FT200" s="19"/>
      <c r="FU200" s="19"/>
      <c r="FV200" s="19"/>
      <c r="FX200" s="19"/>
      <c r="FY200" s="19"/>
      <c r="FZ200" s="19"/>
      <c r="GA200" s="19"/>
      <c r="GB200" s="19"/>
      <c r="GC200" s="19"/>
      <c r="GD200" s="19"/>
      <c r="GE200" s="19"/>
      <c r="GF200" s="19"/>
      <c r="GG200" s="19"/>
      <c r="GH200" s="19"/>
      <c r="GJ200" s="19"/>
      <c r="GK200" s="19"/>
      <c r="GL200" s="19"/>
      <c r="GM200" s="19"/>
      <c r="GN200" s="19"/>
      <c r="GO200" s="19"/>
      <c r="GP200" s="19"/>
      <c r="GQ200" s="19"/>
      <c r="GR200" s="19"/>
      <c r="GS200" s="19"/>
      <c r="GT200" s="19"/>
      <c r="GV200" s="19"/>
      <c r="GW200" s="19"/>
      <c r="GX200" s="19"/>
      <c r="GY200" s="19"/>
      <c r="GZ200" s="19"/>
      <c r="HA200" s="19"/>
      <c r="HB200" s="19"/>
      <c r="HC200" s="19"/>
      <c r="HD200" s="19"/>
      <c r="HE200" s="19"/>
      <c r="HF200" s="19"/>
      <c r="HH200" s="19"/>
      <c r="HI200" s="19"/>
      <c r="HJ200" s="19"/>
      <c r="HK200" s="19"/>
      <c r="HL200" s="19"/>
      <c r="HM200" s="19"/>
      <c r="HN200" s="19"/>
      <c r="HO200" s="19"/>
      <c r="HP200" s="19"/>
      <c r="HQ200" s="19"/>
    </row>
    <row r="201" spans="1:225" x14ac:dyDescent="0.25">
      <c r="A201" s="8" t="s">
        <v>2420</v>
      </c>
      <c r="B201" s="24" t="s">
        <v>2421</v>
      </c>
      <c r="C201" s="25" t="s">
        <v>2422</v>
      </c>
      <c r="E201" s="26" t="s">
        <v>1762</v>
      </c>
      <c r="F201" s="198" t="s">
        <v>1616</v>
      </c>
      <c r="G201" s="198" t="s">
        <v>1700</v>
      </c>
      <c r="H201" s="25" t="s">
        <v>2423</v>
      </c>
      <c r="J201" s="27" t="s">
        <v>866</v>
      </c>
      <c r="R201" s="29" t="s">
        <v>853</v>
      </c>
      <c r="X201" s="84" t="s">
        <v>1700</v>
      </c>
      <c r="Y201" s="84" t="s">
        <v>2424</v>
      </c>
      <c r="AA201" s="84" t="s">
        <v>2425</v>
      </c>
      <c r="AB201" s="84" t="s">
        <v>1957</v>
      </c>
      <c r="CB201" s="26">
        <v>42032</v>
      </c>
      <c r="CC201" s="26" t="s">
        <v>853</v>
      </c>
      <c r="CD201" s="8" t="s">
        <v>3487</v>
      </c>
      <c r="CE201" s="8">
        <v>535</v>
      </c>
      <c r="CF201" s="8">
        <v>160</v>
      </c>
      <c r="CG201" s="26"/>
      <c r="CH201" s="8"/>
      <c r="CM201" s="8"/>
      <c r="CR201" s="8"/>
      <c r="DZ201" s="19"/>
      <c r="EB201" s="19"/>
      <c r="EC201" s="19"/>
      <c r="ED201" s="19"/>
      <c r="EE201" s="19"/>
      <c r="EF201" s="19"/>
      <c r="EG201" s="19"/>
      <c r="EH201" s="19"/>
      <c r="EI201" s="19"/>
      <c r="EJ201" s="19"/>
      <c r="EK201" s="19"/>
      <c r="EL201" s="19"/>
      <c r="EN201" s="19"/>
      <c r="EO201" s="19"/>
      <c r="EP201" s="19"/>
      <c r="EQ201" s="19"/>
      <c r="ER201" s="19"/>
      <c r="ES201" s="19"/>
      <c r="ET201" s="19"/>
      <c r="EU201" s="19"/>
      <c r="EV201" s="19"/>
      <c r="EW201" s="19"/>
      <c r="EX201" s="19"/>
      <c r="EZ201" s="19"/>
      <c r="FA201" s="19"/>
      <c r="FB201" s="19"/>
      <c r="FC201" s="19"/>
      <c r="FD201" s="19"/>
      <c r="FE201" s="19"/>
      <c r="FF201" s="19"/>
      <c r="FG201" s="19"/>
      <c r="FH201" s="19"/>
      <c r="FI201" s="19"/>
      <c r="FJ201" s="19"/>
      <c r="FL201" s="19"/>
      <c r="FM201" s="19"/>
      <c r="FN201" s="19"/>
      <c r="FO201" s="19"/>
      <c r="FP201" s="19"/>
      <c r="FQ201" s="19"/>
      <c r="FR201" s="19"/>
      <c r="FS201" s="19"/>
      <c r="FT201" s="19"/>
      <c r="FU201" s="19"/>
      <c r="FV201" s="19"/>
      <c r="FX201" s="19"/>
      <c r="FY201" s="19"/>
      <c r="FZ201" s="19"/>
      <c r="GA201" s="19"/>
      <c r="GB201" s="19"/>
      <c r="GC201" s="19"/>
      <c r="GD201" s="19"/>
      <c r="GE201" s="19"/>
      <c r="GF201" s="19"/>
      <c r="GG201" s="19"/>
      <c r="GH201" s="19"/>
      <c r="GJ201" s="19"/>
      <c r="GK201" s="19"/>
      <c r="GL201" s="19"/>
      <c r="GM201" s="19"/>
      <c r="GN201" s="19"/>
      <c r="GO201" s="19"/>
      <c r="GP201" s="19"/>
      <c r="GQ201" s="19"/>
      <c r="GR201" s="19"/>
      <c r="GS201" s="19"/>
      <c r="GT201" s="19"/>
      <c r="GV201" s="19"/>
      <c r="GW201" s="19"/>
      <c r="GX201" s="19"/>
      <c r="GY201" s="19"/>
      <c r="GZ201" s="19"/>
      <c r="HA201" s="19"/>
      <c r="HB201" s="19"/>
      <c r="HC201" s="19"/>
      <c r="HD201" s="19"/>
      <c r="HE201" s="19"/>
      <c r="HF201" s="19"/>
      <c r="HH201" s="19"/>
      <c r="HI201" s="19"/>
      <c r="HJ201" s="19"/>
      <c r="HK201" s="19"/>
      <c r="HL201" s="19"/>
      <c r="HM201" s="19"/>
      <c r="HN201" s="19"/>
      <c r="HO201" s="19"/>
      <c r="HP201" s="19"/>
      <c r="HQ201" s="19"/>
    </row>
    <row r="202" spans="1:225" x14ac:dyDescent="0.25">
      <c r="A202" s="8" t="s">
        <v>274</v>
      </c>
      <c r="B202" s="24" t="s">
        <v>275</v>
      </c>
      <c r="D202" s="26">
        <v>29219</v>
      </c>
      <c r="E202" s="26" t="s">
        <v>1762</v>
      </c>
      <c r="F202" s="198" t="s">
        <v>1239</v>
      </c>
      <c r="G202" s="198" t="s">
        <v>1700</v>
      </c>
      <c r="H202" s="25" t="s">
        <v>1240</v>
      </c>
      <c r="I202" s="27" t="s">
        <v>3903</v>
      </c>
      <c r="J202" s="27" t="s">
        <v>866</v>
      </c>
      <c r="K202" s="28" t="s">
        <v>854</v>
      </c>
      <c r="R202" s="29" t="s">
        <v>854</v>
      </c>
      <c r="S202" s="8" t="s">
        <v>855</v>
      </c>
      <c r="CB202" s="278"/>
      <c r="CD202" s="279"/>
      <c r="CG202" s="278"/>
      <c r="CH202" s="278"/>
      <c r="CI202" s="279"/>
      <c r="CK202" s="279"/>
      <c r="CL202" s="278"/>
      <c r="CM202" s="278"/>
      <c r="CN202" s="279"/>
      <c r="CP202" s="279"/>
      <c r="CQ202" s="278"/>
      <c r="CR202" s="279"/>
      <c r="CS202" s="279"/>
      <c r="CU202" s="279"/>
      <c r="CV202" s="278"/>
      <c r="CW202" s="279"/>
      <c r="CX202" s="279"/>
      <c r="CZ202" s="279"/>
      <c r="DA202" s="278"/>
      <c r="DB202" s="279"/>
      <c r="DC202" s="279"/>
      <c r="DE202" s="279"/>
      <c r="DF202" s="278"/>
      <c r="DG202" s="279"/>
      <c r="DH202" s="279"/>
      <c r="DJ202" s="279"/>
      <c r="DK202" s="278"/>
      <c r="DL202" s="279"/>
      <c r="DM202" s="279"/>
      <c r="DO202" s="279"/>
      <c r="DP202" s="278"/>
      <c r="DQ202" s="279"/>
      <c r="DR202" s="279"/>
      <c r="DT202" s="279"/>
      <c r="DU202" s="278"/>
      <c r="DV202" s="279"/>
      <c r="DW202" s="279"/>
      <c r="DY202" s="279"/>
    </row>
    <row r="203" spans="1:225" x14ac:dyDescent="0.25">
      <c r="A203" s="19" t="s">
        <v>957</v>
      </c>
      <c r="B203" s="12" t="s">
        <v>880</v>
      </c>
      <c r="C203" s="13" t="s">
        <v>643</v>
      </c>
      <c r="D203" s="14"/>
      <c r="E203" s="14" t="s">
        <v>1762</v>
      </c>
      <c r="F203" s="199" t="s">
        <v>891</v>
      </c>
      <c r="G203" s="199" t="s">
        <v>3139</v>
      </c>
      <c r="H203" s="13" t="s">
        <v>3138</v>
      </c>
      <c r="I203" s="23" t="s">
        <v>3903</v>
      </c>
      <c r="J203" s="23" t="s">
        <v>866</v>
      </c>
      <c r="K203" s="16" t="s">
        <v>853</v>
      </c>
      <c r="L203" s="16"/>
      <c r="M203" s="13"/>
      <c r="N203" s="21"/>
      <c r="O203" s="21"/>
      <c r="Q203" s="95"/>
      <c r="R203" s="16" t="s">
        <v>853</v>
      </c>
      <c r="S203" s="21"/>
      <c r="T203" s="21"/>
      <c r="U203" s="21"/>
      <c r="V203" s="21"/>
      <c r="W203" s="95">
        <v>160</v>
      </c>
      <c r="X203" s="86" t="s">
        <v>1700</v>
      </c>
      <c r="Y203" s="86" t="s">
        <v>791</v>
      </c>
      <c r="Z203" s="86"/>
      <c r="AA203" s="84" t="s">
        <v>61</v>
      </c>
      <c r="AB203" s="84" t="s">
        <v>126</v>
      </c>
      <c r="AC203" s="26">
        <v>42360</v>
      </c>
      <c r="AD203" s="26" t="s">
        <v>853</v>
      </c>
      <c r="AE203" s="19" t="s">
        <v>4439</v>
      </c>
      <c r="AF203" s="19">
        <v>456</v>
      </c>
      <c r="AG203" s="19">
        <v>160</v>
      </c>
      <c r="AI203" s="19"/>
      <c r="AJ203" s="19"/>
      <c r="AK203" s="19"/>
      <c r="AL203" s="19"/>
      <c r="AN203" s="19"/>
      <c r="AO203" s="19"/>
      <c r="AP203" s="19"/>
      <c r="AQ203" s="19"/>
      <c r="AS203" s="19"/>
      <c r="AT203" s="19"/>
      <c r="AU203" s="19"/>
      <c r="AV203" s="19"/>
      <c r="AX203" s="19"/>
      <c r="AY203" s="19"/>
      <c r="AZ203" s="19"/>
      <c r="BA203" s="19"/>
      <c r="BC203" s="19"/>
      <c r="BD203" s="19"/>
      <c r="BE203" s="19"/>
      <c r="BF203" s="19"/>
      <c r="BH203" s="19"/>
      <c r="BI203" s="19"/>
      <c r="BJ203" s="19"/>
      <c r="BK203" s="19"/>
      <c r="BM203" s="19"/>
      <c r="BN203" s="19"/>
      <c r="BO203" s="19"/>
      <c r="BP203" s="19"/>
      <c r="BR203" s="19"/>
      <c r="BS203" s="19"/>
      <c r="BT203" s="19"/>
      <c r="BU203" s="19"/>
      <c r="BW203" s="19"/>
      <c r="BX203" s="19"/>
      <c r="BY203" s="19"/>
      <c r="BZ203" s="19"/>
      <c r="CB203" s="26">
        <v>41977</v>
      </c>
      <c r="CC203" s="26" t="s">
        <v>853</v>
      </c>
      <c r="CD203" s="19" t="s">
        <v>3140</v>
      </c>
      <c r="CE203" s="19">
        <v>380</v>
      </c>
      <c r="CF203" s="19">
        <v>160</v>
      </c>
      <c r="CG203" s="26"/>
      <c r="CH203" s="19"/>
      <c r="CI203" s="19"/>
      <c r="CJ203" s="19"/>
      <c r="CK203" s="19"/>
      <c r="CM203" s="19"/>
      <c r="CN203" s="19"/>
      <c r="CO203" s="19"/>
      <c r="CP203" s="19"/>
      <c r="CR203" s="19"/>
      <c r="CS203" s="19"/>
      <c r="CT203" s="19"/>
      <c r="CU203" s="19"/>
      <c r="CW203" s="19"/>
      <c r="CX203" s="19"/>
      <c r="CY203" s="19"/>
      <c r="CZ203" s="19"/>
      <c r="DB203" s="19"/>
      <c r="DC203" s="19"/>
      <c r="DD203" s="19"/>
      <c r="DE203" s="19"/>
      <c r="DG203" s="19"/>
      <c r="DH203" s="19"/>
      <c r="DI203" s="19"/>
      <c r="DJ203" s="19"/>
      <c r="DL203" s="19"/>
      <c r="DM203" s="19"/>
      <c r="DN203" s="19"/>
      <c r="DO203" s="19"/>
      <c r="DQ203" s="19"/>
      <c r="DR203" s="19"/>
      <c r="DS203" s="19"/>
      <c r="DT203" s="19"/>
      <c r="DV203" s="19"/>
      <c r="DW203" s="19"/>
      <c r="DX203" s="19"/>
      <c r="DY203" s="19"/>
    </row>
    <row r="204" spans="1:225" x14ac:dyDescent="0.25">
      <c r="A204" s="8" t="s">
        <v>1780</v>
      </c>
      <c r="B204" s="24" t="s">
        <v>1781</v>
      </c>
      <c r="C204" s="25" t="s">
        <v>1278</v>
      </c>
      <c r="E204" s="26" t="s">
        <v>1762</v>
      </c>
      <c r="F204" s="198" t="s">
        <v>932</v>
      </c>
      <c r="G204" s="198" t="s">
        <v>1700</v>
      </c>
      <c r="H204" s="25" t="s">
        <v>2773</v>
      </c>
      <c r="I204" s="27" t="s">
        <v>3904</v>
      </c>
      <c r="J204" s="27" t="s">
        <v>866</v>
      </c>
      <c r="K204" s="28" t="s">
        <v>853</v>
      </c>
      <c r="Q204" s="95"/>
      <c r="R204" s="17" t="s">
        <v>853</v>
      </c>
      <c r="S204" s="29"/>
      <c r="T204" s="29"/>
      <c r="U204" s="29"/>
      <c r="V204" s="29"/>
      <c r="W204" s="93">
        <v>72</v>
      </c>
      <c r="X204" s="84" t="s">
        <v>1700</v>
      </c>
      <c r="Y204" s="84" t="s">
        <v>246</v>
      </c>
      <c r="AA204" s="84" t="s">
        <v>62</v>
      </c>
      <c r="AB204" s="84" t="s">
        <v>126</v>
      </c>
      <c r="AC204" s="26">
        <v>42360</v>
      </c>
      <c r="AD204" s="26" t="s">
        <v>853</v>
      </c>
      <c r="AE204" s="8" t="s">
        <v>4480</v>
      </c>
      <c r="AF204" s="8">
        <v>72</v>
      </c>
      <c r="AG204" s="8">
        <v>36</v>
      </c>
      <c r="AH204" s="26" t="s">
        <v>503</v>
      </c>
      <c r="AI204" s="8" t="s">
        <v>853</v>
      </c>
      <c r="AJ204" s="8" t="s">
        <v>4480</v>
      </c>
      <c r="AK204" s="8">
        <v>72</v>
      </c>
      <c r="AL204" s="8">
        <v>36</v>
      </c>
      <c r="CB204" s="26">
        <v>41921</v>
      </c>
      <c r="CC204" s="26" t="s">
        <v>853</v>
      </c>
      <c r="CD204" s="8" t="s">
        <v>2774</v>
      </c>
      <c r="CE204" s="8">
        <v>35</v>
      </c>
      <c r="CF204" s="8">
        <v>17</v>
      </c>
      <c r="CG204" s="26">
        <v>41977</v>
      </c>
      <c r="CH204" s="8" t="s">
        <v>853</v>
      </c>
      <c r="CI204" s="8" t="s">
        <v>3276</v>
      </c>
      <c r="CJ204" s="8">
        <v>72</v>
      </c>
      <c r="CK204" s="8">
        <v>36</v>
      </c>
      <c r="CL204" s="26">
        <v>42097</v>
      </c>
      <c r="CM204" s="8" t="s">
        <v>853</v>
      </c>
      <c r="CN204" s="8" t="s">
        <v>3484</v>
      </c>
      <c r="CO204" s="8">
        <v>72</v>
      </c>
      <c r="CP204" s="8">
        <v>36</v>
      </c>
      <c r="CR204" s="8"/>
    </row>
    <row r="205" spans="1:225" x14ac:dyDescent="0.25">
      <c r="A205" s="8" t="s">
        <v>2021</v>
      </c>
      <c r="B205" s="24" t="s">
        <v>966</v>
      </c>
      <c r="C205" s="25" t="s">
        <v>2022</v>
      </c>
      <c r="E205" s="26" t="s">
        <v>1762</v>
      </c>
      <c r="F205" s="198" t="s">
        <v>1408</v>
      </c>
      <c r="G205" s="198" t="s">
        <v>1700</v>
      </c>
      <c r="H205" s="25" t="s">
        <v>2411</v>
      </c>
      <c r="J205" s="27" t="s">
        <v>866</v>
      </c>
      <c r="X205" s="84" t="s">
        <v>1700</v>
      </c>
      <c r="Y205" s="84" t="s">
        <v>791</v>
      </c>
      <c r="AA205" s="84" t="s">
        <v>2023</v>
      </c>
      <c r="AB205" s="84" t="s">
        <v>126</v>
      </c>
      <c r="CB205" s="26"/>
      <c r="CC205" s="26"/>
      <c r="CF205" s="8"/>
      <c r="CG205" s="26"/>
      <c r="CH205" s="8"/>
      <c r="CM205" s="8"/>
      <c r="CR205" s="8"/>
    </row>
    <row r="206" spans="1:225" x14ac:dyDescent="0.25">
      <c r="A206" s="8" t="s">
        <v>2894</v>
      </c>
      <c r="B206" s="24" t="s">
        <v>1991</v>
      </c>
      <c r="C206" s="25" t="s">
        <v>2893</v>
      </c>
      <c r="E206" s="26" t="s">
        <v>1762</v>
      </c>
      <c r="F206" s="198" t="s">
        <v>49</v>
      </c>
      <c r="G206" s="198" t="s">
        <v>1700</v>
      </c>
      <c r="H206" s="25" t="s">
        <v>2895</v>
      </c>
      <c r="J206" s="27" t="s">
        <v>866</v>
      </c>
      <c r="R206" s="29" t="s">
        <v>853</v>
      </c>
      <c r="X206" s="84" t="s">
        <v>1700</v>
      </c>
      <c r="Y206" s="84" t="s">
        <v>2499</v>
      </c>
      <c r="AA206" s="84" t="s">
        <v>2896</v>
      </c>
      <c r="AB206" s="84" t="s">
        <v>126</v>
      </c>
      <c r="CA206" s="19"/>
      <c r="CB206" s="278">
        <v>41934</v>
      </c>
      <c r="CC206" s="278" t="s">
        <v>853</v>
      </c>
      <c r="CD206" s="279" t="s">
        <v>2897</v>
      </c>
      <c r="CE206" s="8">
        <v>100</v>
      </c>
      <c r="CF206" s="279">
        <v>50</v>
      </c>
      <c r="CG206" s="278"/>
      <c r="CH206" s="278"/>
      <c r="CI206" s="279"/>
      <c r="CK206" s="279"/>
      <c r="CL206" s="278"/>
      <c r="CM206" s="278"/>
      <c r="CN206" s="279"/>
      <c r="CP206" s="279"/>
      <c r="CQ206" s="278"/>
      <c r="CR206" s="279"/>
      <c r="CS206" s="279"/>
      <c r="CU206" s="279"/>
      <c r="CV206" s="278"/>
      <c r="CW206" s="279"/>
      <c r="CX206" s="279"/>
      <c r="CZ206" s="279"/>
      <c r="DA206" s="278"/>
      <c r="DB206" s="279"/>
      <c r="DC206" s="279"/>
      <c r="DE206" s="279"/>
      <c r="DF206" s="278"/>
      <c r="DG206" s="279"/>
      <c r="DH206" s="279"/>
      <c r="DJ206" s="279"/>
      <c r="DK206" s="278"/>
      <c r="DL206" s="279"/>
      <c r="DM206" s="279"/>
      <c r="DO206" s="279"/>
      <c r="DP206" s="278"/>
      <c r="DQ206" s="279"/>
      <c r="DR206" s="279"/>
      <c r="DT206" s="279"/>
      <c r="DU206" s="278"/>
      <c r="DV206" s="257"/>
      <c r="DW206" s="257"/>
      <c r="DY206" s="257"/>
    </row>
    <row r="207" spans="1:225" x14ac:dyDescent="0.25">
      <c r="A207" s="8" t="s">
        <v>4641</v>
      </c>
      <c r="B207" s="24" t="s">
        <v>1960</v>
      </c>
      <c r="F207" s="198" t="s">
        <v>936</v>
      </c>
      <c r="G207" s="198" t="s">
        <v>4642</v>
      </c>
      <c r="H207" s="25" t="s">
        <v>1700</v>
      </c>
      <c r="I207" s="27" t="s">
        <v>3893</v>
      </c>
      <c r="J207" s="27" t="s">
        <v>866</v>
      </c>
      <c r="K207" s="28" t="s">
        <v>816</v>
      </c>
      <c r="CB207" s="278"/>
      <c r="CG207" s="278"/>
    </row>
    <row r="208" spans="1:225" x14ac:dyDescent="0.25">
      <c r="A208" s="8" t="s">
        <v>1484</v>
      </c>
      <c r="B208" s="24" t="s">
        <v>1094</v>
      </c>
      <c r="C208" s="25" t="s">
        <v>1485</v>
      </c>
      <c r="E208" s="26" t="s">
        <v>1762</v>
      </c>
      <c r="F208" s="198" t="s">
        <v>1700</v>
      </c>
      <c r="G208" s="198" t="s">
        <v>1700</v>
      </c>
      <c r="H208" s="25" t="s">
        <v>1700</v>
      </c>
      <c r="I208" s="27" t="s">
        <v>3896</v>
      </c>
      <c r="J208" s="27" t="s">
        <v>866</v>
      </c>
      <c r="K208" s="28" t="s">
        <v>859</v>
      </c>
      <c r="R208" s="29" t="s">
        <v>859</v>
      </c>
      <c r="W208" s="93">
        <v>280</v>
      </c>
      <c r="X208" s="84" t="s">
        <v>1700</v>
      </c>
      <c r="Y208" s="84" t="s">
        <v>1700</v>
      </c>
      <c r="AA208" s="84" t="s">
        <v>1486</v>
      </c>
      <c r="AB208" s="84" t="s">
        <v>51</v>
      </c>
      <c r="AC208" s="26">
        <v>42493</v>
      </c>
      <c r="AD208" s="26" t="s">
        <v>859</v>
      </c>
      <c r="AE208" s="8" t="s">
        <v>3242</v>
      </c>
      <c r="AF208" s="8">
        <v>572</v>
      </c>
      <c r="AG208" s="8">
        <v>280</v>
      </c>
      <c r="CA208" s="19"/>
      <c r="CB208" s="26">
        <v>42097</v>
      </c>
      <c r="CC208" s="26" t="s">
        <v>859</v>
      </c>
      <c r="CD208" s="8" t="s">
        <v>3635</v>
      </c>
      <c r="CE208" s="8">
        <v>624</v>
      </c>
      <c r="CF208" s="8">
        <v>280</v>
      </c>
      <c r="CG208" s="26"/>
      <c r="CH208" s="8"/>
      <c r="CM208" s="8"/>
      <c r="CR208" s="8"/>
      <c r="EB208" s="19"/>
      <c r="EC208" s="19"/>
      <c r="ED208" s="19"/>
      <c r="EE208" s="19"/>
      <c r="EF208" s="19"/>
      <c r="EG208" s="19"/>
      <c r="EH208" s="19"/>
      <c r="EI208" s="19"/>
      <c r="EJ208" s="19"/>
      <c r="EK208" s="19"/>
      <c r="EL208" s="19"/>
      <c r="EN208" s="19"/>
      <c r="EO208" s="19"/>
      <c r="EP208" s="19"/>
      <c r="EQ208" s="19"/>
      <c r="ER208" s="19"/>
      <c r="ES208" s="19"/>
      <c r="ET208" s="19"/>
      <c r="EU208" s="19"/>
      <c r="EV208" s="19"/>
      <c r="EW208" s="19"/>
      <c r="EX208" s="19"/>
      <c r="EZ208" s="19"/>
      <c r="FA208" s="19"/>
      <c r="FB208" s="19"/>
      <c r="FC208" s="19"/>
      <c r="FD208" s="19"/>
      <c r="FE208" s="19"/>
      <c r="FF208" s="19"/>
      <c r="FG208" s="19"/>
      <c r="FH208" s="19"/>
      <c r="FI208" s="19"/>
      <c r="FJ208" s="19"/>
      <c r="FL208" s="19"/>
      <c r="FM208" s="19"/>
      <c r="FN208" s="19"/>
      <c r="FO208" s="19"/>
      <c r="FP208" s="19"/>
      <c r="FQ208" s="19"/>
      <c r="FR208" s="19"/>
      <c r="FS208" s="19"/>
      <c r="FT208" s="19"/>
      <c r="FU208" s="19"/>
      <c r="FV208" s="19"/>
      <c r="FX208" s="19"/>
      <c r="FY208" s="19"/>
      <c r="FZ208" s="19"/>
      <c r="GA208" s="19"/>
      <c r="GB208" s="19"/>
      <c r="GC208" s="19"/>
      <c r="GD208" s="19"/>
      <c r="GE208" s="19"/>
      <c r="GF208" s="19"/>
      <c r="GG208" s="19"/>
      <c r="GH208" s="19"/>
      <c r="GJ208" s="19"/>
      <c r="GK208" s="19"/>
      <c r="GL208" s="19"/>
      <c r="GM208" s="19"/>
      <c r="GN208" s="19"/>
      <c r="GO208" s="19"/>
      <c r="GP208" s="19"/>
      <c r="GQ208" s="19"/>
      <c r="GR208" s="19"/>
      <c r="GS208" s="19"/>
      <c r="GT208" s="19"/>
      <c r="GV208" s="19"/>
      <c r="GW208" s="19"/>
      <c r="GX208" s="19"/>
      <c r="GY208" s="19"/>
      <c r="GZ208" s="19"/>
      <c r="HA208" s="19"/>
      <c r="HB208" s="19"/>
      <c r="HC208" s="19"/>
      <c r="HD208" s="19"/>
      <c r="HE208" s="19"/>
      <c r="HF208" s="19"/>
      <c r="HH208" s="19"/>
      <c r="HI208" s="19"/>
      <c r="HJ208" s="19"/>
      <c r="HK208" s="19"/>
      <c r="HL208" s="19"/>
      <c r="HM208" s="19"/>
      <c r="HN208" s="19"/>
      <c r="HO208" s="19"/>
      <c r="HP208" s="19"/>
      <c r="HQ208" s="19"/>
    </row>
    <row r="209" spans="1:225" x14ac:dyDescent="0.25">
      <c r="A209" s="8" t="s">
        <v>433</v>
      </c>
      <c r="B209" s="24" t="s">
        <v>434</v>
      </c>
      <c r="C209" s="25" t="s">
        <v>435</v>
      </c>
      <c r="E209" s="26" t="s">
        <v>1762</v>
      </c>
      <c r="F209" s="198" t="s">
        <v>1317</v>
      </c>
      <c r="G209" s="198" t="s">
        <v>1700</v>
      </c>
      <c r="H209" s="25" t="s">
        <v>1700</v>
      </c>
      <c r="J209" s="27" t="s">
        <v>866</v>
      </c>
      <c r="X209" s="84" t="s">
        <v>1700</v>
      </c>
      <c r="Y209" s="84" t="s">
        <v>791</v>
      </c>
      <c r="AA209" s="84" t="s">
        <v>436</v>
      </c>
      <c r="AB209" s="84" t="s">
        <v>126</v>
      </c>
      <c r="CB209" s="26"/>
      <c r="CC209" s="26"/>
      <c r="CF209" s="8"/>
      <c r="CG209" s="26"/>
      <c r="CH209" s="8"/>
      <c r="CM209" s="8"/>
      <c r="CR209" s="8"/>
      <c r="DZ209" s="19"/>
    </row>
    <row r="210" spans="1:225" x14ac:dyDescent="0.25">
      <c r="A210" s="8" t="s">
        <v>3805</v>
      </c>
      <c r="B210" s="24" t="s">
        <v>3469</v>
      </c>
      <c r="D210" s="26">
        <v>23776</v>
      </c>
      <c r="E210" s="26" t="s">
        <v>1762</v>
      </c>
      <c r="F210" s="198" t="s">
        <v>3806</v>
      </c>
      <c r="G210" s="198" t="s">
        <v>1700</v>
      </c>
      <c r="H210" s="25" t="s">
        <v>1700</v>
      </c>
      <c r="J210" s="27" t="s">
        <v>866</v>
      </c>
      <c r="R210" s="29" t="s">
        <v>855</v>
      </c>
      <c r="CB210" s="278"/>
      <c r="CG210" s="278"/>
    </row>
    <row r="211" spans="1:225" x14ac:dyDescent="0.25">
      <c r="A211" s="8" t="s">
        <v>1498</v>
      </c>
      <c r="B211" s="24" t="s">
        <v>1822</v>
      </c>
      <c r="C211" s="25" t="s">
        <v>1499</v>
      </c>
      <c r="E211" s="26" t="s">
        <v>1762</v>
      </c>
      <c r="F211" s="198" t="s">
        <v>1467</v>
      </c>
      <c r="G211" s="198" t="s">
        <v>1700</v>
      </c>
      <c r="H211" s="25" t="s">
        <v>3321</v>
      </c>
      <c r="J211" s="27" t="s">
        <v>866</v>
      </c>
      <c r="R211" s="29" t="s">
        <v>853</v>
      </c>
      <c r="X211" s="84" t="s">
        <v>1700</v>
      </c>
      <c r="Y211" s="84" t="s">
        <v>500</v>
      </c>
      <c r="AA211" s="84" t="s">
        <v>1500</v>
      </c>
      <c r="AB211" s="84" t="s">
        <v>221</v>
      </c>
      <c r="CB211" s="26">
        <v>41977</v>
      </c>
      <c r="CC211" s="26" t="s">
        <v>853</v>
      </c>
      <c r="CD211" s="8" t="s">
        <v>3320</v>
      </c>
      <c r="CE211" s="8">
        <v>320</v>
      </c>
      <c r="CF211" s="8">
        <v>160</v>
      </c>
      <c r="CG211" s="26"/>
      <c r="CH211" s="8"/>
      <c r="CM211" s="8"/>
      <c r="CR211" s="8"/>
    </row>
    <row r="212" spans="1:225" x14ac:dyDescent="0.25">
      <c r="A212" s="8" t="s">
        <v>958</v>
      </c>
      <c r="B212" s="24" t="s">
        <v>1308</v>
      </c>
      <c r="C212" s="25" t="s">
        <v>64</v>
      </c>
      <c r="E212" s="26" t="s">
        <v>1762</v>
      </c>
      <c r="F212" s="198" t="s">
        <v>1503</v>
      </c>
      <c r="G212" s="198" t="s">
        <v>1700</v>
      </c>
      <c r="H212" s="25" t="s">
        <v>2653</v>
      </c>
      <c r="J212" s="27" t="s">
        <v>866</v>
      </c>
      <c r="R212" s="29" t="s">
        <v>853</v>
      </c>
      <c r="X212" s="84" t="s">
        <v>1700</v>
      </c>
      <c r="Y212" s="84" t="s">
        <v>2499</v>
      </c>
      <c r="AA212" s="84" t="s">
        <v>2655</v>
      </c>
      <c r="AB212" s="84" t="s">
        <v>126</v>
      </c>
      <c r="CB212" s="26">
        <v>41921</v>
      </c>
      <c r="CC212" s="26" t="s">
        <v>853</v>
      </c>
      <c r="CD212" s="8" t="s">
        <v>2654</v>
      </c>
      <c r="CE212" s="8">
        <v>242.4</v>
      </c>
      <c r="CF212" s="8">
        <v>122</v>
      </c>
      <c r="CG212" s="26">
        <v>42011</v>
      </c>
      <c r="CH212" s="8" t="s">
        <v>853</v>
      </c>
      <c r="CI212" s="8" t="s">
        <v>3388</v>
      </c>
      <c r="CJ212" s="8">
        <v>58.1</v>
      </c>
      <c r="CK212" s="8">
        <v>29</v>
      </c>
      <c r="CM212" s="8"/>
      <c r="CR212" s="8"/>
    </row>
    <row r="213" spans="1:225" x14ac:dyDescent="0.25">
      <c r="A213" s="8" t="s">
        <v>958</v>
      </c>
      <c r="B213" s="24" t="s">
        <v>881</v>
      </c>
      <c r="C213" s="25" t="s">
        <v>2166</v>
      </c>
      <c r="D213" s="26">
        <v>19428</v>
      </c>
      <c r="E213" s="26" t="s">
        <v>1762</v>
      </c>
      <c r="F213" s="198" t="s">
        <v>852</v>
      </c>
      <c r="G213" s="198" t="s">
        <v>1700</v>
      </c>
      <c r="H213" s="25" t="s">
        <v>1700</v>
      </c>
      <c r="I213" s="27" t="s">
        <v>3904</v>
      </c>
      <c r="J213" s="27" t="s">
        <v>866</v>
      </c>
      <c r="K213" s="28" t="s">
        <v>1416</v>
      </c>
      <c r="Q213" s="93"/>
      <c r="R213" s="28" t="s">
        <v>857</v>
      </c>
      <c r="S213" s="29" t="s">
        <v>1416</v>
      </c>
      <c r="T213" s="29"/>
      <c r="U213" s="29"/>
      <c r="V213" s="29"/>
      <c r="W213" s="95"/>
      <c r="X213" s="86"/>
      <c r="Y213" s="86" t="s">
        <v>1700</v>
      </c>
      <c r="Z213" s="86"/>
      <c r="AA213" s="86"/>
      <c r="AB213" s="86"/>
      <c r="AE213" s="19"/>
      <c r="AF213" s="19"/>
      <c r="AG213" s="19"/>
      <c r="AI213" s="19"/>
      <c r="AJ213" s="19"/>
      <c r="AK213" s="19"/>
      <c r="AL213" s="19"/>
      <c r="AN213" s="19"/>
      <c r="AO213" s="19"/>
      <c r="AP213" s="19"/>
      <c r="AQ213" s="19"/>
      <c r="AS213" s="19"/>
      <c r="AT213" s="19"/>
      <c r="AU213" s="19"/>
      <c r="AV213" s="19"/>
      <c r="AX213" s="19"/>
      <c r="AY213" s="19"/>
      <c r="AZ213" s="19"/>
      <c r="BA213" s="19"/>
      <c r="BC213" s="19"/>
      <c r="BD213" s="19"/>
      <c r="BE213" s="19"/>
      <c r="BF213" s="19"/>
      <c r="BH213" s="19"/>
      <c r="BI213" s="19"/>
      <c r="BJ213" s="19"/>
      <c r="BK213" s="19"/>
      <c r="BM213" s="19"/>
      <c r="BN213" s="19"/>
      <c r="BO213" s="19"/>
      <c r="BP213" s="19"/>
      <c r="BR213" s="19"/>
      <c r="BS213" s="19"/>
      <c r="BT213" s="19"/>
      <c r="BU213" s="19"/>
      <c r="BW213" s="19"/>
      <c r="BX213" s="19"/>
      <c r="BY213" s="19"/>
      <c r="BZ213" s="19"/>
      <c r="CB213" s="26"/>
      <c r="CC213" s="26"/>
      <c r="CD213" s="19"/>
      <c r="CE213" s="19"/>
      <c r="CF213" s="19"/>
      <c r="CG213" s="26"/>
      <c r="CH213" s="19"/>
      <c r="CI213" s="19"/>
      <c r="CJ213" s="19"/>
      <c r="CK213" s="19"/>
      <c r="CM213" s="19"/>
      <c r="CN213" s="19"/>
      <c r="CO213" s="19"/>
      <c r="CP213" s="19"/>
      <c r="CR213" s="19"/>
      <c r="CS213" s="19"/>
      <c r="CT213" s="19"/>
      <c r="CU213" s="19"/>
      <c r="CW213" s="19"/>
      <c r="CX213" s="19"/>
      <c r="CY213" s="19"/>
      <c r="CZ213" s="19"/>
      <c r="DB213" s="19"/>
      <c r="DC213" s="19"/>
      <c r="DD213" s="19"/>
      <c r="DE213" s="19"/>
      <c r="DG213" s="19"/>
      <c r="DH213" s="19"/>
      <c r="DI213" s="19"/>
      <c r="DJ213" s="19"/>
      <c r="DL213" s="19"/>
      <c r="DM213" s="19"/>
      <c r="DN213" s="19"/>
      <c r="DO213" s="19"/>
      <c r="DQ213" s="19"/>
      <c r="DR213" s="19"/>
      <c r="DS213" s="19"/>
      <c r="DT213" s="19"/>
      <c r="DV213" s="19"/>
      <c r="DW213" s="19"/>
      <c r="DX213" s="19"/>
      <c r="DY213" s="19"/>
    </row>
    <row r="214" spans="1:225" x14ac:dyDescent="0.25">
      <c r="A214" s="8" t="s">
        <v>178</v>
      </c>
      <c r="B214" s="24" t="s">
        <v>179</v>
      </c>
      <c r="C214" s="25" t="s">
        <v>180</v>
      </c>
      <c r="E214" s="26" t="s">
        <v>1762</v>
      </c>
      <c r="F214" s="198" t="s">
        <v>1407</v>
      </c>
      <c r="G214" s="198" t="s">
        <v>1700</v>
      </c>
      <c r="H214" s="25" t="s">
        <v>1700</v>
      </c>
      <c r="J214" s="27" t="s">
        <v>866</v>
      </c>
      <c r="X214" s="84" t="s">
        <v>1700</v>
      </c>
      <c r="Y214" s="84" t="s">
        <v>282</v>
      </c>
      <c r="AA214" s="84" t="s">
        <v>181</v>
      </c>
      <c r="AB214" s="84" t="s">
        <v>182</v>
      </c>
      <c r="CB214" s="26"/>
      <c r="CC214" s="26"/>
      <c r="CF214" s="8"/>
      <c r="CG214" s="26"/>
      <c r="CH214" s="8"/>
      <c r="CM214" s="8"/>
      <c r="CR214" s="8"/>
    </row>
    <row r="215" spans="1:225" x14ac:dyDescent="0.25">
      <c r="A215" s="8" t="s">
        <v>1227</v>
      </c>
      <c r="B215" s="24" t="s">
        <v>776</v>
      </c>
      <c r="C215" s="25" t="s">
        <v>1231</v>
      </c>
      <c r="E215" s="26" t="s">
        <v>1762</v>
      </c>
      <c r="F215" s="198" t="s">
        <v>637</v>
      </c>
      <c r="G215" s="198" t="s">
        <v>1700</v>
      </c>
      <c r="H215" s="25" t="s">
        <v>1700</v>
      </c>
      <c r="J215" s="27" t="s">
        <v>866</v>
      </c>
      <c r="X215" s="84" t="s">
        <v>1700</v>
      </c>
      <c r="Y215" s="84" t="s">
        <v>1473</v>
      </c>
      <c r="AA215" s="84" t="s">
        <v>1232</v>
      </c>
      <c r="AB215" s="84" t="s">
        <v>1474</v>
      </c>
      <c r="CB215" s="26"/>
      <c r="CC215" s="26"/>
      <c r="CF215" s="8"/>
      <c r="CG215" s="26"/>
      <c r="CH215" s="8"/>
      <c r="CM215" s="8"/>
      <c r="CR215" s="8"/>
    </row>
    <row r="216" spans="1:225" x14ac:dyDescent="0.25">
      <c r="A216" s="8" t="s">
        <v>1267</v>
      </c>
      <c r="B216" s="24" t="s">
        <v>2152</v>
      </c>
      <c r="C216" s="25" t="s">
        <v>1268</v>
      </c>
      <c r="E216" s="26" t="s">
        <v>1762</v>
      </c>
      <c r="F216" s="198" t="s">
        <v>867</v>
      </c>
      <c r="G216" s="198" t="s">
        <v>2430</v>
      </c>
      <c r="H216" s="25" t="s">
        <v>2705</v>
      </c>
      <c r="J216" s="27" t="s">
        <v>866</v>
      </c>
      <c r="R216" s="29" t="s">
        <v>853</v>
      </c>
      <c r="X216" s="84" t="s">
        <v>1700</v>
      </c>
      <c r="Y216" s="84" t="s">
        <v>642</v>
      </c>
      <c r="AA216" s="84" t="s">
        <v>1270</v>
      </c>
      <c r="AB216" s="84" t="s">
        <v>1269</v>
      </c>
      <c r="CB216" s="26">
        <v>41921</v>
      </c>
      <c r="CC216" s="26" t="s">
        <v>853</v>
      </c>
      <c r="CD216" s="8" t="s">
        <v>2706</v>
      </c>
      <c r="CE216" s="8">
        <v>282</v>
      </c>
      <c r="CF216" s="8">
        <v>141</v>
      </c>
      <c r="CG216" s="26"/>
      <c r="CH216" s="8"/>
      <c r="CM216" s="8"/>
      <c r="CR216" s="8"/>
      <c r="DZ216" s="257"/>
    </row>
    <row r="217" spans="1:225" x14ac:dyDescent="0.25">
      <c r="A217" s="8" t="s">
        <v>1890</v>
      </c>
      <c r="B217" s="24" t="s">
        <v>1739</v>
      </c>
      <c r="C217" s="25" t="s">
        <v>1891</v>
      </c>
      <c r="E217" s="26" t="s">
        <v>1762</v>
      </c>
      <c r="F217" s="198" t="s">
        <v>1892</v>
      </c>
      <c r="G217" s="198" t="s">
        <v>1700</v>
      </c>
      <c r="H217" s="25" t="s">
        <v>1700</v>
      </c>
      <c r="J217" s="27" t="s">
        <v>866</v>
      </c>
      <c r="R217" s="29" t="s">
        <v>859</v>
      </c>
      <c r="X217" s="84" t="s">
        <v>1700</v>
      </c>
      <c r="Y217" s="84" t="s">
        <v>2367</v>
      </c>
      <c r="AA217" s="84" t="s">
        <v>1896</v>
      </c>
      <c r="AB217" s="84" t="s">
        <v>221</v>
      </c>
      <c r="CB217" s="26">
        <v>42219</v>
      </c>
      <c r="CC217" s="26" t="s">
        <v>859</v>
      </c>
      <c r="CD217" s="8" t="s">
        <v>2231</v>
      </c>
      <c r="CE217" s="8">
        <v>588</v>
      </c>
      <c r="CF217" s="8">
        <v>280</v>
      </c>
      <c r="CG217" s="26"/>
      <c r="CH217" s="8"/>
      <c r="CM217" s="8"/>
      <c r="CR217" s="8"/>
    </row>
    <row r="218" spans="1:225" x14ac:dyDescent="0.25">
      <c r="A218" s="8" t="s">
        <v>74</v>
      </c>
      <c r="B218" s="24" t="s">
        <v>1378</v>
      </c>
      <c r="C218" s="25" t="s">
        <v>75</v>
      </c>
      <c r="E218" s="26" t="s">
        <v>1762</v>
      </c>
      <c r="F218" s="198" t="s">
        <v>1503</v>
      </c>
      <c r="G218" s="198" t="s">
        <v>1700</v>
      </c>
      <c r="H218" s="25" t="s">
        <v>2689</v>
      </c>
      <c r="I218" s="27" t="s">
        <v>3903</v>
      </c>
      <c r="J218" s="27" t="s">
        <v>866</v>
      </c>
      <c r="K218" s="28" t="s">
        <v>853</v>
      </c>
      <c r="R218" s="29" t="s">
        <v>853</v>
      </c>
      <c r="W218" s="93">
        <v>160</v>
      </c>
      <c r="X218" s="84" t="s">
        <v>1700</v>
      </c>
      <c r="Y218" s="84" t="s">
        <v>372</v>
      </c>
      <c r="AA218" s="84" t="s">
        <v>2083</v>
      </c>
      <c r="AB218" s="84" t="s">
        <v>221</v>
      </c>
      <c r="AC218" s="26">
        <v>42352</v>
      </c>
      <c r="AD218" s="26" t="s">
        <v>853</v>
      </c>
      <c r="AE218" s="8" t="s">
        <v>4332</v>
      </c>
      <c r="AF218" s="8">
        <v>326.5</v>
      </c>
      <c r="AG218" s="8">
        <v>160</v>
      </c>
      <c r="CB218" s="26">
        <v>41921</v>
      </c>
      <c r="CC218" s="26" t="s">
        <v>853</v>
      </c>
      <c r="CD218" s="8" t="s">
        <v>2690</v>
      </c>
      <c r="CE218" s="8">
        <v>326.5</v>
      </c>
      <c r="CF218" s="8">
        <v>160</v>
      </c>
      <c r="CG218" s="26"/>
      <c r="CH218" s="8"/>
      <c r="CM218" s="8"/>
      <c r="CR218" s="8"/>
    </row>
    <row r="219" spans="1:225" x14ac:dyDescent="0.25">
      <c r="A219" s="8" t="s">
        <v>496</v>
      </c>
      <c r="B219" s="24" t="s">
        <v>915</v>
      </c>
      <c r="C219" s="25" t="s">
        <v>497</v>
      </c>
      <c r="E219" s="26" t="s">
        <v>1762</v>
      </c>
      <c r="F219" s="198" t="s">
        <v>932</v>
      </c>
      <c r="G219" s="198" t="s">
        <v>1700</v>
      </c>
      <c r="H219" s="25" t="s">
        <v>2823</v>
      </c>
      <c r="I219" s="27" t="s">
        <v>3901</v>
      </c>
      <c r="J219" s="27" t="s">
        <v>866</v>
      </c>
      <c r="K219" s="28" t="s">
        <v>853</v>
      </c>
      <c r="R219" s="29" t="s">
        <v>853</v>
      </c>
      <c r="W219" s="93">
        <v>140</v>
      </c>
      <c r="X219" s="84" t="s">
        <v>1700</v>
      </c>
      <c r="Y219" s="84" t="s">
        <v>258</v>
      </c>
      <c r="AA219" s="84" t="s">
        <v>499</v>
      </c>
      <c r="AB219" s="84" t="s">
        <v>1749</v>
      </c>
      <c r="AC219" s="26">
        <v>42311</v>
      </c>
      <c r="AD219" s="26" t="s">
        <v>853</v>
      </c>
      <c r="AE219" s="8" t="s">
        <v>4093</v>
      </c>
      <c r="AF219" s="8">
        <v>280</v>
      </c>
      <c r="AG219" s="8">
        <v>140</v>
      </c>
      <c r="CB219" s="26">
        <v>41921</v>
      </c>
      <c r="CC219" s="26" t="s">
        <v>853</v>
      </c>
      <c r="CD219" s="8" t="s">
        <v>2824</v>
      </c>
      <c r="CE219" s="8">
        <v>265</v>
      </c>
      <c r="CF219" s="8">
        <v>133</v>
      </c>
      <c r="CG219" s="26"/>
      <c r="CH219" s="8"/>
      <c r="CM219" s="8"/>
      <c r="CR219" s="8"/>
      <c r="DZ219" s="279"/>
    </row>
    <row r="220" spans="1:225" x14ac:dyDescent="0.25">
      <c r="A220" s="8" t="s">
        <v>2404</v>
      </c>
      <c r="B220" s="24" t="s">
        <v>2405</v>
      </c>
      <c r="C220" s="25" t="s">
        <v>2406</v>
      </c>
      <c r="E220" s="26" t="s">
        <v>1762</v>
      </c>
      <c r="F220" s="198" t="s">
        <v>245</v>
      </c>
      <c r="G220" s="198" t="s">
        <v>1700</v>
      </c>
      <c r="H220" s="25" t="s">
        <v>3668</v>
      </c>
      <c r="J220" s="27" t="s">
        <v>866</v>
      </c>
      <c r="R220" s="29" t="s">
        <v>853</v>
      </c>
      <c r="X220" s="84" t="s">
        <v>1700</v>
      </c>
      <c r="Y220" s="84" t="s">
        <v>2407</v>
      </c>
      <c r="AA220" s="84" t="s">
        <v>2408</v>
      </c>
      <c r="AB220" s="84" t="s">
        <v>1825</v>
      </c>
      <c r="CB220" s="26">
        <v>42097</v>
      </c>
      <c r="CC220" s="26" t="s">
        <v>853</v>
      </c>
      <c r="CD220" s="8" t="s">
        <v>3669</v>
      </c>
      <c r="CE220" s="8">
        <v>135</v>
      </c>
      <c r="CF220" s="8">
        <v>68</v>
      </c>
      <c r="CG220" s="26"/>
      <c r="CH220" s="8"/>
      <c r="CM220" s="8"/>
      <c r="CR220" s="8"/>
    </row>
    <row r="221" spans="1:225" x14ac:dyDescent="0.25">
      <c r="A221" s="8" t="s">
        <v>3861</v>
      </c>
      <c r="B221" s="24" t="s">
        <v>873</v>
      </c>
      <c r="E221" s="26" t="s">
        <v>1762</v>
      </c>
      <c r="F221" s="198" t="s">
        <v>1700</v>
      </c>
      <c r="G221" s="198" t="s">
        <v>1700</v>
      </c>
      <c r="H221" s="25" t="s">
        <v>1700</v>
      </c>
      <c r="J221" s="27" t="s">
        <v>866</v>
      </c>
      <c r="L221" s="29" t="s">
        <v>3908</v>
      </c>
      <c r="R221" s="29" t="s">
        <v>1973</v>
      </c>
      <c r="CB221" s="278"/>
      <c r="CG221" s="278"/>
      <c r="EB221" s="19"/>
      <c r="EC221" s="19"/>
      <c r="ED221" s="19"/>
      <c r="EE221" s="19"/>
      <c r="EF221" s="19"/>
      <c r="EG221" s="19"/>
      <c r="EH221" s="19"/>
      <c r="EI221" s="19"/>
      <c r="EJ221" s="19"/>
      <c r="EK221" s="19"/>
      <c r="EL221" s="19"/>
      <c r="EN221" s="19"/>
      <c r="EO221" s="19"/>
      <c r="EP221" s="19"/>
      <c r="EQ221" s="19"/>
      <c r="ER221" s="19"/>
      <c r="ES221" s="19"/>
      <c r="ET221" s="19"/>
      <c r="EU221" s="19"/>
      <c r="EV221" s="19"/>
      <c r="EW221" s="19"/>
      <c r="EX221" s="19"/>
      <c r="EZ221" s="19"/>
      <c r="FA221" s="19"/>
      <c r="FB221" s="19"/>
      <c r="FC221" s="19"/>
      <c r="FD221" s="19"/>
      <c r="FE221" s="19"/>
      <c r="FF221" s="19"/>
      <c r="FG221" s="19"/>
      <c r="FH221" s="19"/>
      <c r="FI221" s="19"/>
      <c r="FJ221" s="19"/>
      <c r="FL221" s="19"/>
      <c r="FM221" s="19"/>
      <c r="FN221" s="19"/>
      <c r="FO221" s="19"/>
      <c r="FP221" s="19"/>
      <c r="FQ221" s="19"/>
      <c r="FR221" s="19"/>
      <c r="FS221" s="19"/>
      <c r="FT221" s="19"/>
      <c r="FU221" s="19"/>
      <c r="FV221" s="19"/>
      <c r="FX221" s="19"/>
      <c r="FY221" s="19"/>
      <c r="FZ221" s="19"/>
      <c r="GA221" s="19"/>
      <c r="GB221" s="19"/>
      <c r="GC221" s="19"/>
      <c r="GD221" s="19"/>
      <c r="GE221" s="19"/>
      <c r="GF221" s="19"/>
      <c r="GG221" s="19"/>
      <c r="GH221" s="19"/>
      <c r="GJ221" s="19"/>
      <c r="GK221" s="19"/>
      <c r="GL221" s="19"/>
      <c r="GM221" s="19"/>
      <c r="GN221" s="19"/>
      <c r="GO221" s="19"/>
      <c r="GP221" s="19"/>
      <c r="GQ221" s="19"/>
      <c r="GR221" s="19"/>
      <c r="GS221" s="19"/>
      <c r="GT221" s="19"/>
      <c r="GV221" s="19"/>
      <c r="GW221" s="19"/>
      <c r="GX221" s="19"/>
      <c r="GY221" s="19"/>
      <c r="GZ221" s="19"/>
      <c r="HA221" s="19"/>
      <c r="HB221" s="19"/>
      <c r="HC221" s="19"/>
      <c r="HD221" s="19"/>
      <c r="HE221" s="19"/>
      <c r="HF221" s="19"/>
      <c r="HH221" s="19"/>
      <c r="HI221" s="19"/>
      <c r="HJ221" s="19"/>
      <c r="HK221" s="19"/>
      <c r="HL221" s="19"/>
      <c r="HM221" s="19"/>
      <c r="HN221" s="19"/>
      <c r="HO221" s="19"/>
      <c r="HP221" s="19"/>
      <c r="HQ221" s="19"/>
    </row>
    <row r="222" spans="1:225" x14ac:dyDescent="0.25">
      <c r="A222" s="8" t="s">
        <v>2113</v>
      </c>
      <c r="B222" s="24" t="s">
        <v>2114</v>
      </c>
      <c r="E222" s="26" t="s">
        <v>877</v>
      </c>
      <c r="F222" s="198" t="s">
        <v>1700</v>
      </c>
      <c r="G222" s="198" t="s">
        <v>1700</v>
      </c>
      <c r="H222" s="25" t="s">
        <v>1700</v>
      </c>
      <c r="I222" s="27" t="s">
        <v>3893</v>
      </c>
      <c r="J222" s="27" t="s">
        <v>866</v>
      </c>
      <c r="K222" s="28" t="s">
        <v>816</v>
      </c>
      <c r="CB222" s="26"/>
      <c r="CC222" s="26"/>
      <c r="CF222" s="8"/>
      <c r="CG222" s="26"/>
      <c r="CH222" s="8"/>
      <c r="CM222" s="8"/>
      <c r="CR222" s="8"/>
    </row>
    <row r="223" spans="1:225" x14ac:dyDescent="0.25">
      <c r="A223" s="8" t="s">
        <v>1305</v>
      </c>
      <c r="B223" s="24" t="s">
        <v>3625</v>
      </c>
      <c r="C223" s="25" t="s">
        <v>1306</v>
      </c>
      <c r="E223" s="26" t="s">
        <v>1762</v>
      </c>
      <c r="F223" s="198" t="s">
        <v>1992</v>
      </c>
      <c r="G223" s="198" t="s">
        <v>1700</v>
      </c>
      <c r="H223" s="25" t="s">
        <v>3624</v>
      </c>
      <c r="J223" s="27" t="s">
        <v>866</v>
      </c>
      <c r="R223" s="29" t="s">
        <v>853</v>
      </c>
      <c r="X223" s="84" t="s">
        <v>1700</v>
      </c>
      <c r="Y223" s="84" t="s">
        <v>649</v>
      </c>
      <c r="AA223" s="84" t="s">
        <v>1307</v>
      </c>
      <c r="AB223" s="84" t="s">
        <v>51</v>
      </c>
      <c r="CA223" s="19"/>
      <c r="CB223" s="26">
        <v>42074</v>
      </c>
      <c r="CC223" s="26" t="s">
        <v>853</v>
      </c>
      <c r="CD223" s="8" t="s">
        <v>3626</v>
      </c>
      <c r="CE223" s="8">
        <v>179.8</v>
      </c>
      <c r="CF223" s="8">
        <v>90</v>
      </c>
      <c r="CG223" s="26"/>
      <c r="CH223" s="8"/>
      <c r="CM223" s="8"/>
      <c r="CR223" s="8"/>
      <c r="DZ223" s="279"/>
    </row>
    <row r="224" spans="1:225" x14ac:dyDescent="0.25">
      <c r="A224" s="8" t="s">
        <v>4415</v>
      </c>
      <c r="B224" s="24" t="s">
        <v>4416</v>
      </c>
      <c r="C224" s="25" t="s">
        <v>4414</v>
      </c>
      <c r="E224" s="26" t="s">
        <v>1762</v>
      </c>
      <c r="F224" s="198" t="s">
        <v>3317</v>
      </c>
      <c r="G224" s="198" t="s">
        <v>1700</v>
      </c>
      <c r="H224" s="25" t="s">
        <v>4417</v>
      </c>
      <c r="I224" s="27" t="s">
        <v>3903</v>
      </c>
      <c r="J224" s="27" t="s">
        <v>866</v>
      </c>
      <c r="K224" s="28" t="s">
        <v>853</v>
      </c>
      <c r="W224" s="93">
        <v>160</v>
      </c>
      <c r="X224" s="84" t="s">
        <v>1700</v>
      </c>
      <c r="Y224" s="84" t="s">
        <v>2499</v>
      </c>
      <c r="AA224" s="84" t="s">
        <v>4418</v>
      </c>
      <c r="AB224" s="84" t="s">
        <v>126</v>
      </c>
      <c r="AC224" s="26">
        <v>42352</v>
      </c>
      <c r="AD224" s="26" t="s">
        <v>853</v>
      </c>
      <c r="AE224" s="8" t="s">
        <v>4419</v>
      </c>
      <c r="AF224" s="8">
        <v>588</v>
      </c>
      <c r="AG224" s="8">
        <v>160</v>
      </c>
      <c r="CB224" s="278"/>
      <c r="CG224" s="278"/>
    </row>
    <row r="225" spans="1:225" x14ac:dyDescent="0.25">
      <c r="A225" s="8" t="s">
        <v>1743</v>
      </c>
      <c r="B225" s="24" t="s">
        <v>2054</v>
      </c>
      <c r="C225" s="25" t="s">
        <v>1744</v>
      </c>
      <c r="E225" s="26" t="s">
        <v>1762</v>
      </c>
      <c r="F225" s="198" t="s">
        <v>733</v>
      </c>
      <c r="G225" s="198" t="s">
        <v>1700</v>
      </c>
      <c r="H225" s="25" t="s">
        <v>2703</v>
      </c>
      <c r="I225" s="27" t="s">
        <v>3902</v>
      </c>
      <c r="J225" s="27" t="s">
        <v>866</v>
      </c>
      <c r="K225" s="28" t="s">
        <v>853</v>
      </c>
      <c r="R225" s="29" t="s">
        <v>853</v>
      </c>
      <c r="W225" s="93">
        <v>100</v>
      </c>
      <c r="X225" s="84" t="s">
        <v>1700</v>
      </c>
      <c r="Y225" s="84" t="s">
        <v>246</v>
      </c>
      <c r="AA225" s="84" t="s">
        <v>1745</v>
      </c>
      <c r="AB225" s="84" t="s">
        <v>126</v>
      </c>
      <c r="AC225" s="26">
        <v>42313</v>
      </c>
      <c r="AD225" s="26" t="s">
        <v>853</v>
      </c>
      <c r="AE225" s="8" t="s">
        <v>4178</v>
      </c>
      <c r="AF225" s="8">
        <v>200</v>
      </c>
      <c r="AG225" s="8">
        <v>100</v>
      </c>
      <c r="CB225" s="26">
        <v>41921</v>
      </c>
      <c r="CC225" s="26" t="s">
        <v>853</v>
      </c>
      <c r="CD225" s="8" t="s">
        <v>2704</v>
      </c>
      <c r="CE225" s="8">
        <v>175</v>
      </c>
      <c r="CF225" s="8">
        <v>88</v>
      </c>
      <c r="CG225" s="26"/>
      <c r="CH225" s="8"/>
      <c r="CM225" s="8"/>
      <c r="CR225" s="8"/>
    </row>
    <row r="226" spans="1:225" x14ac:dyDescent="0.25">
      <c r="A226" s="8" t="s">
        <v>1362</v>
      </c>
      <c r="B226" s="24" t="s">
        <v>1363</v>
      </c>
      <c r="C226" s="25" t="s">
        <v>1364</v>
      </c>
      <c r="E226" s="26" t="s">
        <v>1762</v>
      </c>
      <c r="F226" s="198" t="s">
        <v>1710</v>
      </c>
      <c r="G226" s="198" t="s">
        <v>1700</v>
      </c>
      <c r="H226" s="25" t="s">
        <v>1700</v>
      </c>
      <c r="I226" s="27" t="s">
        <v>3902</v>
      </c>
      <c r="J226" s="27" t="s">
        <v>866</v>
      </c>
      <c r="K226" s="28" t="s">
        <v>854</v>
      </c>
      <c r="R226" s="29" t="s">
        <v>854</v>
      </c>
      <c r="X226" s="84" t="s">
        <v>1700</v>
      </c>
      <c r="Y226" s="84" t="s">
        <v>791</v>
      </c>
      <c r="AA226" s="84" t="s">
        <v>1935</v>
      </c>
      <c r="AB226" s="84" t="s">
        <v>126</v>
      </c>
      <c r="BV226" s="8"/>
      <c r="CB226" s="26"/>
      <c r="CC226" s="26"/>
      <c r="CF226" s="8"/>
      <c r="CG226" s="26"/>
      <c r="CH226" s="8"/>
      <c r="CM226" s="8"/>
      <c r="CR226" s="8"/>
      <c r="DU226" s="8"/>
    </row>
    <row r="227" spans="1:225" x14ac:dyDescent="0.25">
      <c r="A227" s="8" t="s">
        <v>1426</v>
      </c>
      <c r="B227" s="24" t="s">
        <v>1427</v>
      </c>
      <c r="C227" s="25" t="s">
        <v>201</v>
      </c>
      <c r="E227" s="26" t="s">
        <v>1762</v>
      </c>
      <c r="F227" s="198" t="s">
        <v>1858</v>
      </c>
      <c r="G227" s="198" t="s">
        <v>1424</v>
      </c>
      <c r="H227" s="25" t="s">
        <v>1425</v>
      </c>
      <c r="J227" s="27" t="s">
        <v>866</v>
      </c>
      <c r="Q227" s="93"/>
      <c r="R227" s="28"/>
      <c r="S227" s="29"/>
      <c r="T227" s="29"/>
      <c r="U227" s="29"/>
      <c r="V227" s="29"/>
      <c r="X227" s="84" t="s">
        <v>1700</v>
      </c>
      <c r="Y227" s="84" t="s">
        <v>1700</v>
      </c>
      <c r="AA227" s="84" t="s">
        <v>203</v>
      </c>
      <c r="AB227" s="84" t="s">
        <v>221</v>
      </c>
      <c r="CB227" s="26"/>
      <c r="CC227" s="26"/>
      <c r="CF227" s="8"/>
      <c r="CG227" s="26"/>
      <c r="CH227" s="8"/>
      <c r="CM227" s="8"/>
      <c r="CR227" s="8"/>
    </row>
    <row r="228" spans="1:225" x14ac:dyDescent="0.25">
      <c r="A228" s="8" t="s">
        <v>644</v>
      </c>
      <c r="B228" s="24" t="s">
        <v>1588</v>
      </c>
      <c r="C228" s="25" t="s">
        <v>645</v>
      </c>
      <c r="E228" s="26" t="s">
        <v>1762</v>
      </c>
      <c r="F228" s="198" t="s">
        <v>1448</v>
      </c>
      <c r="G228" s="198" t="s">
        <v>1700</v>
      </c>
      <c r="H228" s="25" t="s">
        <v>3019</v>
      </c>
      <c r="I228" s="27" t="s">
        <v>3903</v>
      </c>
      <c r="J228" s="27" t="s">
        <v>866</v>
      </c>
      <c r="K228" s="28" t="s">
        <v>853</v>
      </c>
      <c r="Q228" s="93"/>
      <c r="R228" s="28" t="s">
        <v>853</v>
      </c>
      <c r="S228" s="29"/>
      <c r="T228" s="29"/>
      <c r="U228" s="29"/>
      <c r="V228" s="29"/>
      <c r="W228" s="93">
        <v>117</v>
      </c>
      <c r="X228" s="84" t="s">
        <v>1700</v>
      </c>
      <c r="Y228" s="84" t="s">
        <v>2499</v>
      </c>
      <c r="AA228" s="84" t="s">
        <v>4441</v>
      </c>
      <c r="AB228" s="84" t="s">
        <v>126</v>
      </c>
      <c r="AC228" s="26">
        <v>42360</v>
      </c>
      <c r="AD228" s="26" t="s">
        <v>853</v>
      </c>
      <c r="AE228" s="8" t="s">
        <v>4442</v>
      </c>
      <c r="AF228" s="8">
        <v>235</v>
      </c>
      <c r="AG228" s="8">
        <v>117</v>
      </c>
      <c r="BW228" s="19"/>
      <c r="BX228" s="19"/>
      <c r="BZ228" s="19"/>
      <c r="CB228" s="26">
        <v>41943</v>
      </c>
      <c r="CC228" s="26" t="s">
        <v>853</v>
      </c>
      <c r="CD228" s="8" t="s">
        <v>3020</v>
      </c>
      <c r="CE228" s="8">
        <v>166.5</v>
      </c>
      <c r="CF228" s="8">
        <v>84</v>
      </c>
      <c r="CG228" s="26"/>
      <c r="CH228" s="8"/>
      <c r="CM228" s="8"/>
      <c r="CR228" s="8"/>
      <c r="DV228" s="19"/>
      <c r="DW228" s="19"/>
      <c r="DX228" s="19"/>
      <c r="DY228" s="19"/>
    </row>
    <row r="229" spans="1:225" x14ac:dyDescent="0.25">
      <c r="A229" s="8" t="s">
        <v>214</v>
      </c>
      <c r="B229" s="24" t="s">
        <v>875</v>
      </c>
      <c r="C229" s="25" t="s">
        <v>278</v>
      </c>
      <c r="E229" s="26" t="s">
        <v>1762</v>
      </c>
      <c r="F229" s="198" t="s">
        <v>960</v>
      </c>
      <c r="G229" s="198" t="s">
        <v>1700</v>
      </c>
      <c r="H229" s="25" t="s">
        <v>1700</v>
      </c>
      <c r="I229" s="27" t="s">
        <v>3901</v>
      </c>
      <c r="J229" s="27" t="s">
        <v>866</v>
      </c>
      <c r="K229" s="28" t="s">
        <v>853</v>
      </c>
      <c r="Q229" s="93"/>
      <c r="R229" s="28" t="s">
        <v>853</v>
      </c>
      <c r="S229" s="21"/>
      <c r="T229" s="21"/>
      <c r="U229" s="21"/>
      <c r="V229" s="21"/>
      <c r="W229" s="95">
        <v>70</v>
      </c>
      <c r="X229" s="86" t="s">
        <v>1700</v>
      </c>
      <c r="Y229" s="86" t="s">
        <v>246</v>
      </c>
      <c r="Z229" s="86"/>
      <c r="AA229" s="84" t="s">
        <v>68</v>
      </c>
      <c r="AB229" s="84" t="s">
        <v>126</v>
      </c>
      <c r="AC229" s="26">
        <v>42311</v>
      </c>
      <c r="AD229" s="26" t="s">
        <v>853</v>
      </c>
      <c r="AE229" s="19" t="s">
        <v>4133</v>
      </c>
      <c r="AF229" s="19">
        <v>140</v>
      </c>
      <c r="AG229" s="19">
        <v>70</v>
      </c>
      <c r="AI229" s="19"/>
      <c r="AJ229" s="19"/>
      <c r="AK229" s="19"/>
      <c r="AL229" s="19"/>
      <c r="AN229" s="19"/>
      <c r="AO229" s="19"/>
      <c r="AP229" s="19"/>
      <c r="AQ229" s="19"/>
      <c r="AS229" s="19"/>
      <c r="AT229" s="19"/>
      <c r="AU229" s="19"/>
      <c r="AV229" s="19"/>
      <c r="AX229" s="19"/>
      <c r="AY229" s="19"/>
      <c r="AZ229" s="19"/>
      <c r="BA229" s="19"/>
      <c r="BC229" s="19"/>
      <c r="BD229" s="19"/>
      <c r="BE229" s="19"/>
      <c r="BF229" s="19"/>
      <c r="BH229" s="19"/>
      <c r="BI229" s="19"/>
      <c r="BJ229" s="19"/>
      <c r="BK229" s="19"/>
      <c r="BM229" s="19"/>
      <c r="BN229" s="19"/>
      <c r="BO229" s="19"/>
      <c r="BP229" s="19"/>
      <c r="BR229" s="19"/>
      <c r="BS229" s="19"/>
      <c r="BT229" s="19"/>
      <c r="BU229" s="19"/>
      <c r="BW229" s="19"/>
      <c r="BX229" s="19"/>
      <c r="BY229" s="19"/>
      <c r="BZ229" s="19"/>
      <c r="CB229" s="26">
        <v>41921</v>
      </c>
      <c r="CC229" s="26" t="s">
        <v>853</v>
      </c>
      <c r="CD229" s="19" t="s">
        <v>2727</v>
      </c>
      <c r="CE229" s="19">
        <v>125</v>
      </c>
      <c r="CF229" s="19">
        <v>63</v>
      </c>
      <c r="CG229" s="26"/>
      <c r="CH229" s="19"/>
      <c r="CI229" s="19"/>
      <c r="CJ229" s="19"/>
      <c r="CK229" s="19"/>
      <c r="CM229" s="19"/>
      <c r="CN229" s="19"/>
      <c r="CO229" s="19"/>
      <c r="CP229" s="19"/>
      <c r="CR229" s="19"/>
      <c r="CS229" s="19"/>
      <c r="CT229" s="19"/>
      <c r="CU229" s="19"/>
      <c r="CW229" s="19"/>
      <c r="CX229" s="19"/>
      <c r="CY229" s="19"/>
      <c r="CZ229" s="19"/>
      <c r="DB229" s="19"/>
      <c r="DC229" s="19"/>
      <c r="DD229" s="19"/>
      <c r="DE229" s="19"/>
      <c r="DG229" s="19"/>
      <c r="DH229" s="19"/>
      <c r="DI229" s="19"/>
      <c r="DJ229" s="19"/>
      <c r="DL229" s="19"/>
      <c r="DM229" s="19"/>
      <c r="DN229" s="19"/>
      <c r="DO229" s="19"/>
      <c r="DQ229" s="19"/>
      <c r="DR229" s="19"/>
      <c r="DS229" s="19"/>
      <c r="DT229" s="19"/>
      <c r="DV229" s="19"/>
      <c r="DW229" s="19"/>
      <c r="DX229" s="19"/>
      <c r="DY229" s="19"/>
    </row>
    <row r="230" spans="1:225" x14ac:dyDescent="0.25">
      <c r="A230" s="8" t="s">
        <v>152</v>
      </c>
      <c r="B230" s="24" t="s">
        <v>153</v>
      </c>
      <c r="C230" s="25" t="s">
        <v>154</v>
      </c>
      <c r="E230" s="26" t="s">
        <v>1762</v>
      </c>
      <c r="F230" s="198" t="s">
        <v>946</v>
      </c>
      <c r="G230" s="198" t="s">
        <v>3529</v>
      </c>
      <c r="H230" s="25" t="s">
        <v>3528</v>
      </c>
      <c r="I230" s="27" t="s">
        <v>3894</v>
      </c>
      <c r="J230" s="27" t="s">
        <v>866</v>
      </c>
      <c r="K230" s="28" t="s">
        <v>853</v>
      </c>
      <c r="R230" s="29" t="s">
        <v>853</v>
      </c>
      <c r="W230" s="93">
        <v>160</v>
      </c>
      <c r="X230" s="84" t="s">
        <v>1700</v>
      </c>
      <c r="Y230" s="84" t="s">
        <v>642</v>
      </c>
      <c r="AA230" s="84" t="s">
        <v>155</v>
      </c>
      <c r="AB230" s="84" t="s">
        <v>1152</v>
      </c>
      <c r="AC230" s="26">
        <v>42453</v>
      </c>
      <c r="AD230" s="26" t="s">
        <v>853</v>
      </c>
      <c r="AE230" s="8" t="s">
        <v>4706</v>
      </c>
      <c r="AF230" s="8">
        <v>540</v>
      </c>
      <c r="AG230" s="8">
        <v>160</v>
      </c>
      <c r="CB230" s="26">
        <v>42074</v>
      </c>
      <c r="CC230" s="26" t="s">
        <v>853</v>
      </c>
      <c r="CD230" s="8" t="s">
        <v>3530</v>
      </c>
      <c r="CE230" s="8">
        <v>540</v>
      </c>
      <c r="CF230" s="8">
        <v>160</v>
      </c>
      <c r="CG230" s="26"/>
      <c r="CH230" s="8"/>
      <c r="CM230" s="8"/>
      <c r="CR230" s="8"/>
      <c r="EB230" s="19"/>
      <c r="EC230" s="19"/>
      <c r="ED230" s="19"/>
      <c r="EE230" s="19"/>
      <c r="EF230" s="19"/>
      <c r="EG230" s="19"/>
      <c r="EH230" s="19"/>
      <c r="EI230" s="19"/>
      <c r="EJ230" s="19"/>
      <c r="EK230" s="19"/>
      <c r="EL230" s="19"/>
      <c r="EN230" s="19"/>
      <c r="EO230" s="19"/>
      <c r="EP230" s="19"/>
      <c r="EQ230" s="19"/>
      <c r="ER230" s="19"/>
      <c r="ES230" s="19"/>
      <c r="ET230" s="19"/>
      <c r="EU230" s="19"/>
      <c r="EV230" s="19"/>
      <c r="EW230" s="19"/>
      <c r="EX230" s="19"/>
      <c r="EZ230" s="19"/>
      <c r="FA230" s="19"/>
      <c r="FB230" s="19"/>
      <c r="FC230" s="19"/>
      <c r="FD230" s="19"/>
      <c r="FE230" s="19"/>
      <c r="FF230" s="19"/>
      <c r="FG230" s="19"/>
      <c r="FH230" s="19"/>
      <c r="FI230" s="19"/>
      <c r="FJ230" s="19"/>
      <c r="FL230" s="19"/>
      <c r="FM230" s="19"/>
      <c r="FN230" s="19"/>
      <c r="FO230" s="19"/>
      <c r="FP230" s="19"/>
      <c r="FQ230" s="19"/>
      <c r="FR230" s="19"/>
      <c r="FS230" s="19"/>
      <c r="FT230" s="19"/>
      <c r="FU230" s="19"/>
      <c r="FV230" s="19"/>
      <c r="FX230" s="19"/>
      <c r="FY230" s="19"/>
      <c r="FZ230" s="19"/>
      <c r="GA230" s="19"/>
      <c r="GB230" s="19"/>
      <c r="GC230" s="19"/>
      <c r="GD230" s="19"/>
      <c r="GE230" s="19"/>
      <c r="GF230" s="19"/>
      <c r="GG230" s="19"/>
      <c r="GH230" s="19"/>
      <c r="GJ230" s="19"/>
      <c r="GK230" s="19"/>
      <c r="GL230" s="19"/>
      <c r="GM230" s="19"/>
      <c r="GN230" s="19"/>
      <c r="GO230" s="19"/>
      <c r="GP230" s="19"/>
      <c r="GQ230" s="19"/>
      <c r="GR230" s="19"/>
      <c r="GS230" s="19"/>
      <c r="GT230" s="19"/>
      <c r="GV230" s="19"/>
      <c r="GW230" s="19"/>
      <c r="GX230" s="19"/>
      <c r="GY230" s="19"/>
      <c r="GZ230" s="19"/>
      <c r="HA230" s="19"/>
      <c r="HB230" s="19"/>
      <c r="HC230" s="19"/>
      <c r="HD230" s="19"/>
      <c r="HE230" s="19"/>
      <c r="HF230" s="19"/>
      <c r="HH230" s="19"/>
      <c r="HI230" s="19"/>
      <c r="HJ230" s="19"/>
      <c r="HK230" s="19"/>
      <c r="HL230" s="19"/>
      <c r="HM230" s="19"/>
      <c r="HN230" s="19"/>
      <c r="HO230" s="19"/>
      <c r="HP230" s="19"/>
      <c r="HQ230" s="19"/>
    </row>
    <row r="231" spans="1:225" x14ac:dyDescent="0.25">
      <c r="A231" s="8" t="s">
        <v>1005</v>
      </c>
      <c r="B231" s="24" t="s">
        <v>2175</v>
      </c>
      <c r="F231" s="198" t="s">
        <v>1700</v>
      </c>
      <c r="G231" s="198" t="s">
        <v>1700</v>
      </c>
      <c r="H231" s="25" t="s">
        <v>1700</v>
      </c>
      <c r="J231" s="27" t="s">
        <v>866</v>
      </c>
      <c r="CB231" s="26"/>
      <c r="CC231" s="26"/>
      <c r="CF231" s="8"/>
      <c r="CG231" s="26"/>
      <c r="CH231" s="8"/>
      <c r="CM231" s="8"/>
      <c r="CR231" s="8"/>
    </row>
    <row r="232" spans="1:225" x14ac:dyDescent="0.25">
      <c r="A232" s="8" t="s">
        <v>1570</v>
      </c>
      <c r="B232" s="24" t="s">
        <v>950</v>
      </c>
      <c r="C232" s="25" t="s">
        <v>1571</v>
      </c>
      <c r="E232" s="26" t="s">
        <v>1762</v>
      </c>
      <c r="F232" s="198" t="s">
        <v>744</v>
      </c>
      <c r="G232" s="198" t="s">
        <v>1700</v>
      </c>
      <c r="H232" s="25" t="s">
        <v>1700</v>
      </c>
      <c r="J232" s="27" t="s">
        <v>866</v>
      </c>
      <c r="X232" s="84" t="s">
        <v>1700</v>
      </c>
      <c r="Y232" s="84" t="s">
        <v>649</v>
      </c>
      <c r="AA232" s="84" t="s">
        <v>1572</v>
      </c>
      <c r="AB232" s="84" t="s">
        <v>2187</v>
      </c>
      <c r="CA232" s="19"/>
      <c r="CB232" s="26"/>
      <c r="CC232" s="26"/>
      <c r="CF232" s="8"/>
      <c r="CG232" s="26"/>
      <c r="CH232" s="8"/>
      <c r="CM232" s="8"/>
      <c r="CR232" s="8"/>
      <c r="EB232" s="19"/>
      <c r="EC232" s="19"/>
      <c r="ED232" s="19"/>
      <c r="EE232" s="19"/>
      <c r="EF232" s="19"/>
      <c r="EG232" s="19"/>
      <c r="EH232" s="19"/>
      <c r="EI232" s="19"/>
      <c r="EJ232" s="19"/>
      <c r="EK232" s="19"/>
      <c r="EL232" s="19"/>
      <c r="EN232" s="19"/>
      <c r="EO232" s="19"/>
      <c r="EP232" s="19"/>
      <c r="EQ232" s="19"/>
      <c r="ER232" s="19"/>
      <c r="ES232" s="19"/>
      <c r="ET232" s="19"/>
      <c r="EU232" s="19"/>
      <c r="EV232" s="19"/>
      <c r="EW232" s="19"/>
      <c r="EX232" s="19"/>
      <c r="EZ232" s="19"/>
      <c r="FA232" s="19"/>
      <c r="FB232" s="19"/>
      <c r="FC232" s="19"/>
      <c r="FD232" s="19"/>
      <c r="FE232" s="19"/>
      <c r="FF232" s="19"/>
      <c r="FG232" s="19"/>
      <c r="FH232" s="19"/>
      <c r="FI232" s="19"/>
      <c r="FJ232" s="19"/>
      <c r="FL232" s="19"/>
      <c r="FM232" s="19"/>
      <c r="FN232" s="19"/>
      <c r="FO232" s="19"/>
      <c r="FP232" s="19"/>
      <c r="FQ232" s="19"/>
      <c r="FR232" s="19"/>
      <c r="FS232" s="19"/>
      <c r="FT232" s="19"/>
      <c r="FU232" s="19"/>
      <c r="FV232" s="19"/>
      <c r="FX232" s="19"/>
      <c r="FY232" s="19"/>
      <c r="FZ232" s="19"/>
      <c r="GA232" s="19"/>
      <c r="GB232" s="19"/>
      <c r="GC232" s="19"/>
      <c r="GD232" s="19"/>
      <c r="GE232" s="19"/>
      <c r="GF232" s="19"/>
      <c r="GG232" s="19"/>
      <c r="GH232" s="19"/>
      <c r="GJ232" s="19"/>
      <c r="GK232" s="19"/>
      <c r="GL232" s="19"/>
      <c r="GM232" s="19"/>
      <c r="GN232" s="19"/>
      <c r="GO232" s="19"/>
      <c r="GP232" s="19"/>
      <c r="GQ232" s="19"/>
      <c r="GR232" s="19"/>
      <c r="GS232" s="19"/>
      <c r="GT232" s="19"/>
      <c r="GV232" s="19"/>
      <c r="GW232" s="19"/>
      <c r="GX232" s="19"/>
      <c r="GY232" s="19"/>
      <c r="GZ232" s="19"/>
      <c r="HA232" s="19"/>
      <c r="HB232" s="19"/>
      <c r="HC232" s="19"/>
      <c r="HD232" s="19"/>
      <c r="HE232" s="19"/>
      <c r="HF232" s="19"/>
      <c r="HH232" s="19"/>
      <c r="HI232" s="19"/>
      <c r="HJ232" s="19"/>
      <c r="HK232" s="19"/>
      <c r="HL232" s="19"/>
      <c r="HM232" s="19"/>
      <c r="HN232" s="19"/>
      <c r="HO232" s="19"/>
      <c r="HP232" s="19"/>
      <c r="HQ232" s="19"/>
    </row>
    <row r="233" spans="1:225" x14ac:dyDescent="0.25">
      <c r="A233" s="8" t="s">
        <v>4364</v>
      </c>
      <c r="B233" s="24" t="s">
        <v>4365</v>
      </c>
      <c r="C233" s="25" t="s">
        <v>4363</v>
      </c>
      <c r="F233" s="198" t="s">
        <v>2059</v>
      </c>
      <c r="G233" s="198" t="s">
        <v>1700</v>
      </c>
      <c r="H233" s="25" t="s">
        <v>4366</v>
      </c>
      <c r="I233" s="27" t="s">
        <v>3903</v>
      </c>
      <c r="J233" s="27" t="s">
        <v>866</v>
      </c>
      <c r="K233" s="28" t="s">
        <v>853</v>
      </c>
      <c r="W233" s="93">
        <v>160</v>
      </c>
      <c r="X233" s="84" t="s">
        <v>1700</v>
      </c>
      <c r="Y233" s="84" t="s">
        <v>4367</v>
      </c>
      <c r="AA233" s="84" t="s">
        <v>4368</v>
      </c>
      <c r="AB233" s="84" t="s">
        <v>51</v>
      </c>
      <c r="AC233" s="26">
        <v>42352</v>
      </c>
      <c r="AD233" s="26" t="s">
        <v>853</v>
      </c>
      <c r="AE233" s="8" t="s">
        <v>4369</v>
      </c>
      <c r="AF233" s="8">
        <v>720</v>
      </c>
      <c r="AG233" s="8">
        <v>160</v>
      </c>
      <c r="CB233" s="278"/>
      <c r="CG233" s="278"/>
      <c r="DZ233" s="19"/>
    </row>
    <row r="234" spans="1:225" x14ac:dyDescent="0.25">
      <c r="A234" s="8" t="s">
        <v>2977</v>
      </c>
      <c r="B234" s="24" t="s">
        <v>2978</v>
      </c>
      <c r="D234" s="26">
        <v>29586</v>
      </c>
      <c r="E234" s="26" t="s">
        <v>877</v>
      </c>
      <c r="F234" s="198" t="s">
        <v>1700</v>
      </c>
      <c r="G234" s="198" t="s">
        <v>1700</v>
      </c>
      <c r="H234" s="25" t="s">
        <v>1700</v>
      </c>
      <c r="I234" s="27" t="s">
        <v>3902</v>
      </c>
      <c r="J234" s="27" t="s">
        <v>866</v>
      </c>
      <c r="K234" s="28" t="s">
        <v>817</v>
      </c>
      <c r="R234" s="29" t="s">
        <v>817</v>
      </c>
      <c r="CB234" s="26"/>
      <c r="CC234" s="26"/>
      <c r="CF234" s="8"/>
      <c r="CG234" s="26"/>
      <c r="CH234" s="8"/>
      <c r="CM234" s="8"/>
      <c r="CR234" s="8"/>
    </row>
    <row r="235" spans="1:225" x14ac:dyDescent="0.25">
      <c r="A235" s="8" t="s">
        <v>1683</v>
      </c>
      <c r="B235" s="24" t="s">
        <v>861</v>
      </c>
      <c r="C235" s="25" t="s">
        <v>1684</v>
      </c>
      <c r="E235" s="26" t="s">
        <v>1762</v>
      </c>
      <c r="F235" s="198" t="s">
        <v>134</v>
      </c>
      <c r="G235" s="198" t="s">
        <v>1700</v>
      </c>
      <c r="H235" s="25" t="s">
        <v>2857</v>
      </c>
      <c r="J235" s="27" t="s">
        <v>866</v>
      </c>
      <c r="R235" s="29" t="s">
        <v>853</v>
      </c>
      <c r="X235" s="84" t="s">
        <v>1700</v>
      </c>
      <c r="Y235" s="84" t="s">
        <v>791</v>
      </c>
      <c r="AA235" s="84" t="s">
        <v>2858</v>
      </c>
      <c r="AB235" s="84" t="s">
        <v>126</v>
      </c>
      <c r="CB235" s="26">
        <v>41921</v>
      </c>
      <c r="CC235" s="26" t="s">
        <v>853</v>
      </c>
      <c r="CD235" s="8" t="s">
        <v>2859</v>
      </c>
      <c r="CE235" s="8">
        <v>730</v>
      </c>
      <c r="CF235" s="8">
        <v>160</v>
      </c>
      <c r="CG235" s="26"/>
      <c r="CH235" s="8"/>
      <c r="CM235" s="8"/>
      <c r="CR235" s="8"/>
    </row>
    <row r="236" spans="1:225" x14ac:dyDescent="0.25">
      <c r="A236" s="8" t="s">
        <v>2321</v>
      </c>
      <c r="B236" s="24" t="s">
        <v>172</v>
      </c>
      <c r="C236" s="25" t="s">
        <v>2322</v>
      </c>
      <c r="E236" s="26" t="s">
        <v>1764</v>
      </c>
      <c r="F236" s="198" t="s">
        <v>290</v>
      </c>
      <c r="G236" s="198" t="s">
        <v>1700</v>
      </c>
      <c r="H236" s="25" t="s">
        <v>2323</v>
      </c>
      <c r="J236" s="27" t="s">
        <v>866</v>
      </c>
      <c r="X236" s="84" t="s">
        <v>1700</v>
      </c>
      <c r="Y236" s="84" t="s">
        <v>2324</v>
      </c>
      <c r="AA236" s="84" t="s">
        <v>2325</v>
      </c>
      <c r="AB236" s="84" t="s">
        <v>821</v>
      </c>
      <c r="CB236" s="26"/>
      <c r="CC236" s="26"/>
      <c r="CF236" s="8"/>
      <c r="CG236" s="26"/>
      <c r="CH236" s="8"/>
      <c r="CM236" s="8"/>
      <c r="CR236" s="8"/>
    </row>
    <row r="237" spans="1:225" x14ac:dyDescent="0.25">
      <c r="A237" s="8" t="s">
        <v>698</v>
      </c>
      <c r="B237" s="24" t="s">
        <v>1655</v>
      </c>
      <c r="C237" s="25" t="s">
        <v>699</v>
      </c>
      <c r="E237" s="26" t="s">
        <v>1762</v>
      </c>
      <c r="F237" s="198" t="s">
        <v>913</v>
      </c>
      <c r="G237" s="198" t="s">
        <v>2374</v>
      </c>
      <c r="H237" s="25" t="s">
        <v>3149</v>
      </c>
      <c r="I237" s="27" t="s">
        <v>3903</v>
      </c>
      <c r="J237" s="27" t="s">
        <v>866</v>
      </c>
      <c r="K237" s="28" t="s">
        <v>853</v>
      </c>
      <c r="R237" s="29" t="s">
        <v>853</v>
      </c>
      <c r="W237" s="93">
        <v>160</v>
      </c>
      <c r="X237" s="84" t="s">
        <v>1700</v>
      </c>
      <c r="Y237" s="84" t="s">
        <v>762</v>
      </c>
      <c r="AA237" s="84" t="s">
        <v>3151</v>
      </c>
      <c r="AB237" s="84" t="s">
        <v>3150</v>
      </c>
      <c r="AC237" s="26">
        <v>42360</v>
      </c>
      <c r="AD237" s="26" t="s">
        <v>853</v>
      </c>
      <c r="AE237" s="8" t="s">
        <v>4535</v>
      </c>
      <c r="AF237" s="8">
        <v>414</v>
      </c>
      <c r="AG237" s="8">
        <v>160</v>
      </c>
      <c r="CB237" s="26">
        <v>41977</v>
      </c>
      <c r="CC237" s="26" t="s">
        <v>853</v>
      </c>
      <c r="CD237" s="8" t="s">
        <v>3152</v>
      </c>
      <c r="CE237" s="8">
        <v>318.60000000000002</v>
      </c>
      <c r="CF237" s="8">
        <v>160</v>
      </c>
      <c r="CG237" s="26"/>
      <c r="CH237" s="8"/>
      <c r="CM237" s="8"/>
      <c r="CR237" s="8"/>
      <c r="EB237" s="19"/>
      <c r="EC237" s="19"/>
      <c r="ED237" s="19"/>
      <c r="EE237" s="19"/>
      <c r="EF237" s="19"/>
      <c r="EG237" s="19"/>
      <c r="EH237" s="19"/>
      <c r="EI237" s="19"/>
      <c r="EJ237" s="19"/>
      <c r="EK237" s="19"/>
      <c r="EL237" s="19"/>
      <c r="EN237" s="19"/>
      <c r="EO237" s="19"/>
      <c r="EP237" s="19"/>
      <c r="EQ237" s="19"/>
      <c r="ER237" s="19"/>
      <c r="ES237" s="19"/>
      <c r="ET237" s="19"/>
      <c r="EU237" s="19"/>
      <c r="EV237" s="19"/>
      <c r="EW237" s="19"/>
      <c r="EX237" s="19"/>
      <c r="EZ237" s="19"/>
      <c r="FA237" s="19"/>
      <c r="FB237" s="19"/>
      <c r="FC237" s="19"/>
      <c r="FD237" s="19"/>
      <c r="FE237" s="19"/>
      <c r="FF237" s="19"/>
      <c r="FG237" s="19"/>
      <c r="FH237" s="19"/>
      <c r="FI237" s="19"/>
      <c r="FJ237" s="19"/>
      <c r="FL237" s="19"/>
      <c r="FM237" s="19"/>
      <c r="FN237" s="19"/>
      <c r="FO237" s="19"/>
      <c r="FP237" s="19"/>
      <c r="FQ237" s="19"/>
      <c r="FR237" s="19"/>
      <c r="FS237" s="19"/>
      <c r="FT237" s="19"/>
      <c r="FU237" s="19"/>
      <c r="FV237" s="19"/>
      <c r="FX237" s="19"/>
      <c r="FY237" s="19"/>
      <c r="FZ237" s="19"/>
      <c r="GA237" s="19"/>
      <c r="GB237" s="19"/>
      <c r="GC237" s="19"/>
      <c r="GD237" s="19"/>
      <c r="GE237" s="19"/>
      <c r="GF237" s="19"/>
      <c r="GG237" s="19"/>
      <c r="GH237" s="19"/>
      <c r="GJ237" s="19"/>
      <c r="GK237" s="19"/>
      <c r="GL237" s="19"/>
      <c r="GM237" s="19"/>
      <c r="GN237" s="19"/>
      <c r="GO237" s="19"/>
      <c r="GP237" s="19"/>
      <c r="GQ237" s="19"/>
      <c r="GR237" s="19"/>
      <c r="GS237" s="19"/>
      <c r="GT237" s="19"/>
      <c r="GV237" s="19"/>
      <c r="GW237" s="19"/>
      <c r="GX237" s="19"/>
      <c r="GY237" s="19"/>
      <c r="GZ237" s="19"/>
      <c r="HA237" s="19"/>
      <c r="HB237" s="19"/>
      <c r="HC237" s="19"/>
      <c r="HD237" s="19"/>
      <c r="HE237" s="19"/>
      <c r="HF237" s="19"/>
      <c r="HH237" s="19"/>
      <c r="HI237" s="19"/>
      <c r="HJ237" s="19"/>
      <c r="HK237" s="19"/>
      <c r="HL237" s="19"/>
      <c r="HM237" s="19"/>
      <c r="HN237" s="19"/>
      <c r="HO237" s="19"/>
      <c r="HP237" s="19"/>
      <c r="HQ237" s="19"/>
    </row>
    <row r="238" spans="1:225" x14ac:dyDescent="0.25">
      <c r="A238" s="8" t="s">
        <v>358</v>
      </c>
      <c r="B238" s="24" t="s">
        <v>962</v>
      </c>
      <c r="D238" s="26">
        <v>23028</v>
      </c>
      <c r="E238" s="26" t="s">
        <v>1762</v>
      </c>
      <c r="F238" s="198" t="s">
        <v>927</v>
      </c>
      <c r="G238" s="198" t="s">
        <v>1700</v>
      </c>
      <c r="H238" s="25" t="s">
        <v>2532</v>
      </c>
      <c r="J238" s="27" t="s">
        <v>866</v>
      </c>
      <c r="L238" s="29" t="s">
        <v>3906</v>
      </c>
      <c r="Q238" s="93"/>
      <c r="R238" s="28" t="s">
        <v>1973</v>
      </c>
      <c r="S238" s="21" t="s">
        <v>855</v>
      </c>
      <c r="T238" s="21"/>
      <c r="U238" s="21"/>
      <c r="V238" s="21"/>
      <c r="AA238" s="86"/>
      <c r="AB238" s="86"/>
      <c r="CB238" s="26"/>
      <c r="CC238" s="26"/>
      <c r="CF238" s="8"/>
      <c r="CG238" s="26"/>
      <c r="CH238" s="8"/>
      <c r="CM238" s="8"/>
      <c r="CR238" s="8"/>
      <c r="DZ238" s="19"/>
      <c r="EB238" s="19"/>
      <c r="EC238" s="19"/>
      <c r="ED238" s="19"/>
      <c r="EE238" s="19"/>
      <c r="EF238" s="19"/>
      <c r="EG238" s="19"/>
      <c r="EH238" s="19"/>
      <c r="EI238" s="19"/>
      <c r="EJ238" s="19"/>
      <c r="EK238" s="19"/>
      <c r="EL238" s="19"/>
      <c r="EN238" s="19"/>
      <c r="EO238" s="19"/>
      <c r="EP238" s="19"/>
      <c r="EQ238" s="19"/>
      <c r="ER238" s="19"/>
      <c r="ES238" s="19"/>
      <c r="ET238" s="19"/>
      <c r="EU238" s="19"/>
      <c r="EV238" s="19"/>
      <c r="EW238" s="19"/>
      <c r="EX238" s="19"/>
      <c r="EZ238" s="19"/>
      <c r="FA238" s="19"/>
      <c r="FB238" s="19"/>
      <c r="FC238" s="19"/>
      <c r="FD238" s="19"/>
      <c r="FE238" s="19"/>
      <c r="FF238" s="19"/>
      <c r="FG238" s="19"/>
      <c r="FH238" s="19"/>
      <c r="FI238" s="19"/>
      <c r="FJ238" s="19"/>
      <c r="FL238" s="19"/>
      <c r="FM238" s="19"/>
      <c r="FN238" s="19"/>
      <c r="FO238" s="19"/>
      <c r="FP238" s="19"/>
      <c r="FQ238" s="19"/>
      <c r="FR238" s="19"/>
      <c r="FS238" s="19"/>
      <c r="FT238" s="19"/>
      <c r="FU238" s="19"/>
      <c r="FV238" s="19"/>
      <c r="FX238" s="19"/>
      <c r="FY238" s="19"/>
      <c r="FZ238" s="19"/>
      <c r="GA238" s="19"/>
      <c r="GB238" s="19"/>
      <c r="GC238" s="19"/>
      <c r="GD238" s="19"/>
      <c r="GE238" s="19"/>
      <c r="GF238" s="19"/>
      <c r="GG238" s="19"/>
      <c r="GH238" s="19"/>
      <c r="GJ238" s="19"/>
      <c r="GK238" s="19"/>
      <c r="GL238" s="19"/>
      <c r="GM238" s="19"/>
      <c r="GN238" s="19"/>
      <c r="GO238" s="19"/>
      <c r="GP238" s="19"/>
      <c r="GQ238" s="19"/>
      <c r="GR238" s="19"/>
      <c r="GS238" s="19"/>
      <c r="GT238" s="19"/>
      <c r="GV238" s="19"/>
      <c r="GW238" s="19"/>
      <c r="GX238" s="19"/>
      <c r="GY238" s="19"/>
      <c r="GZ238" s="19"/>
      <c r="HA238" s="19"/>
      <c r="HB238" s="19"/>
      <c r="HC238" s="19"/>
      <c r="HD238" s="19"/>
      <c r="HE238" s="19"/>
      <c r="HF238" s="19"/>
      <c r="HH238" s="19"/>
      <c r="HI238" s="19"/>
      <c r="HJ238" s="19"/>
      <c r="HK238" s="19"/>
      <c r="HL238" s="19"/>
      <c r="HM238" s="19"/>
      <c r="HN238" s="19"/>
      <c r="HO238" s="19"/>
      <c r="HP238" s="19"/>
      <c r="HQ238" s="19"/>
    </row>
    <row r="239" spans="1:225" x14ac:dyDescent="0.25">
      <c r="A239" s="8" t="s">
        <v>2111</v>
      </c>
      <c r="B239" s="24" t="s">
        <v>936</v>
      </c>
      <c r="C239" s="25" t="s">
        <v>2112</v>
      </c>
      <c r="E239" s="26" t="s">
        <v>1762</v>
      </c>
      <c r="F239" s="198" t="s">
        <v>1448</v>
      </c>
      <c r="G239" s="198" t="s">
        <v>1700</v>
      </c>
      <c r="H239" s="25" t="s">
        <v>1700</v>
      </c>
      <c r="J239" s="27" t="s">
        <v>866</v>
      </c>
      <c r="X239" s="84" t="s">
        <v>1700</v>
      </c>
      <c r="Y239" s="84" t="s">
        <v>791</v>
      </c>
      <c r="AA239" s="84" t="s">
        <v>1573</v>
      </c>
      <c r="AB239" s="84" t="s">
        <v>670</v>
      </c>
      <c r="CB239" s="26"/>
      <c r="CC239" s="26"/>
      <c r="CF239" s="8"/>
      <c r="CG239" s="26"/>
      <c r="CH239" s="8"/>
      <c r="CM239" s="8"/>
      <c r="CR239" s="8"/>
      <c r="DZ239" s="19"/>
    </row>
    <row r="240" spans="1:225" x14ac:dyDescent="0.25">
      <c r="A240" s="8" t="s">
        <v>2384</v>
      </c>
      <c r="B240" s="24" t="s">
        <v>950</v>
      </c>
      <c r="C240" s="25" t="s">
        <v>2385</v>
      </c>
      <c r="E240" s="26" t="s">
        <v>896</v>
      </c>
      <c r="F240" s="198" t="s">
        <v>896</v>
      </c>
      <c r="G240" s="198" t="s">
        <v>2387</v>
      </c>
      <c r="H240" s="25" t="s">
        <v>2386</v>
      </c>
      <c r="J240" s="27" t="s">
        <v>866</v>
      </c>
      <c r="R240" s="29" t="s">
        <v>853</v>
      </c>
      <c r="X240" s="84" t="s">
        <v>1700</v>
      </c>
      <c r="Y240" s="84" t="s">
        <v>2389</v>
      </c>
      <c r="AA240" s="84" t="s">
        <v>2390</v>
      </c>
      <c r="AB240" s="84" t="s">
        <v>2388</v>
      </c>
      <c r="CB240" s="26">
        <v>42097</v>
      </c>
      <c r="CC240" s="26" t="s">
        <v>853</v>
      </c>
      <c r="CD240" s="8" t="s">
        <v>3674</v>
      </c>
      <c r="CE240" s="8">
        <v>640</v>
      </c>
      <c r="CF240" s="8">
        <v>160</v>
      </c>
      <c r="CG240" s="26"/>
      <c r="CH240" s="8"/>
      <c r="CM240" s="8"/>
      <c r="CR240" s="8"/>
    </row>
    <row r="241" spans="1:225" x14ac:dyDescent="0.25">
      <c r="A241" s="8" t="s">
        <v>3354</v>
      </c>
      <c r="B241" s="24" t="s">
        <v>1417</v>
      </c>
      <c r="C241" s="25" t="s">
        <v>3355</v>
      </c>
      <c r="E241" s="26" t="s">
        <v>1762</v>
      </c>
      <c r="F241" s="198" t="s">
        <v>1700</v>
      </c>
      <c r="G241" s="198" t="s">
        <v>1700</v>
      </c>
      <c r="H241" s="25" t="s">
        <v>1700</v>
      </c>
      <c r="J241" s="27" t="s">
        <v>866</v>
      </c>
      <c r="R241" s="29" t="s">
        <v>859</v>
      </c>
      <c r="X241" s="84" t="s">
        <v>1700</v>
      </c>
      <c r="Y241" s="84" t="s">
        <v>3356</v>
      </c>
      <c r="AA241" s="84" t="s">
        <v>3357</v>
      </c>
      <c r="AB241" s="84" t="s">
        <v>1749</v>
      </c>
      <c r="CB241" s="278">
        <v>42032</v>
      </c>
      <c r="CC241" s="278" t="s">
        <v>859</v>
      </c>
      <c r="CD241" s="8" t="s">
        <v>2307</v>
      </c>
      <c r="CE241" s="8">
        <v>816</v>
      </c>
      <c r="CF241" s="279">
        <v>280</v>
      </c>
      <c r="CG241" s="278"/>
    </row>
    <row r="242" spans="1:225" x14ac:dyDescent="0.25">
      <c r="A242" s="8" t="s">
        <v>4445</v>
      </c>
      <c r="B242" s="24" t="s">
        <v>4446</v>
      </c>
      <c r="C242" s="25" t="s">
        <v>4444</v>
      </c>
      <c r="E242" s="26" t="s">
        <v>1762</v>
      </c>
      <c r="F242" s="198" t="s">
        <v>1899</v>
      </c>
      <c r="G242" s="198" t="s">
        <v>1700</v>
      </c>
      <c r="H242" s="25" t="s">
        <v>4447</v>
      </c>
      <c r="I242" s="27" t="s">
        <v>3903</v>
      </c>
      <c r="J242" s="27" t="s">
        <v>866</v>
      </c>
      <c r="K242" s="28" t="s">
        <v>853</v>
      </c>
      <c r="W242" s="93">
        <v>75</v>
      </c>
      <c r="X242" s="84" t="s">
        <v>1700</v>
      </c>
      <c r="Y242" s="84" t="s">
        <v>2499</v>
      </c>
      <c r="AA242" s="84" t="s">
        <v>4448</v>
      </c>
      <c r="AB242" s="84" t="s">
        <v>126</v>
      </c>
      <c r="AC242" s="26">
        <v>42360</v>
      </c>
      <c r="AD242" s="26" t="s">
        <v>853</v>
      </c>
      <c r="AE242" s="8" t="s">
        <v>4449</v>
      </c>
      <c r="AF242" s="8">
        <v>100</v>
      </c>
      <c r="AG242" s="8">
        <v>50</v>
      </c>
      <c r="AH242" s="26">
        <v>42360</v>
      </c>
      <c r="AI242" s="8" t="s">
        <v>853</v>
      </c>
      <c r="AJ242" s="8" t="s">
        <v>4588</v>
      </c>
      <c r="AK242" s="8">
        <v>50</v>
      </c>
      <c r="AL242" s="8">
        <v>25</v>
      </c>
      <c r="CB242" s="278"/>
      <c r="CG242" s="278"/>
    </row>
    <row r="243" spans="1:225" x14ac:dyDescent="0.25">
      <c r="A243" s="19" t="s">
        <v>215</v>
      </c>
      <c r="B243" s="12" t="s">
        <v>1949</v>
      </c>
      <c r="C243" s="13" t="s">
        <v>668</v>
      </c>
      <c r="D243" s="14">
        <v>21881</v>
      </c>
      <c r="E243" s="14" t="s">
        <v>1762</v>
      </c>
      <c r="F243" s="199" t="s">
        <v>949</v>
      </c>
      <c r="G243" s="199" t="s">
        <v>1700</v>
      </c>
      <c r="H243" s="13" t="s">
        <v>1700</v>
      </c>
      <c r="I243" s="20" t="s">
        <v>3901</v>
      </c>
      <c r="J243" s="20" t="s">
        <v>866</v>
      </c>
      <c r="K243" s="17" t="s">
        <v>3908</v>
      </c>
      <c r="L243" s="21"/>
      <c r="M243" s="21"/>
      <c r="N243" s="21"/>
      <c r="O243" s="21"/>
      <c r="Q243" s="95"/>
      <c r="R243" s="17" t="s">
        <v>1763</v>
      </c>
      <c r="S243" s="21" t="s">
        <v>857</v>
      </c>
      <c r="T243" s="21"/>
      <c r="U243" s="21"/>
      <c r="V243" s="21"/>
      <c r="W243" s="95"/>
      <c r="X243" s="86"/>
      <c r="Y243" s="86" t="s">
        <v>190</v>
      </c>
      <c r="Z243" s="86"/>
      <c r="AA243" s="86" t="s">
        <v>337</v>
      </c>
      <c r="AB243" s="86" t="s">
        <v>126</v>
      </c>
      <c r="AE243" s="19"/>
      <c r="AF243" s="19"/>
      <c r="AG243" s="19"/>
      <c r="AI243" s="19"/>
      <c r="AJ243" s="19"/>
      <c r="AK243" s="19"/>
      <c r="AL243" s="19"/>
      <c r="AN243" s="19"/>
      <c r="AO243" s="19"/>
      <c r="AP243" s="19"/>
      <c r="AQ243" s="19"/>
      <c r="AS243" s="19"/>
      <c r="AT243" s="19"/>
      <c r="AU243" s="19"/>
      <c r="AV243" s="19"/>
      <c r="AX243" s="19"/>
      <c r="AY243" s="19"/>
      <c r="AZ243" s="19"/>
      <c r="BA243" s="19"/>
      <c r="BC243" s="19"/>
      <c r="BD243" s="19"/>
      <c r="BE243" s="19"/>
      <c r="BF243" s="19"/>
      <c r="BH243" s="19"/>
      <c r="BI243" s="19"/>
      <c r="BJ243" s="19"/>
      <c r="BK243" s="19"/>
      <c r="BM243" s="19"/>
      <c r="BN243" s="19"/>
      <c r="BO243" s="19"/>
      <c r="BP243" s="19"/>
      <c r="BR243" s="19"/>
      <c r="BS243" s="19"/>
      <c r="BT243" s="19"/>
      <c r="BU243" s="19"/>
      <c r="BW243" s="19"/>
      <c r="BX243" s="19"/>
      <c r="BY243" s="19"/>
      <c r="BZ243" s="19"/>
      <c r="CB243" s="26"/>
      <c r="CC243" s="26"/>
      <c r="CD243" s="19"/>
      <c r="CE243" s="19"/>
      <c r="CF243" s="19"/>
      <c r="CG243" s="26"/>
      <c r="CH243" s="19"/>
      <c r="CI243" s="19"/>
      <c r="CJ243" s="19"/>
      <c r="CK243" s="19"/>
      <c r="CM243" s="19"/>
      <c r="CN243" s="19"/>
      <c r="CO243" s="19"/>
      <c r="CP243" s="19"/>
      <c r="CR243" s="19"/>
      <c r="CS243" s="19"/>
      <c r="CT243" s="19"/>
      <c r="CU243" s="19"/>
      <c r="CW243" s="19"/>
      <c r="CX243" s="19"/>
      <c r="CY243" s="19"/>
      <c r="CZ243" s="19"/>
      <c r="DB243" s="19"/>
      <c r="DC243" s="19"/>
      <c r="DD243" s="19"/>
      <c r="DE243" s="19"/>
      <c r="DG243" s="19"/>
      <c r="DH243" s="19"/>
      <c r="DI243" s="19"/>
      <c r="DJ243" s="19"/>
      <c r="DL243" s="19"/>
      <c r="DM243" s="19"/>
      <c r="DN243" s="19"/>
      <c r="DO243" s="19"/>
      <c r="DQ243" s="19"/>
      <c r="DR243" s="19"/>
      <c r="DS243" s="19"/>
      <c r="DT243" s="19"/>
      <c r="DV243" s="19"/>
      <c r="DW243" s="19"/>
      <c r="DX243" s="19"/>
      <c r="DY243" s="19"/>
    </row>
    <row r="244" spans="1:225" x14ac:dyDescent="0.25">
      <c r="A244" s="19" t="s">
        <v>964</v>
      </c>
      <c r="B244" s="12" t="s">
        <v>882</v>
      </c>
      <c r="C244" s="13" t="s">
        <v>132</v>
      </c>
      <c r="D244" s="14"/>
      <c r="E244" s="14" t="s">
        <v>1762</v>
      </c>
      <c r="F244" s="199" t="s">
        <v>947</v>
      </c>
      <c r="G244" s="199" t="s">
        <v>1700</v>
      </c>
      <c r="H244" s="13" t="s">
        <v>3544</v>
      </c>
      <c r="I244" s="15"/>
      <c r="J244" s="20" t="s">
        <v>866</v>
      </c>
      <c r="K244" s="17"/>
      <c r="L244" s="21"/>
      <c r="M244" s="21"/>
      <c r="N244" s="21"/>
      <c r="O244" s="21"/>
      <c r="Q244" s="95"/>
      <c r="R244" s="17" t="s">
        <v>853</v>
      </c>
      <c r="S244" s="29"/>
      <c r="T244" s="29"/>
      <c r="U244" s="29"/>
      <c r="V244" s="29"/>
      <c r="W244" s="95"/>
      <c r="X244" s="86" t="s">
        <v>1700</v>
      </c>
      <c r="Y244" s="86" t="s">
        <v>246</v>
      </c>
      <c r="Z244" s="86"/>
      <c r="AA244" s="84" t="s">
        <v>69</v>
      </c>
      <c r="AB244" s="84" t="s">
        <v>126</v>
      </c>
      <c r="AD244" s="19"/>
      <c r="AE244" s="19"/>
      <c r="AF244" s="19"/>
      <c r="AG244" s="19"/>
      <c r="AI244" s="19"/>
      <c r="AJ244" s="19"/>
      <c r="AK244" s="19"/>
      <c r="AL244" s="19"/>
      <c r="AN244" s="19"/>
      <c r="AO244" s="19"/>
      <c r="AP244" s="19"/>
      <c r="AQ244" s="19"/>
      <c r="AS244" s="19"/>
      <c r="AT244" s="19"/>
      <c r="AU244" s="19"/>
      <c r="AV244" s="19"/>
      <c r="AX244" s="19"/>
      <c r="AY244" s="19"/>
      <c r="AZ244" s="19"/>
      <c r="BA244" s="19"/>
      <c r="BC244" s="19"/>
      <c r="BD244" s="19"/>
      <c r="BE244" s="19"/>
      <c r="BF244" s="19"/>
      <c r="BH244" s="19"/>
      <c r="BI244" s="19"/>
      <c r="BJ244" s="19"/>
      <c r="BK244" s="19"/>
      <c r="BM244" s="19"/>
      <c r="BN244" s="19"/>
      <c r="BO244" s="19"/>
      <c r="BP244" s="19"/>
      <c r="BQ244" s="8"/>
      <c r="BT244" s="19"/>
      <c r="BV244" s="8"/>
      <c r="BY244" s="19"/>
      <c r="CB244" s="26">
        <v>42074</v>
      </c>
      <c r="CC244" s="19" t="s">
        <v>853</v>
      </c>
      <c r="CD244" s="19" t="s">
        <v>3545</v>
      </c>
      <c r="CE244" s="19">
        <v>200</v>
      </c>
      <c r="CF244" s="19">
        <v>100</v>
      </c>
      <c r="CG244" s="26"/>
      <c r="CH244" s="19"/>
      <c r="CI244" s="19"/>
      <c r="CJ244" s="19"/>
      <c r="CK244" s="19"/>
      <c r="CM244" s="19"/>
      <c r="CN244" s="19"/>
      <c r="CO244" s="19"/>
      <c r="CP244" s="19"/>
      <c r="CR244" s="19"/>
      <c r="CS244" s="19"/>
      <c r="CT244" s="19"/>
      <c r="CU244" s="19"/>
      <c r="CW244" s="19"/>
      <c r="CX244" s="19"/>
      <c r="CY244" s="19"/>
      <c r="CZ244" s="19"/>
      <c r="DB244" s="19"/>
      <c r="DC244" s="19"/>
      <c r="DD244" s="19"/>
      <c r="DE244" s="19"/>
      <c r="DG244" s="19"/>
      <c r="DH244" s="19"/>
      <c r="DI244" s="19"/>
      <c r="DJ244" s="19"/>
      <c r="DL244" s="19"/>
      <c r="DM244" s="19"/>
      <c r="DN244" s="19"/>
      <c r="DO244" s="19"/>
      <c r="DP244" s="8"/>
      <c r="DU244" s="8"/>
    </row>
    <row r="245" spans="1:225" x14ac:dyDescent="0.25">
      <c r="A245" s="8" t="s">
        <v>661</v>
      </c>
      <c r="B245" s="24" t="s">
        <v>2012</v>
      </c>
      <c r="C245" s="25" t="s">
        <v>2467</v>
      </c>
      <c r="E245" s="26" t="s">
        <v>1762</v>
      </c>
      <c r="F245" s="198" t="s">
        <v>138</v>
      </c>
      <c r="G245" s="198" t="s">
        <v>1700</v>
      </c>
      <c r="H245" s="25" t="s">
        <v>2468</v>
      </c>
      <c r="J245" s="27" t="s">
        <v>866</v>
      </c>
      <c r="R245" s="29" t="s">
        <v>853</v>
      </c>
      <c r="X245" s="84" t="s">
        <v>1700</v>
      </c>
      <c r="Y245" s="84" t="s">
        <v>1530</v>
      </c>
      <c r="AA245" s="84" t="s">
        <v>2470</v>
      </c>
      <c r="AB245" s="84" t="s">
        <v>2469</v>
      </c>
      <c r="AD245" s="8"/>
      <c r="BV245" s="8"/>
      <c r="CB245" s="26">
        <v>41921</v>
      </c>
      <c r="CC245" s="8" t="s">
        <v>853</v>
      </c>
      <c r="CD245" s="8" t="s">
        <v>2798</v>
      </c>
      <c r="CE245" s="8">
        <v>72</v>
      </c>
      <c r="CF245" s="8">
        <v>36</v>
      </c>
      <c r="CG245" s="26"/>
      <c r="CH245" s="8"/>
      <c r="CM245" s="8"/>
      <c r="CR245" s="8"/>
      <c r="DU245" s="8"/>
    </row>
    <row r="246" spans="1:225" x14ac:dyDescent="0.25">
      <c r="A246" s="8" t="s">
        <v>517</v>
      </c>
      <c r="B246" s="24" t="s">
        <v>139</v>
      </c>
      <c r="C246" s="25" t="s">
        <v>518</v>
      </c>
      <c r="E246" s="26" t="s">
        <v>1762</v>
      </c>
      <c r="F246" s="198" t="s">
        <v>913</v>
      </c>
      <c r="G246" s="198" t="s">
        <v>1700</v>
      </c>
      <c r="H246" s="25" t="s">
        <v>2924</v>
      </c>
      <c r="J246" s="27" t="s">
        <v>866</v>
      </c>
      <c r="R246" s="29" t="s">
        <v>853</v>
      </c>
      <c r="X246" s="84" t="s">
        <v>1700</v>
      </c>
      <c r="Y246" s="84" t="s">
        <v>2499</v>
      </c>
      <c r="AA246" s="84" t="s">
        <v>519</v>
      </c>
      <c r="AB246" s="84" t="s">
        <v>126</v>
      </c>
      <c r="CB246" s="26">
        <v>41934</v>
      </c>
      <c r="CC246" s="26" t="s">
        <v>853</v>
      </c>
      <c r="CD246" s="8" t="s">
        <v>2925</v>
      </c>
      <c r="CE246" s="8">
        <v>45</v>
      </c>
      <c r="CF246" s="8">
        <v>23</v>
      </c>
      <c r="CG246" s="26"/>
      <c r="CH246" s="8"/>
      <c r="CM246" s="8"/>
      <c r="CR246" s="8"/>
    </row>
    <row r="247" spans="1:225" x14ac:dyDescent="0.25">
      <c r="A247" s="8" t="s">
        <v>4328</v>
      </c>
      <c r="B247" s="24" t="s">
        <v>2151</v>
      </c>
      <c r="C247" s="25" t="s">
        <v>4327</v>
      </c>
      <c r="E247" s="26" t="s">
        <v>1762</v>
      </c>
      <c r="F247" s="198" t="s">
        <v>1616</v>
      </c>
      <c r="G247" s="198" t="s">
        <v>1700</v>
      </c>
      <c r="H247" s="25" t="s">
        <v>4329</v>
      </c>
      <c r="I247" s="27" t="s">
        <v>3903</v>
      </c>
      <c r="J247" s="27" t="s">
        <v>866</v>
      </c>
      <c r="K247" s="28" t="s">
        <v>853</v>
      </c>
      <c r="W247" s="93">
        <v>92</v>
      </c>
      <c r="X247" s="84" t="s">
        <v>1700</v>
      </c>
      <c r="Y247" s="84" t="s">
        <v>258</v>
      </c>
      <c r="AA247" s="84" t="s">
        <v>4330</v>
      </c>
      <c r="AB247" s="84" t="s">
        <v>1749</v>
      </c>
      <c r="AC247" s="26">
        <v>42352</v>
      </c>
      <c r="AD247" s="26" t="s">
        <v>853</v>
      </c>
      <c r="AE247" s="8" t="s">
        <v>4331</v>
      </c>
      <c r="AF247" s="8">
        <v>185</v>
      </c>
      <c r="AG247" s="8">
        <v>92</v>
      </c>
      <c r="CB247" s="278"/>
      <c r="CG247" s="278"/>
    </row>
    <row r="248" spans="1:225" x14ac:dyDescent="0.25">
      <c r="A248" s="8" t="s">
        <v>1329</v>
      </c>
      <c r="B248" s="24" t="s">
        <v>1330</v>
      </c>
      <c r="C248" s="25" t="s">
        <v>1331</v>
      </c>
      <c r="E248" s="26" t="s">
        <v>1762</v>
      </c>
      <c r="F248" s="198" t="s">
        <v>946</v>
      </c>
      <c r="G248" s="198" t="s">
        <v>1700</v>
      </c>
      <c r="H248" s="25" t="s">
        <v>1700</v>
      </c>
      <c r="J248" s="27" t="s">
        <v>866</v>
      </c>
      <c r="X248" s="84" t="s">
        <v>1700</v>
      </c>
      <c r="Y248" s="84" t="s">
        <v>282</v>
      </c>
      <c r="AA248" s="84" t="s">
        <v>1332</v>
      </c>
      <c r="AB248" s="84" t="s">
        <v>1531</v>
      </c>
      <c r="CB248" s="26"/>
      <c r="CC248" s="26"/>
      <c r="CF248" s="8"/>
      <c r="CG248" s="26"/>
      <c r="CH248" s="8"/>
      <c r="CM248" s="8"/>
      <c r="CR248" s="8"/>
    </row>
    <row r="249" spans="1:225" x14ac:dyDescent="0.25">
      <c r="A249" s="8" t="s">
        <v>3809</v>
      </c>
      <c r="B249" s="24" t="s">
        <v>1855</v>
      </c>
      <c r="D249" s="26">
        <v>27897</v>
      </c>
      <c r="E249" s="26" t="s">
        <v>1762</v>
      </c>
      <c r="F249" s="198" t="s">
        <v>1218</v>
      </c>
      <c r="G249" s="198" t="s">
        <v>1700</v>
      </c>
      <c r="H249" s="25" t="s">
        <v>1700</v>
      </c>
      <c r="J249" s="27" t="s">
        <v>866</v>
      </c>
      <c r="R249" s="29" t="s">
        <v>855</v>
      </c>
      <c r="CB249" s="278"/>
      <c r="CG249" s="278"/>
    </row>
    <row r="250" spans="1:225" x14ac:dyDescent="0.25">
      <c r="A250" s="8" t="s">
        <v>1536</v>
      </c>
      <c r="B250" s="24" t="s">
        <v>1537</v>
      </c>
      <c r="C250" s="25" t="s">
        <v>1538</v>
      </c>
      <c r="E250" s="26" t="s">
        <v>1764</v>
      </c>
      <c r="F250" s="198" t="s">
        <v>891</v>
      </c>
      <c r="G250" s="198" t="s">
        <v>1700</v>
      </c>
      <c r="H250" s="25" t="s">
        <v>3701</v>
      </c>
      <c r="I250" s="27" t="s">
        <v>3896</v>
      </c>
      <c r="J250" s="27" t="s">
        <v>866</v>
      </c>
      <c r="K250" s="28" t="s">
        <v>853</v>
      </c>
      <c r="R250" s="29" t="s">
        <v>853</v>
      </c>
      <c r="W250" s="93">
        <v>160</v>
      </c>
      <c r="X250" s="84" t="s">
        <v>1700</v>
      </c>
      <c r="Y250" s="84" t="s">
        <v>791</v>
      </c>
      <c r="AA250" s="84" t="s">
        <v>2410</v>
      </c>
      <c r="AB250" s="84" t="s">
        <v>126</v>
      </c>
      <c r="AC250" s="26">
        <v>42545</v>
      </c>
      <c r="AD250" s="26" t="s">
        <v>853</v>
      </c>
      <c r="AE250" s="8" t="s">
        <v>4825</v>
      </c>
      <c r="AF250" s="8">
        <v>600</v>
      </c>
      <c r="AG250" s="8">
        <v>160</v>
      </c>
      <c r="CA250" s="19"/>
      <c r="CB250" s="26">
        <v>42135</v>
      </c>
      <c r="CC250" s="26" t="s">
        <v>853</v>
      </c>
      <c r="CD250" s="8" t="s">
        <v>2409</v>
      </c>
      <c r="CE250" s="8">
        <v>600</v>
      </c>
      <c r="CF250" s="8">
        <v>160</v>
      </c>
      <c r="CG250" s="26"/>
      <c r="CH250" s="8"/>
      <c r="CM250" s="8"/>
      <c r="CR250" s="8"/>
      <c r="DZ250" s="19"/>
    </row>
    <row r="251" spans="1:225" x14ac:dyDescent="0.25">
      <c r="A251" s="8" t="s">
        <v>1380</v>
      </c>
      <c r="B251" s="24" t="s">
        <v>1949</v>
      </c>
      <c r="C251" s="25" t="s">
        <v>1381</v>
      </c>
      <c r="E251" s="26" t="s">
        <v>1762</v>
      </c>
      <c r="F251" s="198" t="s">
        <v>1394</v>
      </c>
      <c r="G251" s="198" t="s">
        <v>1700</v>
      </c>
      <c r="H251" s="25" t="s">
        <v>3029</v>
      </c>
      <c r="I251" s="27" t="s">
        <v>3902</v>
      </c>
      <c r="J251" s="27" t="s">
        <v>866</v>
      </c>
      <c r="K251" s="28" t="s">
        <v>853</v>
      </c>
      <c r="R251" s="29" t="s">
        <v>853</v>
      </c>
      <c r="W251" s="93">
        <v>90</v>
      </c>
      <c r="X251" s="84" t="s">
        <v>1700</v>
      </c>
      <c r="Y251" s="84" t="s">
        <v>2499</v>
      </c>
      <c r="AA251" s="84" t="s">
        <v>1382</v>
      </c>
      <c r="AB251" s="84" t="s">
        <v>126</v>
      </c>
      <c r="AC251" s="26">
        <v>42313</v>
      </c>
      <c r="AD251" s="26" t="s">
        <v>853</v>
      </c>
      <c r="AE251" s="8" t="s">
        <v>4201</v>
      </c>
      <c r="AF251" s="8">
        <v>181</v>
      </c>
      <c r="AG251" s="8">
        <v>90</v>
      </c>
      <c r="CB251" s="26">
        <v>41943</v>
      </c>
      <c r="CC251" s="26" t="s">
        <v>853</v>
      </c>
      <c r="CD251" s="8" t="s">
        <v>3030</v>
      </c>
      <c r="CE251" s="8">
        <v>211</v>
      </c>
      <c r="CF251" s="8">
        <v>106</v>
      </c>
      <c r="CG251" s="26"/>
      <c r="CH251" s="8"/>
      <c r="CM251" s="8"/>
      <c r="CR251" s="8"/>
      <c r="EB251" s="19"/>
      <c r="EC251" s="19"/>
      <c r="ED251" s="19"/>
      <c r="EE251" s="19"/>
      <c r="EF251" s="19"/>
      <c r="EG251" s="19"/>
      <c r="EH251" s="19"/>
      <c r="EI251" s="19"/>
      <c r="EJ251" s="19"/>
      <c r="EK251" s="19"/>
      <c r="EL251" s="19"/>
      <c r="EN251" s="19"/>
      <c r="EO251" s="19"/>
      <c r="EP251" s="19"/>
      <c r="EQ251" s="19"/>
      <c r="ER251" s="19"/>
      <c r="ES251" s="19"/>
      <c r="ET251" s="19"/>
      <c r="EU251" s="19"/>
      <c r="EV251" s="19"/>
      <c r="EW251" s="19"/>
      <c r="EX251" s="19"/>
      <c r="EZ251" s="19"/>
      <c r="FA251" s="19"/>
      <c r="FB251" s="19"/>
      <c r="FC251" s="19"/>
      <c r="FD251" s="19"/>
      <c r="FE251" s="19"/>
      <c r="FF251" s="19"/>
      <c r="FG251" s="19"/>
      <c r="FH251" s="19"/>
      <c r="FI251" s="19"/>
      <c r="FJ251" s="19"/>
      <c r="FL251" s="19"/>
      <c r="FM251" s="19"/>
      <c r="FN251" s="19"/>
      <c r="FO251" s="19"/>
      <c r="FP251" s="19"/>
      <c r="FQ251" s="19"/>
      <c r="FR251" s="19"/>
      <c r="FS251" s="19"/>
      <c r="FT251" s="19"/>
      <c r="FU251" s="19"/>
      <c r="FV251" s="19"/>
      <c r="FX251" s="19"/>
      <c r="FY251" s="19"/>
      <c r="FZ251" s="19"/>
      <c r="GA251" s="19"/>
      <c r="GB251" s="19"/>
      <c r="GC251" s="19"/>
      <c r="GD251" s="19"/>
      <c r="GE251" s="19"/>
      <c r="GF251" s="19"/>
      <c r="GG251" s="19"/>
      <c r="GH251" s="19"/>
      <c r="GJ251" s="19"/>
      <c r="GK251" s="19"/>
      <c r="GL251" s="19"/>
      <c r="GM251" s="19"/>
      <c r="GN251" s="19"/>
      <c r="GO251" s="19"/>
      <c r="GP251" s="19"/>
      <c r="GQ251" s="19"/>
      <c r="GR251" s="19"/>
      <c r="GS251" s="19"/>
      <c r="GT251" s="19"/>
      <c r="GV251" s="19"/>
      <c r="GW251" s="19"/>
      <c r="GX251" s="19"/>
      <c r="GY251" s="19"/>
      <c r="GZ251" s="19"/>
      <c r="HA251" s="19"/>
      <c r="HB251" s="19"/>
      <c r="HC251" s="19"/>
      <c r="HD251" s="19"/>
      <c r="HE251" s="19"/>
      <c r="HF251" s="19"/>
      <c r="HH251" s="19"/>
      <c r="HI251" s="19"/>
      <c r="HJ251" s="19"/>
      <c r="HK251" s="19"/>
      <c r="HL251" s="19"/>
      <c r="HM251" s="19"/>
      <c r="HN251" s="19"/>
      <c r="HO251" s="19"/>
      <c r="HP251" s="19"/>
      <c r="HQ251" s="19"/>
    </row>
    <row r="252" spans="1:225" x14ac:dyDescent="0.25">
      <c r="A252" s="19" t="s">
        <v>216</v>
      </c>
      <c r="B252" s="12" t="s">
        <v>875</v>
      </c>
      <c r="C252" s="13" t="s">
        <v>647</v>
      </c>
      <c r="D252" s="14"/>
      <c r="E252" s="14" t="s">
        <v>1762</v>
      </c>
      <c r="F252" s="199" t="s">
        <v>960</v>
      </c>
      <c r="G252" s="199" t="s">
        <v>1700</v>
      </c>
      <c r="H252" s="13" t="s">
        <v>1700</v>
      </c>
      <c r="I252" s="20" t="s">
        <v>3902</v>
      </c>
      <c r="J252" s="20" t="s">
        <v>866</v>
      </c>
      <c r="K252" s="17" t="s">
        <v>853</v>
      </c>
      <c r="L252" s="21"/>
      <c r="M252" s="21"/>
      <c r="N252" s="21"/>
      <c r="O252" s="21"/>
      <c r="Q252" s="95"/>
      <c r="R252" s="17"/>
      <c r="S252" s="29"/>
      <c r="T252" s="29"/>
      <c r="U252" s="29"/>
      <c r="V252" s="29"/>
      <c r="W252" s="95">
        <v>160</v>
      </c>
      <c r="X252" s="86" t="s">
        <v>1700</v>
      </c>
      <c r="Y252" s="86" t="s">
        <v>246</v>
      </c>
      <c r="Z252" s="86"/>
      <c r="AA252" s="86" t="s">
        <v>73</v>
      </c>
      <c r="AB252" s="84" t="s">
        <v>126</v>
      </c>
      <c r="AC252" s="26">
        <v>42313</v>
      </c>
      <c r="AD252" s="26" t="s">
        <v>853</v>
      </c>
      <c r="AE252" s="19" t="s">
        <v>4167</v>
      </c>
      <c r="AF252" s="19">
        <v>456</v>
      </c>
      <c r="AG252" s="19">
        <v>160</v>
      </c>
      <c r="AI252" s="19"/>
      <c r="AJ252" s="19"/>
      <c r="AK252" s="19"/>
      <c r="AL252" s="19"/>
      <c r="AN252" s="19"/>
      <c r="AO252" s="19"/>
      <c r="AP252" s="19"/>
      <c r="AQ252" s="19"/>
      <c r="AS252" s="19"/>
      <c r="AT252" s="19"/>
      <c r="AU252" s="19"/>
      <c r="AV252" s="19"/>
      <c r="AX252" s="19"/>
      <c r="AY252" s="19"/>
      <c r="AZ252" s="19"/>
      <c r="BA252" s="19"/>
      <c r="BC252" s="19"/>
      <c r="BD252" s="19"/>
      <c r="BE252" s="19"/>
      <c r="BF252" s="19"/>
      <c r="BH252" s="19"/>
      <c r="BI252" s="19"/>
      <c r="BJ252" s="19"/>
      <c r="BK252" s="19"/>
      <c r="BM252" s="19"/>
      <c r="BN252" s="19"/>
      <c r="BO252" s="19"/>
      <c r="BP252" s="19"/>
      <c r="BR252" s="19"/>
      <c r="BS252" s="19"/>
      <c r="BT252" s="19"/>
      <c r="BU252" s="19"/>
      <c r="BW252" s="19"/>
      <c r="BX252" s="19"/>
      <c r="BY252" s="19"/>
      <c r="BZ252" s="19"/>
      <c r="CB252" s="26"/>
      <c r="CC252" s="26"/>
      <c r="CD252" s="19"/>
      <c r="CE252" s="19"/>
      <c r="CF252" s="19"/>
      <c r="CG252" s="26"/>
      <c r="CH252" s="19"/>
      <c r="CI252" s="19"/>
      <c r="CJ252" s="19"/>
      <c r="CK252" s="19"/>
      <c r="CM252" s="19"/>
      <c r="CN252" s="19"/>
      <c r="CO252" s="19"/>
      <c r="CP252" s="19"/>
      <c r="CR252" s="19"/>
      <c r="CS252" s="19"/>
      <c r="CT252" s="19"/>
      <c r="CU252" s="19"/>
      <c r="CW252" s="19"/>
      <c r="CX252" s="19"/>
      <c r="CY252" s="19"/>
      <c r="CZ252" s="19"/>
      <c r="DB252" s="19"/>
      <c r="DC252" s="19"/>
      <c r="DD252" s="19"/>
      <c r="DE252" s="19"/>
      <c r="DG252" s="19"/>
      <c r="DH252" s="19"/>
      <c r="DI252" s="19"/>
      <c r="DJ252" s="19"/>
      <c r="DL252" s="19"/>
      <c r="DM252" s="19"/>
      <c r="DN252" s="19"/>
      <c r="DO252" s="19"/>
      <c r="DQ252" s="19"/>
      <c r="DR252" s="19"/>
      <c r="DS252" s="19"/>
      <c r="DT252" s="19"/>
      <c r="DV252" s="19"/>
      <c r="DW252" s="19"/>
      <c r="DX252" s="19"/>
      <c r="DY252" s="19"/>
      <c r="DZ252" s="19"/>
    </row>
    <row r="253" spans="1:225" x14ac:dyDescent="0.25">
      <c r="A253" s="8" t="s">
        <v>3810</v>
      </c>
      <c r="B253" s="24" t="s">
        <v>3811</v>
      </c>
      <c r="D253" s="26">
        <v>29081</v>
      </c>
      <c r="E253" s="26" t="s">
        <v>1762</v>
      </c>
      <c r="F253" s="198" t="s">
        <v>3806</v>
      </c>
      <c r="G253" s="198" t="s">
        <v>1700</v>
      </c>
      <c r="H253" s="25" t="s">
        <v>1700</v>
      </c>
      <c r="J253" s="27" t="s">
        <v>866</v>
      </c>
      <c r="R253" s="29" t="s">
        <v>855</v>
      </c>
      <c r="CB253" s="278"/>
      <c r="CG253" s="278"/>
    </row>
    <row r="254" spans="1:225" x14ac:dyDescent="0.25">
      <c r="A254" s="8" t="s">
        <v>1555</v>
      </c>
      <c r="B254" s="24" t="s">
        <v>1556</v>
      </c>
      <c r="C254" s="25" t="s">
        <v>1557</v>
      </c>
      <c r="E254" s="26" t="s">
        <v>1762</v>
      </c>
      <c r="F254" s="198" t="s">
        <v>1558</v>
      </c>
      <c r="G254" s="198" t="s">
        <v>1700</v>
      </c>
      <c r="H254" s="25" t="s">
        <v>1700</v>
      </c>
      <c r="I254" s="27" t="s">
        <v>3904</v>
      </c>
      <c r="J254" s="27" t="s">
        <v>866</v>
      </c>
      <c r="K254" s="28" t="s">
        <v>853</v>
      </c>
      <c r="W254" s="93">
        <v>100</v>
      </c>
      <c r="X254" s="84" t="s">
        <v>1700</v>
      </c>
      <c r="Y254" s="84" t="s">
        <v>195</v>
      </c>
      <c r="AA254" s="84" t="s">
        <v>1574</v>
      </c>
      <c r="AB254" s="84" t="s">
        <v>1575</v>
      </c>
      <c r="AC254" s="26">
        <v>42416</v>
      </c>
      <c r="AD254" s="26" t="s">
        <v>853</v>
      </c>
      <c r="AE254" s="8" t="s">
        <v>4651</v>
      </c>
      <c r="AF254" s="8">
        <v>200</v>
      </c>
      <c r="AG254" s="8">
        <v>100</v>
      </c>
      <c r="CB254" s="26"/>
      <c r="CC254" s="26"/>
      <c r="CF254" s="8"/>
      <c r="CG254" s="26"/>
      <c r="CH254" s="8"/>
      <c r="CM254" s="8"/>
      <c r="CR254" s="8"/>
      <c r="EB254" s="19"/>
      <c r="EC254" s="19"/>
      <c r="ED254" s="19"/>
      <c r="EE254" s="19"/>
      <c r="EF254" s="19"/>
      <c r="EG254" s="19"/>
      <c r="EH254" s="19"/>
      <c r="EI254" s="19"/>
      <c r="EJ254" s="19"/>
      <c r="EK254" s="19"/>
      <c r="EL254" s="19"/>
      <c r="EN254" s="19"/>
      <c r="EO254" s="19"/>
      <c r="EP254" s="19"/>
      <c r="EQ254" s="19"/>
      <c r="ER254" s="19"/>
      <c r="ES254" s="19"/>
      <c r="ET254" s="19"/>
      <c r="EU254" s="19"/>
      <c r="EV254" s="19"/>
      <c r="EW254" s="19"/>
      <c r="EX254" s="19"/>
      <c r="EZ254" s="19"/>
      <c r="FA254" s="19"/>
      <c r="FB254" s="19"/>
      <c r="FC254" s="19"/>
      <c r="FD254" s="19"/>
      <c r="FE254" s="19"/>
      <c r="FF254" s="19"/>
      <c r="FG254" s="19"/>
      <c r="FH254" s="19"/>
      <c r="FI254" s="19"/>
      <c r="FJ254" s="19"/>
      <c r="FL254" s="19"/>
      <c r="FM254" s="19"/>
      <c r="FN254" s="19"/>
      <c r="FO254" s="19"/>
      <c r="FP254" s="19"/>
      <c r="FQ254" s="19"/>
      <c r="FR254" s="19"/>
      <c r="FS254" s="19"/>
      <c r="FT254" s="19"/>
      <c r="FU254" s="19"/>
      <c r="FV254" s="19"/>
      <c r="FX254" s="19"/>
      <c r="FY254" s="19"/>
      <c r="FZ254" s="19"/>
      <c r="GA254" s="19"/>
      <c r="GB254" s="19"/>
      <c r="GC254" s="19"/>
      <c r="GD254" s="19"/>
      <c r="GE254" s="19"/>
      <c r="GF254" s="19"/>
      <c r="GG254" s="19"/>
      <c r="GH254" s="19"/>
      <c r="GJ254" s="19"/>
      <c r="GK254" s="19"/>
      <c r="GL254" s="19"/>
      <c r="GM254" s="19"/>
      <c r="GN254" s="19"/>
      <c r="GO254" s="19"/>
      <c r="GP254" s="19"/>
      <c r="GQ254" s="19"/>
      <c r="GR254" s="19"/>
      <c r="GS254" s="19"/>
      <c r="GT254" s="19"/>
      <c r="GV254" s="19"/>
      <c r="GW254" s="19"/>
      <c r="GX254" s="19"/>
      <c r="GY254" s="19"/>
      <c r="GZ254" s="19"/>
      <c r="HA254" s="19"/>
      <c r="HB254" s="19"/>
      <c r="HC254" s="19"/>
      <c r="HD254" s="19"/>
      <c r="HE254" s="19"/>
      <c r="HF254" s="19"/>
      <c r="HH254" s="19"/>
      <c r="HI254" s="19"/>
      <c r="HJ254" s="19"/>
      <c r="HK254" s="19"/>
      <c r="HL254" s="19"/>
      <c r="HM254" s="19"/>
      <c r="HN254" s="19"/>
      <c r="HO254" s="19"/>
      <c r="HP254" s="19"/>
      <c r="HQ254" s="19"/>
    </row>
    <row r="255" spans="1:225" x14ac:dyDescent="0.25">
      <c r="A255" s="8" t="s">
        <v>3226</v>
      </c>
      <c r="B255" s="24" t="s">
        <v>876</v>
      </c>
      <c r="C255" s="25" t="s">
        <v>3225</v>
      </c>
      <c r="F255" s="198" t="s">
        <v>948</v>
      </c>
      <c r="G255" s="198" t="s">
        <v>1700</v>
      </c>
      <c r="H255" s="25" t="s">
        <v>1700</v>
      </c>
      <c r="J255" s="27" t="s">
        <v>866</v>
      </c>
      <c r="R255" s="29" t="s">
        <v>853</v>
      </c>
      <c r="X255" s="84" t="s">
        <v>1700</v>
      </c>
      <c r="Y255" s="84" t="s">
        <v>2499</v>
      </c>
      <c r="AA255" s="84" t="s">
        <v>3227</v>
      </c>
      <c r="AB255" s="84" t="s">
        <v>126</v>
      </c>
      <c r="CB255" s="26">
        <v>41977</v>
      </c>
      <c r="CC255" s="26" t="s">
        <v>853</v>
      </c>
      <c r="CD255" s="8" t="s">
        <v>3228</v>
      </c>
      <c r="CE255" s="8">
        <v>250</v>
      </c>
      <c r="CF255" s="8">
        <v>125</v>
      </c>
      <c r="CG255" s="26"/>
      <c r="CH255" s="8"/>
      <c r="CM255" s="8"/>
      <c r="CR255" s="8"/>
      <c r="DZ255" s="19"/>
    </row>
    <row r="256" spans="1:225" x14ac:dyDescent="0.25">
      <c r="A256" s="8" t="s">
        <v>211</v>
      </c>
      <c r="B256" s="24" t="s">
        <v>3690</v>
      </c>
      <c r="F256" s="198" t="s">
        <v>211</v>
      </c>
      <c r="G256" s="198" t="s">
        <v>1589</v>
      </c>
      <c r="H256" s="25" t="s">
        <v>1700</v>
      </c>
      <c r="J256" s="27" t="s">
        <v>866</v>
      </c>
      <c r="R256" s="29" t="s">
        <v>816</v>
      </c>
      <c r="CB256" s="278"/>
      <c r="CG256" s="278"/>
    </row>
    <row r="257" spans="1:225" x14ac:dyDescent="0.25">
      <c r="A257" s="8" t="s">
        <v>211</v>
      </c>
      <c r="B257" s="24" t="s">
        <v>1589</v>
      </c>
      <c r="D257" s="26">
        <v>29230</v>
      </c>
      <c r="E257" s="26" t="s">
        <v>1768</v>
      </c>
      <c r="F257" s="198" t="s">
        <v>927</v>
      </c>
      <c r="G257" s="198" t="s">
        <v>1700</v>
      </c>
      <c r="H257" s="25" t="s">
        <v>1700</v>
      </c>
      <c r="J257" s="27" t="s">
        <v>866</v>
      </c>
      <c r="Q257" s="95"/>
      <c r="R257" s="17" t="s">
        <v>816</v>
      </c>
      <c r="S257" s="29"/>
      <c r="T257" s="29"/>
      <c r="U257" s="29"/>
      <c r="V257" s="29"/>
      <c r="AA257" s="86"/>
      <c r="AB257" s="86"/>
      <c r="CA257" s="19"/>
      <c r="CB257" s="26"/>
      <c r="CC257" s="8"/>
      <c r="CF257" s="8"/>
      <c r="CG257" s="26"/>
      <c r="CH257" s="8"/>
      <c r="CM257" s="8"/>
      <c r="CR257" s="8"/>
      <c r="DU257" s="8"/>
    </row>
    <row r="258" spans="1:225" x14ac:dyDescent="0.25">
      <c r="A258" s="8" t="s">
        <v>3821</v>
      </c>
      <c r="B258" s="24" t="s">
        <v>3822</v>
      </c>
      <c r="D258" s="26">
        <v>25139</v>
      </c>
      <c r="E258" s="26" t="s">
        <v>877</v>
      </c>
      <c r="F258" s="198" t="s">
        <v>1700</v>
      </c>
      <c r="G258" s="198" t="s">
        <v>1700</v>
      </c>
      <c r="H258" s="25" t="s">
        <v>3823</v>
      </c>
      <c r="J258" s="27" t="s">
        <v>866</v>
      </c>
      <c r="R258" s="29" t="s">
        <v>855</v>
      </c>
      <c r="CB258" s="278"/>
      <c r="CG258" s="278"/>
    </row>
    <row r="259" spans="1:225" x14ac:dyDescent="0.25">
      <c r="A259" s="8" t="s">
        <v>1731</v>
      </c>
      <c r="B259" s="24" t="s">
        <v>1117</v>
      </c>
      <c r="E259" s="26" t="s">
        <v>1762</v>
      </c>
      <c r="F259" s="198" t="s">
        <v>549</v>
      </c>
      <c r="G259" s="198" t="s">
        <v>1700</v>
      </c>
      <c r="H259" s="25" t="s">
        <v>1732</v>
      </c>
      <c r="J259" s="27" t="s">
        <v>866</v>
      </c>
      <c r="CA259" s="19"/>
      <c r="CB259" s="278"/>
      <c r="CD259" s="257"/>
      <c r="CE259" s="19"/>
      <c r="CG259" s="278"/>
      <c r="CH259" s="278"/>
      <c r="CI259" s="257"/>
      <c r="CJ259" s="19"/>
      <c r="CK259" s="279"/>
      <c r="CL259" s="278"/>
      <c r="CM259" s="278"/>
      <c r="CN259" s="257"/>
      <c r="CO259" s="19"/>
      <c r="CP259" s="279"/>
      <c r="CQ259" s="278"/>
      <c r="CR259" s="257"/>
      <c r="CS259" s="257"/>
      <c r="CT259" s="19"/>
      <c r="CU259" s="257"/>
      <c r="CV259" s="278"/>
      <c r="CW259" s="257"/>
      <c r="CX259" s="257"/>
      <c r="CY259" s="19"/>
      <c r="CZ259" s="257"/>
      <c r="DA259" s="278"/>
      <c r="DB259" s="257"/>
      <c r="DC259" s="257"/>
      <c r="DD259" s="19"/>
      <c r="DE259" s="257"/>
      <c r="DF259" s="278"/>
      <c r="DG259" s="257"/>
      <c r="DH259" s="257"/>
      <c r="DI259" s="19"/>
      <c r="DJ259" s="257"/>
      <c r="DK259" s="278"/>
      <c r="DL259" s="257"/>
      <c r="DM259" s="257"/>
      <c r="DN259" s="19"/>
      <c r="DO259" s="257"/>
      <c r="DP259" s="278"/>
      <c r="DQ259" s="257"/>
      <c r="DR259" s="257"/>
      <c r="DS259" s="19"/>
      <c r="DT259" s="257"/>
      <c r="DU259" s="278"/>
      <c r="DV259" s="257"/>
      <c r="DW259" s="257"/>
      <c r="DX259" s="19"/>
      <c r="DY259" s="257"/>
      <c r="EB259" s="19"/>
      <c r="EC259" s="19"/>
      <c r="ED259" s="19"/>
      <c r="EE259" s="19"/>
      <c r="EF259" s="19"/>
      <c r="EG259" s="19"/>
      <c r="EH259" s="19"/>
      <c r="EI259" s="19"/>
      <c r="EJ259" s="19"/>
      <c r="EK259" s="19"/>
      <c r="EL259" s="19"/>
      <c r="EN259" s="19"/>
      <c r="EO259" s="19"/>
      <c r="EP259" s="19"/>
      <c r="EQ259" s="19"/>
      <c r="ER259" s="19"/>
      <c r="ES259" s="19"/>
      <c r="ET259" s="19"/>
      <c r="EU259" s="19"/>
      <c r="EV259" s="19"/>
      <c r="EW259" s="19"/>
      <c r="EX259" s="19"/>
      <c r="EZ259" s="19"/>
      <c r="FA259" s="19"/>
      <c r="FB259" s="19"/>
      <c r="FC259" s="19"/>
      <c r="FD259" s="19"/>
      <c r="FE259" s="19"/>
      <c r="FF259" s="19"/>
      <c r="FG259" s="19"/>
      <c r="FH259" s="19"/>
      <c r="FI259" s="19"/>
      <c r="FJ259" s="19"/>
      <c r="FL259" s="19"/>
      <c r="FM259" s="19"/>
      <c r="FN259" s="19"/>
      <c r="FO259" s="19"/>
      <c r="FP259" s="19"/>
      <c r="FQ259" s="19"/>
      <c r="FR259" s="19"/>
      <c r="FS259" s="19"/>
      <c r="FT259" s="19"/>
      <c r="FU259" s="19"/>
      <c r="FV259" s="19"/>
      <c r="FX259" s="19"/>
      <c r="FY259" s="19"/>
      <c r="FZ259" s="19"/>
      <c r="GA259" s="19"/>
      <c r="GB259" s="19"/>
      <c r="GC259" s="19"/>
      <c r="GD259" s="19"/>
      <c r="GE259" s="19"/>
      <c r="GF259" s="19"/>
      <c r="GG259" s="19"/>
      <c r="GH259" s="19"/>
      <c r="GJ259" s="19"/>
      <c r="GK259" s="19"/>
      <c r="GL259" s="19"/>
      <c r="GM259" s="19"/>
      <c r="GN259" s="19"/>
      <c r="GO259" s="19"/>
      <c r="GP259" s="19"/>
      <c r="GQ259" s="19"/>
      <c r="GR259" s="19"/>
      <c r="GS259" s="19"/>
      <c r="GT259" s="19"/>
      <c r="GV259" s="19"/>
      <c r="GW259" s="19"/>
      <c r="GX259" s="19"/>
      <c r="GY259" s="19"/>
      <c r="GZ259" s="19"/>
      <c r="HA259" s="19"/>
      <c r="HB259" s="19"/>
      <c r="HC259" s="19"/>
      <c r="HD259" s="19"/>
      <c r="HE259" s="19"/>
      <c r="HF259" s="19"/>
      <c r="HH259" s="19"/>
      <c r="HI259" s="19"/>
      <c r="HJ259" s="19"/>
      <c r="HK259" s="19"/>
      <c r="HL259" s="19"/>
      <c r="HM259" s="19"/>
      <c r="HN259" s="19"/>
      <c r="HO259" s="19"/>
      <c r="HP259" s="19"/>
      <c r="HQ259" s="19"/>
    </row>
    <row r="260" spans="1:225" x14ac:dyDescent="0.25">
      <c r="A260" s="8" t="s">
        <v>1731</v>
      </c>
      <c r="B260" s="24" t="s">
        <v>281</v>
      </c>
      <c r="C260" s="25" t="s">
        <v>825</v>
      </c>
      <c r="E260" s="26" t="s">
        <v>1762</v>
      </c>
      <c r="F260" s="198" t="s">
        <v>932</v>
      </c>
      <c r="G260" s="198" t="s">
        <v>1700</v>
      </c>
      <c r="H260" s="25" t="s">
        <v>3584</v>
      </c>
      <c r="J260" s="27" t="s">
        <v>866</v>
      </c>
      <c r="R260" s="29" t="s">
        <v>853</v>
      </c>
      <c r="X260" s="84" t="s">
        <v>1700</v>
      </c>
      <c r="Y260" s="84" t="s">
        <v>500</v>
      </c>
      <c r="AA260" s="84" t="s">
        <v>826</v>
      </c>
      <c r="AB260" s="84" t="s">
        <v>221</v>
      </c>
      <c r="CB260" s="26">
        <v>42074</v>
      </c>
      <c r="CC260" s="26" t="s">
        <v>853</v>
      </c>
      <c r="CD260" s="8" t="s">
        <v>3585</v>
      </c>
      <c r="CE260" s="8">
        <v>310.8</v>
      </c>
      <c r="CF260" s="8">
        <v>156</v>
      </c>
      <c r="CG260" s="26"/>
      <c r="CH260" s="8"/>
      <c r="CM260" s="8"/>
      <c r="CR260" s="8"/>
      <c r="DZ260" s="19"/>
    </row>
    <row r="261" spans="1:225" x14ac:dyDescent="0.25">
      <c r="A261" s="8" t="s">
        <v>1731</v>
      </c>
      <c r="B261" s="24" t="s">
        <v>2213</v>
      </c>
      <c r="C261" s="25" t="s">
        <v>2214</v>
      </c>
      <c r="E261" s="26" t="s">
        <v>1762</v>
      </c>
      <c r="F261" s="198" t="s">
        <v>788</v>
      </c>
      <c r="G261" s="198" t="s">
        <v>1700</v>
      </c>
      <c r="H261" s="25" t="s">
        <v>3459</v>
      </c>
      <c r="I261" s="27" t="s">
        <v>3894</v>
      </c>
      <c r="J261" s="27" t="s">
        <v>866</v>
      </c>
      <c r="K261" s="28" t="s">
        <v>853</v>
      </c>
      <c r="R261" s="29" t="s">
        <v>853</v>
      </c>
      <c r="W261" s="93">
        <v>76</v>
      </c>
      <c r="X261" s="84" t="s">
        <v>1700</v>
      </c>
      <c r="Y261" s="84" t="s">
        <v>2499</v>
      </c>
      <c r="AA261" s="84" t="s">
        <v>2215</v>
      </c>
      <c r="AB261" s="84" t="s">
        <v>126</v>
      </c>
      <c r="AC261" s="26">
        <v>42453</v>
      </c>
      <c r="AD261" s="26" t="s">
        <v>853</v>
      </c>
      <c r="AE261" s="8" t="s">
        <v>4754</v>
      </c>
      <c r="AF261" s="8">
        <v>153</v>
      </c>
      <c r="AG261" s="8">
        <v>76</v>
      </c>
      <c r="CB261" s="26">
        <v>42032</v>
      </c>
      <c r="CC261" s="26" t="s">
        <v>853</v>
      </c>
      <c r="CD261" s="8" t="s">
        <v>3460</v>
      </c>
      <c r="CE261" s="8">
        <v>277</v>
      </c>
      <c r="CF261" s="8">
        <v>139</v>
      </c>
      <c r="CG261" s="26"/>
      <c r="CH261" s="8"/>
      <c r="CM261" s="8"/>
      <c r="CR261" s="8"/>
      <c r="DZ261" s="257"/>
    </row>
    <row r="262" spans="1:225" x14ac:dyDescent="0.25">
      <c r="A262" s="8" t="s">
        <v>2010</v>
      </c>
      <c r="B262" s="24" t="s">
        <v>2011</v>
      </c>
      <c r="D262" s="26">
        <v>31535</v>
      </c>
      <c r="E262" s="26" t="s">
        <v>1762</v>
      </c>
      <c r="F262" s="198" t="s">
        <v>612</v>
      </c>
      <c r="G262" s="198" t="s">
        <v>1700</v>
      </c>
      <c r="H262" s="25" t="s">
        <v>611</v>
      </c>
      <c r="J262" s="27" t="s">
        <v>866</v>
      </c>
      <c r="CB262" s="278"/>
      <c r="CD262" s="279"/>
      <c r="CG262" s="278"/>
      <c r="CH262" s="278"/>
      <c r="CI262" s="279"/>
      <c r="CK262" s="279"/>
      <c r="CL262" s="278"/>
      <c r="CM262" s="278"/>
      <c r="CN262" s="279"/>
      <c r="CP262" s="279"/>
      <c r="CQ262" s="278"/>
      <c r="CR262" s="279"/>
      <c r="CS262" s="279"/>
      <c r="CU262" s="279"/>
      <c r="CV262" s="278"/>
      <c r="CW262" s="279"/>
      <c r="CX262" s="279"/>
      <c r="CZ262" s="279"/>
      <c r="DA262" s="278"/>
      <c r="DB262" s="279"/>
      <c r="DC262" s="279"/>
      <c r="DE262" s="279"/>
      <c r="DF262" s="278"/>
      <c r="DG262" s="279"/>
      <c r="DH262" s="279"/>
      <c r="DJ262" s="279"/>
      <c r="DK262" s="278"/>
      <c r="DL262" s="279"/>
      <c r="DM262" s="279"/>
      <c r="DO262" s="279"/>
      <c r="DP262" s="278"/>
      <c r="DQ262" s="279"/>
      <c r="DR262" s="279"/>
      <c r="DT262" s="279"/>
      <c r="DU262" s="279"/>
      <c r="DV262" s="279"/>
      <c r="DW262" s="279"/>
      <c r="DY262" s="279"/>
      <c r="DZ262" s="257"/>
    </row>
    <row r="263" spans="1:225" x14ac:dyDescent="0.25">
      <c r="A263" s="8" t="s">
        <v>2248</v>
      </c>
      <c r="B263" s="24" t="s">
        <v>2249</v>
      </c>
      <c r="C263" s="25" t="s">
        <v>2250</v>
      </c>
      <c r="E263" s="26" t="s">
        <v>1762</v>
      </c>
      <c r="F263" s="198" t="s">
        <v>852</v>
      </c>
      <c r="G263" s="198" t="s">
        <v>1700</v>
      </c>
      <c r="H263" s="25" t="s">
        <v>1700</v>
      </c>
      <c r="I263" s="27" t="s">
        <v>3902</v>
      </c>
      <c r="J263" s="27" t="s">
        <v>866</v>
      </c>
      <c r="K263" s="28" t="s">
        <v>3907</v>
      </c>
      <c r="P263" s="17">
        <v>1</v>
      </c>
      <c r="R263" s="29" t="s">
        <v>1763</v>
      </c>
      <c r="W263" s="93">
        <v>0</v>
      </c>
      <c r="X263" s="84" t="s">
        <v>1700</v>
      </c>
      <c r="Y263" s="84" t="s">
        <v>649</v>
      </c>
      <c r="AA263" s="84" t="s">
        <v>2251</v>
      </c>
      <c r="AB263" s="84" t="s">
        <v>51</v>
      </c>
      <c r="CB263" s="26"/>
      <c r="CC263" s="26"/>
      <c r="CF263" s="8"/>
      <c r="CG263" s="26"/>
      <c r="CH263" s="8"/>
      <c r="CM263" s="8"/>
      <c r="CR263" s="8"/>
    </row>
    <row r="264" spans="1:225" x14ac:dyDescent="0.25">
      <c r="A264" s="8" t="s">
        <v>3824</v>
      </c>
      <c r="B264" s="24" t="s">
        <v>1859</v>
      </c>
      <c r="D264" s="26">
        <v>24869</v>
      </c>
      <c r="E264" s="26" t="s">
        <v>1762</v>
      </c>
      <c r="F264" s="198" t="s">
        <v>325</v>
      </c>
      <c r="G264" s="198" t="s">
        <v>1700</v>
      </c>
      <c r="H264" s="25" t="s">
        <v>1700</v>
      </c>
      <c r="J264" s="27" t="s">
        <v>866</v>
      </c>
      <c r="R264" s="29" t="s">
        <v>855</v>
      </c>
      <c r="CB264" s="278"/>
      <c r="CG264" s="278"/>
      <c r="DZ264" s="279"/>
    </row>
    <row r="265" spans="1:225" x14ac:dyDescent="0.25">
      <c r="A265" s="8" t="s">
        <v>4284</v>
      </c>
      <c r="B265" s="24" t="s">
        <v>876</v>
      </c>
      <c r="C265" s="25" t="s">
        <v>4283</v>
      </c>
      <c r="E265" s="26" t="s">
        <v>1762</v>
      </c>
      <c r="F265" s="198" t="s">
        <v>3879</v>
      </c>
      <c r="G265" s="198" t="s">
        <v>1700</v>
      </c>
      <c r="H265" s="25" t="s">
        <v>4285</v>
      </c>
      <c r="I265" s="27" t="s">
        <v>3902</v>
      </c>
      <c r="J265" s="27" t="s">
        <v>866</v>
      </c>
      <c r="K265" s="28" t="s">
        <v>853</v>
      </c>
      <c r="W265" s="93">
        <v>88</v>
      </c>
      <c r="X265" s="84" t="s">
        <v>1700</v>
      </c>
      <c r="Y265" s="84" t="s">
        <v>2499</v>
      </c>
      <c r="AA265" s="84" t="s">
        <v>4286</v>
      </c>
      <c r="AB265" s="84" t="s">
        <v>126</v>
      </c>
      <c r="AC265" s="26">
        <v>42334</v>
      </c>
      <c r="AD265" s="26" t="s">
        <v>853</v>
      </c>
      <c r="AE265" s="8" t="s">
        <v>4287</v>
      </c>
      <c r="AF265" s="8">
        <v>177</v>
      </c>
      <c r="AG265" s="8">
        <v>88</v>
      </c>
      <c r="CB265" s="278"/>
      <c r="CG265" s="278"/>
    </row>
    <row r="266" spans="1:225" x14ac:dyDescent="0.25">
      <c r="A266" s="8" t="s">
        <v>967</v>
      </c>
      <c r="B266" s="24" t="s">
        <v>951</v>
      </c>
      <c r="C266" s="25" t="s">
        <v>1965</v>
      </c>
      <c r="E266" s="26" t="s">
        <v>1764</v>
      </c>
      <c r="F266" s="198" t="s">
        <v>350</v>
      </c>
      <c r="G266" s="198" t="s">
        <v>1700</v>
      </c>
      <c r="H266" s="25" t="s">
        <v>3170</v>
      </c>
      <c r="I266" s="27" t="s">
        <v>3902</v>
      </c>
      <c r="J266" s="27" t="s">
        <v>866</v>
      </c>
      <c r="K266" s="28" t="s">
        <v>853</v>
      </c>
      <c r="Q266" s="93"/>
      <c r="R266" s="28" t="s">
        <v>853</v>
      </c>
      <c r="S266" s="21"/>
      <c r="T266" s="21"/>
      <c r="U266" s="21"/>
      <c r="V266" s="21"/>
      <c r="W266" s="95">
        <v>119</v>
      </c>
      <c r="X266" s="86" t="s">
        <v>1700</v>
      </c>
      <c r="Y266" s="86" t="s">
        <v>282</v>
      </c>
      <c r="Z266" s="86"/>
      <c r="AA266" s="84" t="s">
        <v>185</v>
      </c>
      <c r="AB266" s="84" t="s">
        <v>186</v>
      </c>
      <c r="AC266" s="26">
        <v>42313</v>
      </c>
      <c r="AD266" s="19" t="s">
        <v>853</v>
      </c>
      <c r="AE266" s="19" t="s">
        <v>4244</v>
      </c>
      <c r="AF266" s="19">
        <v>125</v>
      </c>
      <c r="AG266" s="19">
        <v>62</v>
      </c>
      <c r="AH266" s="26">
        <v>42360</v>
      </c>
      <c r="AI266" s="19" t="s">
        <v>853</v>
      </c>
      <c r="AJ266" s="19" t="s">
        <v>4469</v>
      </c>
      <c r="AK266" s="19">
        <v>114</v>
      </c>
      <c r="AL266" s="19">
        <v>57</v>
      </c>
      <c r="AN266" s="19"/>
      <c r="AO266" s="19"/>
      <c r="AP266" s="19"/>
      <c r="AQ266" s="19"/>
      <c r="AS266" s="19"/>
      <c r="AT266" s="19"/>
      <c r="AU266" s="19"/>
      <c r="AV266" s="19"/>
      <c r="AX266" s="19"/>
      <c r="AY266" s="19"/>
      <c r="AZ266" s="19"/>
      <c r="BA266" s="19"/>
      <c r="BC266" s="19"/>
      <c r="BD266" s="19"/>
      <c r="BE266" s="19"/>
      <c r="BF266" s="19"/>
      <c r="BH266" s="19"/>
      <c r="BI266" s="19"/>
      <c r="BJ266" s="19"/>
      <c r="BK266" s="19"/>
      <c r="BM266" s="19"/>
      <c r="BN266" s="19"/>
      <c r="BO266" s="19"/>
      <c r="BP266" s="19"/>
      <c r="BR266" s="19"/>
      <c r="BS266" s="19"/>
      <c r="BT266" s="19"/>
      <c r="BU266" s="19"/>
      <c r="BV266" s="8"/>
      <c r="BY266" s="19"/>
      <c r="CB266" s="26">
        <v>41921</v>
      </c>
      <c r="CC266" s="19" t="s">
        <v>853</v>
      </c>
      <c r="CD266" s="19" t="s">
        <v>2666</v>
      </c>
      <c r="CE266" s="19">
        <v>125</v>
      </c>
      <c r="CF266" s="19">
        <v>63</v>
      </c>
      <c r="CG266" s="26">
        <v>41977</v>
      </c>
      <c r="CH266" s="19" t="s">
        <v>853</v>
      </c>
      <c r="CI266" s="19" t="s">
        <v>3171</v>
      </c>
      <c r="CJ266" s="19">
        <v>110.5</v>
      </c>
      <c r="CK266" s="19">
        <v>56</v>
      </c>
      <c r="CM266" s="19"/>
      <c r="CN266" s="19"/>
      <c r="CO266" s="19"/>
      <c r="CP266" s="19"/>
      <c r="CR266" s="19"/>
      <c r="CS266" s="19"/>
      <c r="CT266" s="19"/>
      <c r="CU266" s="19"/>
      <c r="CW266" s="19"/>
      <c r="CX266" s="19"/>
      <c r="CY266" s="19"/>
      <c r="CZ266" s="19"/>
      <c r="DB266" s="19"/>
      <c r="DC266" s="19"/>
      <c r="DD266" s="19"/>
      <c r="DE266" s="19"/>
      <c r="DG266" s="19"/>
      <c r="DH266" s="19"/>
      <c r="DI266" s="19"/>
      <c r="DJ266" s="19"/>
      <c r="DL266" s="19"/>
      <c r="DM266" s="19"/>
      <c r="DN266" s="19"/>
      <c r="DO266" s="19"/>
      <c r="DQ266" s="19"/>
      <c r="DR266" s="19"/>
      <c r="DS266" s="19"/>
      <c r="DT266" s="19"/>
      <c r="DU266" s="8"/>
    </row>
    <row r="267" spans="1:225" x14ac:dyDescent="0.25">
      <c r="A267" s="8" t="s">
        <v>548</v>
      </c>
      <c r="B267" s="24" t="s">
        <v>976</v>
      </c>
      <c r="D267" s="26">
        <v>19867</v>
      </c>
      <c r="E267" s="26" t="s">
        <v>1762</v>
      </c>
      <c r="F267" s="198" t="s">
        <v>549</v>
      </c>
      <c r="G267" s="198" t="s">
        <v>107</v>
      </c>
      <c r="H267" s="25" t="s">
        <v>1714</v>
      </c>
      <c r="I267" s="27" t="s">
        <v>3902</v>
      </c>
      <c r="J267" s="27" t="s">
        <v>866</v>
      </c>
      <c r="K267" s="28" t="s">
        <v>817</v>
      </c>
      <c r="R267" s="29" t="s">
        <v>817</v>
      </c>
      <c r="CB267" s="278"/>
      <c r="CD267" s="279"/>
      <c r="CG267" s="278"/>
      <c r="CH267" s="278"/>
      <c r="CI267" s="279"/>
      <c r="CK267" s="279"/>
      <c r="CL267" s="278"/>
      <c r="CM267" s="278"/>
      <c r="CN267" s="279"/>
      <c r="CP267" s="279"/>
      <c r="CQ267" s="278"/>
      <c r="CR267" s="279"/>
      <c r="CS267" s="279"/>
      <c r="CU267" s="279"/>
      <c r="CV267" s="278"/>
      <c r="CW267" s="279"/>
      <c r="CX267" s="279"/>
      <c r="CZ267" s="279"/>
      <c r="DA267" s="278"/>
      <c r="DB267" s="279"/>
      <c r="DC267" s="279"/>
      <c r="DE267" s="279"/>
      <c r="DF267" s="278"/>
      <c r="DG267" s="279"/>
      <c r="DH267" s="279"/>
      <c r="DJ267" s="279"/>
      <c r="DK267" s="278"/>
      <c r="DL267" s="279"/>
      <c r="DM267" s="279"/>
      <c r="DO267" s="279"/>
      <c r="DP267" s="278"/>
      <c r="DQ267" s="279"/>
      <c r="DR267" s="279"/>
      <c r="DT267" s="279"/>
      <c r="DU267" s="278"/>
      <c r="DV267" s="279"/>
      <c r="DW267" s="279"/>
      <c r="DY267" s="279"/>
      <c r="DZ267" s="279"/>
    </row>
    <row r="268" spans="1:225" x14ac:dyDescent="0.25">
      <c r="A268" s="8" t="s">
        <v>3297</v>
      </c>
      <c r="B268" s="24" t="s">
        <v>1318</v>
      </c>
      <c r="C268" s="25" t="s">
        <v>3296</v>
      </c>
      <c r="E268" s="26" t="s">
        <v>1764</v>
      </c>
      <c r="F268" s="198" t="s">
        <v>968</v>
      </c>
      <c r="G268" s="198" t="s">
        <v>1700</v>
      </c>
      <c r="H268" s="25" t="s">
        <v>3298</v>
      </c>
      <c r="J268" s="27" t="s">
        <v>866</v>
      </c>
      <c r="R268" s="29" t="s">
        <v>853</v>
      </c>
      <c r="X268" s="84" t="s">
        <v>1700</v>
      </c>
      <c r="Y268" s="84" t="s">
        <v>2932</v>
      </c>
      <c r="AA268" s="84" t="s">
        <v>3300</v>
      </c>
      <c r="AB268" s="84" t="s">
        <v>3299</v>
      </c>
      <c r="CB268" s="26">
        <v>41996</v>
      </c>
      <c r="CC268" s="26" t="s">
        <v>853</v>
      </c>
      <c r="CD268" s="8" t="s">
        <v>3301</v>
      </c>
      <c r="CE268" s="8">
        <v>178</v>
      </c>
      <c r="CF268" s="8">
        <v>89</v>
      </c>
      <c r="CG268" s="26"/>
      <c r="CH268" s="8"/>
      <c r="CM268" s="8"/>
      <c r="CR268" s="8"/>
    </row>
    <row r="269" spans="1:225" ht="13.5" x14ac:dyDescent="0.25">
      <c r="A269" s="8" t="s">
        <v>3194</v>
      </c>
      <c r="B269" s="24" t="s">
        <v>876</v>
      </c>
      <c r="C269" s="25" t="s">
        <v>3193</v>
      </c>
      <c r="E269" s="26" t="s">
        <v>1762</v>
      </c>
      <c r="F269" s="198" t="s">
        <v>867</v>
      </c>
      <c r="G269" s="198" t="s">
        <v>2344</v>
      </c>
      <c r="H269" s="25" t="s">
        <v>3195</v>
      </c>
      <c r="I269" s="27" t="s">
        <v>3901</v>
      </c>
      <c r="J269" s="27" t="s">
        <v>866</v>
      </c>
      <c r="K269" s="28" t="s">
        <v>853</v>
      </c>
      <c r="R269" s="29" t="s">
        <v>853</v>
      </c>
      <c r="W269" s="93">
        <v>160</v>
      </c>
      <c r="X269" s="84" t="s">
        <v>1700</v>
      </c>
      <c r="Y269" s="84" t="s">
        <v>4048</v>
      </c>
      <c r="AA269" s="84" t="s">
        <v>4049</v>
      </c>
      <c r="AB269" s="84" t="s">
        <v>1151</v>
      </c>
      <c r="AC269" s="26">
        <v>42311</v>
      </c>
      <c r="AD269" s="26" t="s">
        <v>853</v>
      </c>
      <c r="AE269" s="8" t="s">
        <v>4050</v>
      </c>
      <c r="AF269" s="8">
        <v>355</v>
      </c>
      <c r="AG269" s="8">
        <v>160</v>
      </c>
      <c r="CB269" s="26">
        <v>41977</v>
      </c>
      <c r="CC269" s="26" t="s">
        <v>853</v>
      </c>
      <c r="CD269" s="8" t="s">
        <v>3196</v>
      </c>
      <c r="CE269" s="8">
        <v>295</v>
      </c>
      <c r="CF269" s="8">
        <v>148</v>
      </c>
      <c r="CG269" s="26"/>
      <c r="CH269" s="8"/>
      <c r="CM269" s="8"/>
      <c r="CR269" s="8"/>
      <c r="DZ269"/>
    </row>
    <row r="270" spans="1:225" x14ac:dyDescent="0.25">
      <c r="A270" s="8" t="s">
        <v>3774</v>
      </c>
      <c r="B270" s="24" t="s">
        <v>1961</v>
      </c>
      <c r="C270" s="25" t="s">
        <v>3773</v>
      </c>
      <c r="E270" s="26" t="s">
        <v>1764</v>
      </c>
      <c r="F270" s="198" t="s">
        <v>786</v>
      </c>
      <c r="G270" s="198" t="s">
        <v>1700</v>
      </c>
      <c r="H270" s="25" t="s">
        <v>3775</v>
      </c>
      <c r="J270" s="27" t="s">
        <v>866</v>
      </c>
      <c r="R270" s="29" t="s">
        <v>853</v>
      </c>
      <c r="X270" s="84" t="s">
        <v>1700</v>
      </c>
      <c r="Y270" s="84" t="s">
        <v>2634</v>
      </c>
      <c r="AA270" s="84" t="s">
        <v>3776</v>
      </c>
      <c r="AB270" s="84" t="s">
        <v>348</v>
      </c>
      <c r="CB270" s="278">
        <v>42178</v>
      </c>
      <c r="CC270" s="278" t="s">
        <v>853</v>
      </c>
      <c r="CD270" s="8" t="s">
        <v>2412</v>
      </c>
      <c r="CE270" s="8">
        <v>447.8</v>
      </c>
      <c r="CF270" s="279">
        <v>160</v>
      </c>
      <c r="CG270" s="278"/>
    </row>
    <row r="271" spans="1:225" x14ac:dyDescent="0.25">
      <c r="A271" s="8" t="s">
        <v>3586</v>
      </c>
      <c r="B271" s="24" t="s">
        <v>2837</v>
      </c>
      <c r="E271" s="26" t="s">
        <v>1762</v>
      </c>
      <c r="F271" s="198" t="s">
        <v>1700</v>
      </c>
      <c r="G271" s="198" t="s">
        <v>1700</v>
      </c>
      <c r="H271" s="25" t="s">
        <v>1700</v>
      </c>
      <c r="I271" s="27" t="s">
        <v>3902</v>
      </c>
      <c r="J271" s="27" t="s">
        <v>866</v>
      </c>
      <c r="K271" s="28" t="s">
        <v>3906</v>
      </c>
      <c r="R271" s="29" t="s">
        <v>1763</v>
      </c>
      <c r="CB271" s="278"/>
      <c r="CG271" s="278"/>
    </row>
    <row r="272" spans="1:225" ht="13.5" x14ac:dyDescent="0.25">
      <c r="A272" s="8" t="s">
        <v>727</v>
      </c>
      <c r="B272" s="24" t="s">
        <v>728</v>
      </c>
      <c r="F272" s="198" t="s">
        <v>1700</v>
      </c>
      <c r="G272" s="198" t="s">
        <v>1700</v>
      </c>
      <c r="H272" s="25" t="s">
        <v>1700</v>
      </c>
      <c r="J272" s="27" t="s">
        <v>866</v>
      </c>
      <c r="R272" s="29" t="s">
        <v>889</v>
      </c>
      <c r="CB272" s="26"/>
      <c r="CC272" s="26"/>
      <c r="CF272" s="8"/>
      <c r="CG272" s="26"/>
      <c r="CH272" s="8"/>
      <c r="CM272" s="8"/>
      <c r="CR272" s="8"/>
      <c r="DZ272" s="258"/>
    </row>
    <row r="273" spans="1:225" x14ac:dyDescent="0.25">
      <c r="A273" s="8" t="s">
        <v>4036</v>
      </c>
      <c r="B273" s="24" t="s">
        <v>34</v>
      </c>
      <c r="F273" s="198" t="s">
        <v>1700</v>
      </c>
      <c r="G273" s="198" t="s">
        <v>1700</v>
      </c>
      <c r="H273" s="25" t="s">
        <v>1700</v>
      </c>
      <c r="I273" s="27" t="s">
        <v>3902</v>
      </c>
      <c r="J273" s="27" t="s">
        <v>866</v>
      </c>
      <c r="K273" s="28" t="s">
        <v>3907</v>
      </c>
      <c r="P273" s="17">
        <v>1</v>
      </c>
      <c r="CB273" s="278"/>
      <c r="CG273" s="278"/>
    </row>
    <row r="274" spans="1:225" x14ac:dyDescent="0.25">
      <c r="A274" s="8" t="s">
        <v>422</v>
      </c>
      <c r="B274" s="24" t="s">
        <v>749</v>
      </c>
      <c r="C274" s="25" t="s">
        <v>750</v>
      </c>
      <c r="E274" s="26" t="s">
        <v>1762</v>
      </c>
      <c r="F274" s="198" t="s">
        <v>1700</v>
      </c>
      <c r="G274" s="198" t="s">
        <v>1700</v>
      </c>
      <c r="H274" s="25" t="s">
        <v>1700</v>
      </c>
      <c r="I274" s="27" t="s">
        <v>3901</v>
      </c>
      <c r="J274" s="27" t="s">
        <v>866</v>
      </c>
      <c r="K274" s="28" t="s">
        <v>859</v>
      </c>
      <c r="R274" s="29" t="s">
        <v>859</v>
      </c>
      <c r="W274" s="93">
        <v>280</v>
      </c>
      <c r="X274" s="84" t="s">
        <v>1700</v>
      </c>
      <c r="Y274" s="84" t="s">
        <v>1113</v>
      </c>
      <c r="AA274" s="84" t="s">
        <v>751</v>
      </c>
      <c r="AB274" s="84" t="s">
        <v>126</v>
      </c>
      <c r="AC274" s="26">
        <v>42313</v>
      </c>
      <c r="AD274" s="26" t="s">
        <v>859</v>
      </c>
      <c r="AE274" s="8" t="s">
        <v>4099</v>
      </c>
      <c r="AF274" s="8">
        <v>624</v>
      </c>
      <c r="AG274" s="8">
        <v>280</v>
      </c>
      <c r="CB274" s="26">
        <v>41943</v>
      </c>
      <c r="CC274" s="26" t="s">
        <v>859</v>
      </c>
      <c r="CD274" s="8" t="s">
        <v>2237</v>
      </c>
      <c r="CE274" s="8">
        <v>624</v>
      </c>
      <c r="CF274" s="8">
        <v>280</v>
      </c>
      <c r="CG274" s="26"/>
      <c r="CH274" s="8"/>
      <c r="CM274" s="8"/>
      <c r="CR274" s="8"/>
    </row>
    <row r="275" spans="1:225" x14ac:dyDescent="0.25">
      <c r="A275" s="8" t="s">
        <v>422</v>
      </c>
      <c r="B275" s="24" t="s">
        <v>1859</v>
      </c>
      <c r="C275" s="25" t="s">
        <v>423</v>
      </c>
      <c r="E275" s="26" t="s">
        <v>1762</v>
      </c>
      <c r="F275" s="198" t="s">
        <v>1209</v>
      </c>
      <c r="G275" s="198" t="s">
        <v>425</v>
      </c>
      <c r="H275" s="25" t="s">
        <v>424</v>
      </c>
      <c r="J275" s="27" t="s">
        <v>866</v>
      </c>
      <c r="CB275" s="26"/>
      <c r="CC275" s="26"/>
      <c r="CF275" s="8"/>
      <c r="CG275" s="26"/>
      <c r="CH275" s="8"/>
      <c r="CM275" s="8"/>
      <c r="CR275" s="8"/>
    </row>
    <row r="276" spans="1:225" x14ac:dyDescent="0.25">
      <c r="A276" s="8" t="s">
        <v>4387</v>
      </c>
      <c r="B276" s="24" t="s">
        <v>779</v>
      </c>
      <c r="C276" s="25" t="s">
        <v>4388</v>
      </c>
      <c r="E276" s="26" t="s">
        <v>1762</v>
      </c>
      <c r="F276" s="198" t="s">
        <v>138</v>
      </c>
      <c r="G276" s="198" t="s">
        <v>1700</v>
      </c>
      <c r="H276" s="25" t="s">
        <v>4389</v>
      </c>
      <c r="I276" s="27" t="s">
        <v>3903</v>
      </c>
      <c r="J276" s="27" t="s">
        <v>866</v>
      </c>
      <c r="K276" s="28" t="s">
        <v>853</v>
      </c>
      <c r="W276" s="93">
        <v>99</v>
      </c>
      <c r="X276" s="84" t="s">
        <v>1700</v>
      </c>
      <c r="Y276" s="84" t="s">
        <v>4390</v>
      </c>
      <c r="AA276" s="84" t="s">
        <v>4391</v>
      </c>
      <c r="AB276" s="84" t="s">
        <v>4392</v>
      </c>
      <c r="AC276" s="26">
        <v>42352</v>
      </c>
      <c r="AD276" s="26" t="s">
        <v>853</v>
      </c>
      <c r="AE276" s="8" t="s">
        <v>4393</v>
      </c>
      <c r="AF276" s="8">
        <v>185</v>
      </c>
      <c r="AG276" s="8">
        <v>92</v>
      </c>
      <c r="AH276" s="26">
        <v>42352</v>
      </c>
      <c r="AI276" s="8" t="s">
        <v>853</v>
      </c>
      <c r="AJ276" s="8" t="s">
        <v>4394</v>
      </c>
      <c r="AK276" s="8">
        <v>15</v>
      </c>
      <c r="AL276" s="8">
        <v>7</v>
      </c>
      <c r="CB276" s="278"/>
      <c r="CG276" s="278"/>
    </row>
    <row r="277" spans="1:225" ht="25.5" x14ac:dyDescent="0.25">
      <c r="A277" s="8" t="s">
        <v>972</v>
      </c>
      <c r="B277" s="24" t="s">
        <v>973</v>
      </c>
      <c r="C277" s="25" t="s">
        <v>546</v>
      </c>
      <c r="E277" s="26" t="s">
        <v>1762</v>
      </c>
      <c r="F277" s="198" t="s">
        <v>948</v>
      </c>
      <c r="G277" s="198" t="s">
        <v>1700</v>
      </c>
      <c r="H277" s="25" t="s">
        <v>2697</v>
      </c>
      <c r="I277" s="27" t="s">
        <v>3904</v>
      </c>
      <c r="J277" s="27" t="s">
        <v>866</v>
      </c>
      <c r="K277" s="28" t="s">
        <v>853</v>
      </c>
      <c r="Q277" s="93"/>
      <c r="R277" s="28" t="s">
        <v>853</v>
      </c>
      <c r="S277" s="178"/>
      <c r="T277" s="178"/>
      <c r="U277" s="29"/>
      <c r="V277" s="29"/>
      <c r="W277" s="93">
        <v>89</v>
      </c>
      <c r="X277" s="84" t="s">
        <v>1700</v>
      </c>
      <c r="Y277" s="84" t="s">
        <v>246</v>
      </c>
      <c r="AA277" s="85" t="s">
        <v>1120</v>
      </c>
      <c r="AB277" s="85" t="s">
        <v>126</v>
      </c>
      <c r="AC277" s="26">
        <v>42416</v>
      </c>
      <c r="AD277" s="19" t="s">
        <v>853</v>
      </c>
      <c r="AE277" s="19" t="s">
        <v>4661</v>
      </c>
      <c r="AF277" s="19">
        <v>146</v>
      </c>
      <c r="AG277" s="19">
        <v>73</v>
      </c>
      <c r="AH277" s="26">
        <v>42416</v>
      </c>
      <c r="AI277" s="19" t="s">
        <v>853</v>
      </c>
      <c r="AJ277" s="19" t="s">
        <v>4662</v>
      </c>
      <c r="AK277" s="19">
        <v>33</v>
      </c>
      <c r="AL277" s="19">
        <v>16</v>
      </c>
      <c r="AN277" s="19"/>
      <c r="AO277" s="19"/>
      <c r="AP277" s="19"/>
      <c r="AQ277" s="19"/>
      <c r="AS277" s="19"/>
      <c r="AT277" s="19"/>
      <c r="AU277" s="19"/>
      <c r="AV277" s="19"/>
      <c r="AX277" s="19"/>
      <c r="AY277" s="19"/>
      <c r="AZ277" s="19"/>
      <c r="BA277" s="19"/>
      <c r="BC277" s="19"/>
      <c r="BD277" s="19"/>
      <c r="BE277" s="19"/>
      <c r="BF277" s="19"/>
      <c r="BH277" s="19"/>
      <c r="BI277" s="19"/>
      <c r="BJ277" s="19"/>
      <c r="BK277" s="19"/>
      <c r="BM277" s="19"/>
      <c r="BN277" s="19"/>
      <c r="BO277" s="19"/>
      <c r="BP277" s="19"/>
      <c r="BR277" s="19"/>
      <c r="BS277" s="19"/>
      <c r="BT277" s="19"/>
      <c r="BU277" s="19"/>
      <c r="BV277" s="8"/>
      <c r="BY277" s="19"/>
      <c r="CB277" s="26">
        <v>41921</v>
      </c>
      <c r="CC277" s="19" t="s">
        <v>853</v>
      </c>
      <c r="CD277" s="19" t="s">
        <v>2698</v>
      </c>
      <c r="CE277" s="19">
        <v>144</v>
      </c>
      <c r="CF277" s="19">
        <v>72</v>
      </c>
      <c r="CG277" s="26">
        <v>41921</v>
      </c>
      <c r="CH277" s="19" t="s">
        <v>853</v>
      </c>
      <c r="CI277" s="19" t="s">
        <v>2699</v>
      </c>
      <c r="CJ277" s="19">
        <v>33</v>
      </c>
      <c r="CK277" s="19">
        <v>17</v>
      </c>
      <c r="CL277" s="26">
        <v>41921</v>
      </c>
      <c r="CM277" s="19" t="s">
        <v>853</v>
      </c>
      <c r="CN277" s="19" t="s">
        <v>2700</v>
      </c>
      <c r="CO277" s="19">
        <v>32</v>
      </c>
      <c r="CP277" s="19">
        <v>16</v>
      </c>
      <c r="CR277" s="19"/>
      <c r="CS277" s="19"/>
      <c r="CT277" s="19"/>
      <c r="CU277" s="19"/>
      <c r="CW277" s="19"/>
      <c r="CX277" s="19"/>
      <c r="CY277" s="19"/>
      <c r="CZ277" s="19"/>
      <c r="DB277" s="19"/>
      <c r="DC277" s="19"/>
      <c r="DD277" s="19"/>
      <c r="DE277" s="19"/>
      <c r="DG277" s="19"/>
      <c r="DH277" s="19"/>
      <c r="DI277" s="19"/>
      <c r="DJ277" s="19"/>
      <c r="DL277" s="19"/>
      <c r="DM277" s="19"/>
      <c r="DN277" s="19"/>
      <c r="DO277" s="19"/>
      <c r="DQ277" s="19"/>
      <c r="DR277" s="19"/>
      <c r="DS277" s="19"/>
      <c r="DT277" s="19"/>
      <c r="DU277" s="8"/>
    </row>
    <row r="278" spans="1:225" x14ac:dyDescent="0.25">
      <c r="A278" s="8" t="s">
        <v>1402</v>
      </c>
      <c r="B278" s="24" t="s">
        <v>1403</v>
      </c>
      <c r="C278" s="25" t="s">
        <v>1404</v>
      </c>
      <c r="E278" s="26" t="s">
        <v>1762</v>
      </c>
      <c r="F278" s="198" t="s">
        <v>2430</v>
      </c>
      <c r="G278" s="198" t="s">
        <v>1700</v>
      </c>
      <c r="H278" s="25" t="s">
        <v>2628</v>
      </c>
      <c r="I278" s="27" t="s">
        <v>3901</v>
      </c>
      <c r="J278" s="27" t="s">
        <v>866</v>
      </c>
      <c r="K278" s="28" t="s">
        <v>853</v>
      </c>
      <c r="W278" s="93">
        <v>138</v>
      </c>
      <c r="X278" s="84" t="s">
        <v>1700</v>
      </c>
      <c r="Y278" s="84" t="s">
        <v>791</v>
      </c>
      <c r="AA278" s="84" t="s">
        <v>1405</v>
      </c>
      <c r="AB278" s="84" t="s">
        <v>126</v>
      </c>
      <c r="AC278" s="26">
        <v>42311</v>
      </c>
      <c r="AD278" s="26" t="s">
        <v>853</v>
      </c>
      <c r="AE278" s="8" t="s">
        <v>4121</v>
      </c>
      <c r="AF278" s="8">
        <v>277</v>
      </c>
      <c r="AG278" s="8">
        <v>138</v>
      </c>
      <c r="CA278" s="19"/>
      <c r="CB278" s="26"/>
      <c r="CC278" s="26"/>
      <c r="CF278" s="8"/>
      <c r="CG278" s="26"/>
      <c r="CH278" s="8"/>
      <c r="CM278" s="8"/>
      <c r="CR278" s="8"/>
    </row>
    <row r="279" spans="1:225" x14ac:dyDescent="0.25">
      <c r="A279" s="8" t="s">
        <v>4606</v>
      </c>
      <c r="B279" s="24" t="s">
        <v>951</v>
      </c>
      <c r="F279" s="198" t="s">
        <v>1700</v>
      </c>
      <c r="G279" s="198" t="s">
        <v>1700</v>
      </c>
      <c r="H279" s="25" t="s">
        <v>1700</v>
      </c>
      <c r="I279" s="27" t="s">
        <v>3893</v>
      </c>
      <c r="J279" s="27" t="s">
        <v>866</v>
      </c>
      <c r="K279" s="28" t="s">
        <v>3907</v>
      </c>
      <c r="P279" s="17">
        <v>1</v>
      </c>
      <c r="CB279" s="278"/>
      <c r="CG279" s="278"/>
    </row>
    <row r="280" spans="1:225" x14ac:dyDescent="0.25">
      <c r="A280" s="8" t="s">
        <v>217</v>
      </c>
      <c r="B280" s="24" t="s">
        <v>974</v>
      </c>
      <c r="C280" s="25" t="s">
        <v>2188</v>
      </c>
      <c r="E280" s="26" t="s">
        <v>1762</v>
      </c>
      <c r="F280" s="198" t="s">
        <v>968</v>
      </c>
      <c r="G280" s="198" t="s">
        <v>1700</v>
      </c>
      <c r="H280" s="25" t="s">
        <v>2369</v>
      </c>
      <c r="J280" s="27" t="s">
        <v>866</v>
      </c>
      <c r="Q280" s="93"/>
      <c r="R280" s="28" t="s">
        <v>853</v>
      </c>
      <c r="S280" s="29"/>
      <c r="T280" s="29"/>
      <c r="U280" s="29"/>
      <c r="V280" s="29"/>
      <c r="W280" s="95"/>
      <c r="X280" s="86" t="s">
        <v>1700</v>
      </c>
      <c r="Y280" s="86" t="s">
        <v>246</v>
      </c>
      <c r="Z280" s="86"/>
      <c r="AA280" s="86" t="s">
        <v>994</v>
      </c>
      <c r="AB280" s="84" t="s">
        <v>126</v>
      </c>
      <c r="AE280" s="19"/>
      <c r="AF280" s="19"/>
      <c r="AG280" s="19"/>
      <c r="AI280" s="19"/>
      <c r="AJ280" s="19"/>
      <c r="AK280" s="19"/>
      <c r="AL280" s="19"/>
      <c r="AN280" s="19"/>
      <c r="AO280" s="19"/>
      <c r="AP280" s="19"/>
      <c r="AQ280" s="19"/>
      <c r="AS280" s="19"/>
      <c r="AT280" s="19"/>
      <c r="AU280" s="19"/>
      <c r="AV280" s="19"/>
      <c r="AX280" s="19"/>
      <c r="AY280" s="19"/>
      <c r="AZ280" s="19"/>
      <c r="BA280" s="19"/>
      <c r="BC280" s="19"/>
      <c r="BD280" s="19"/>
      <c r="BE280" s="19"/>
      <c r="BF280" s="19"/>
      <c r="BH280" s="19"/>
      <c r="BI280" s="19"/>
      <c r="BJ280" s="19"/>
      <c r="BK280" s="19"/>
      <c r="BM280" s="19"/>
      <c r="BN280" s="19"/>
      <c r="BO280" s="19"/>
      <c r="BP280" s="19"/>
      <c r="BR280" s="19"/>
      <c r="BS280" s="19"/>
      <c r="BT280" s="19"/>
      <c r="BU280" s="19"/>
      <c r="BW280" s="19"/>
      <c r="BX280" s="19"/>
      <c r="BY280" s="19"/>
      <c r="BZ280" s="19"/>
      <c r="CB280" s="26">
        <v>42032</v>
      </c>
      <c r="CC280" s="26" t="s">
        <v>853</v>
      </c>
      <c r="CD280" s="19" t="s">
        <v>3457</v>
      </c>
      <c r="CE280" s="19">
        <v>158</v>
      </c>
      <c r="CF280" s="19">
        <v>79</v>
      </c>
      <c r="CG280" s="26">
        <v>42032</v>
      </c>
      <c r="CH280" s="19" t="s">
        <v>853</v>
      </c>
      <c r="CI280" s="19" t="s">
        <v>3458</v>
      </c>
      <c r="CJ280" s="19">
        <v>96</v>
      </c>
      <c r="CK280" s="19">
        <v>48</v>
      </c>
      <c r="CM280" s="19"/>
      <c r="CN280" s="19"/>
      <c r="CO280" s="19"/>
      <c r="CP280" s="19"/>
      <c r="CR280" s="19"/>
      <c r="CS280" s="19"/>
      <c r="CT280" s="19"/>
      <c r="CU280" s="19"/>
      <c r="CW280" s="19"/>
      <c r="CX280" s="19"/>
      <c r="CY280" s="19"/>
      <c r="CZ280" s="19"/>
      <c r="DB280" s="19"/>
      <c r="DC280" s="19"/>
      <c r="DD280" s="19"/>
      <c r="DE280" s="19"/>
      <c r="DG280" s="19"/>
      <c r="DH280" s="19"/>
      <c r="DI280" s="19"/>
      <c r="DJ280" s="19"/>
      <c r="DL280" s="19"/>
      <c r="DM280" s="19"/>
      <c r="DN280" s="19"/>
      <c r="DO280" s="19"/>
      <c r="DQ280" s="19"/>
      <c r="DR280" s="19"/>
      <c r="DS280" s="19"/>
      <c r="DT280" s="19"/>
      <c r="DV280" s="19"/>
      <c r="DW280" s="19"/>
      <c r="DX280" s="19"/>
      <c r="DY280" s="19"/>
    </row>
    <row r="281" spans="1:225" x14ac:dyDescent="0.25">
      <c r="A281" s="8" t="s">
        <v>227</v>
      </c>
      <c r="B281" s="24" t="s">
        <v>228</v>
      </c>
      <c r="C281" s="25" t="s">
        <v>229</v>
      </c>
      <c r="E281" s="26" t="s">
        <v>1762</v>
      </c>
      <c r="F281" s="198" t="s">
        <v>968</v>
      </c>
      <c r="G281" s="198" t="s">
        <v>1700</v>
      </c>
      <c r="H281" s="25" t="s">
        <v>3109</v>
      </c>
      <c r="J281" s="27" t="s">
        <v>866</v>
      </c>
      <c r="R281" s="29" t="s">
        <v>853</v>
      </c>
      <c r="X281" s="84" t="s">
        <v>1700</v>
      </c>
      <c r="Y281" s="84" t="s">
        <v>2499</v>
      </c>
      <c r="AA281" s="84" t="s">
        <v>3111</v>
      </c>
      <c r="AB281" s="84" t="s">
        <v>126</v>
      </c>
      <c r="CB281" s="26">
        <v>41977</v>
      </c>
      <c r="CC281" s="26" t="s">
        <v>853</v>
      </c>
      <c r="CD281" s="8" t="s">
        <v>3110</v>
      </c>
      <c r="CE281" s="8">
        <v>195</v>
      </c>
      <c r="CF281" s="8">
        <v>98</v>
      </c>
      <c r="CG281" s="26"/>
      <c r="CH281" s="8"/>
      <c r="CM281" s="8"/>
      <c r="CR281" s="8"/>
    </row>
    <row r="282" spans="1:225" x14ac:dyDescent="0.25">
      <c r="A282" s="8" t="s">
        <v>886</v>
      </c>
      <c r="B282" s="24" t="s">
        <v>1630</v>
      </c>
      <c r="C282" s="25" t="s">
        <v>1816</v>
      </c>
      <c r="E282" s="26" t="s">
        <v>1768</v>
      </c>
      <c r="F282" s="198" t="s">
        <v>898</v>
      </c>
      <c r="G282" s="198" t="s">
        <v>1700</v>
      </c>
      <c r="H282" s="25" t="s">
        <v>1700</v>
      </c>
      <c r="J282" s="27" t="s">
        <v>866</v>
      </c>
      <c r="R282" s="29" t="s">
        <v>1763</v>
      </c>
      <c r="X282" s="84" t="s">
        <v>1700</v>
      </c>
      <c r="Y282" s="84" t="s">
        <v>1700</v>
      </c>
      <c r="AA282" s="84" t="s">
        <v>1543</v>
      </c>
      <c r="AB282" s="84" t="s">
        <v>1700</v>
      </c>
      <c r="AD282" s="8"/>
      <c r="CA282" s="19"/>
      <c r="CB282" s="26"/>
      <c r="CC282" s="8"/>
      <c r="CF282" s="8"/>
      <c r="CG282" s="26"/>
      <c r="CH282" s="8"/>
      <c r="CM282" s="8"/>
      <c r="CR282" s="8"/>
    </row>
    <row r="283" spans="1:225" x14ac:dyDescent="0.25">
      <c r="A283" s="8" t="s">
        <v>1324</v>
      </c>
      <c r="B283" s="24" t="s">
        <v>966</v>
      </c>
      <c r="C283" s="25" t="s">
        <v>1325</v>
      </c>
      <c r="E283" s="26" t="s">
        <v>1762</v>
      </c>
      <c r="F283" s="198" t="s">
        <v>1326</v>
      </c>
      <c r="G283" s="198" t="s">
        <v>1700</v>
      </c>
      <c r="H283" s="25" t="s">
        <v>3172</v>
      </c>
      <c r="I283" s="27" t="s">
        <v>3901</v>
      </c>
      <c r="J283" s="27" t="s">
        <v>866</v>
      </c>
      <c r="K283" s="28" t="s">
        <v>853</v>
      </c>
      <c r="R283" s="29" t="s">
        <v>853</v>
      </c>
      <c r="W283" s="93">
        <v>146</v>
      </c>
      <c r="X283" s="84" t="s">
        <v>1700</v>
      </c>
      <c r="Y283" s="84" t="s">
        <v>1327</v>
      </c>
      <c r="AA283" s="84" t="s">
        <v>1328</v>
      </c>
      <c r="AB283" s="84" t="s">
        <v>126</v>
      </c>
      <c r="AC283" s="26">
        <v>42311</v>
      </c>
      <c r="AD283" s="26" t="s">
        <v>853</v>
      </c>
      <c r="AE283" s="8" t="s">
        <v>4122</v>
      </c>
      <c r="AF283" s="8">
        <v>293</v>
      </c>
      <c r="AG283" s="8">
        <v>146</v>
      </c>
      <c r="CB283" s="26">
        <v>41977</v>
      </c>
      <c r="CC283" s="26" t="s">
        <v>853</v>
      </c>
      <c r="CD283" s="8" t="s">
        <v>3173</v>
      </c>
      <c r="CE283" s="8">
        <v>318</v>
      </c>
      <c r="CF283" s="8">
        <v>159</v>
      </c>
      <c r="CG283" s="26"/>
      <c r="CH283" s="8"/>
      <c r="CM283" s="8"/>
      <c r="CR283" s="8"/>
      <c r="EB283" s="19"/>
      <c r="EC283" s="19"/>
      <c r="ED283" s="19"/>
      <c r="EE283" s="19"/>
      <c r="EF283" s="19"/>
      <c r="EG283" s="19"/>
      <c r="EH283" s="19"/>
      <c r="EI283" s="19"/>
      <c r="EJ283" s="19"/>
      <c r="EK283" s="19"/>
      <c r="EL283" s="19"/>
      <c r="EN283" s="19"/>
      <c r="EO283" s="19"/>
      <c r="EP283" s="19"/>
      <c r="EQ283" s="19"/>
      <c r="ER283" s="19"/>
      <c r="ES283" s="19"/>
      <c r="ET283" s="19"/>
      <c r="EU283" s="19"/>
      <c r="EV283" s="19"/>
      <c r="EW283" s="19"/>
      <c r="EX283" s="19"/>
      <c r="EZ283" s="19"/>
      <c r="FA283" s="19"/>
      <c r="FB283" s="19"/>
      <c r="FC283" s="19"/>
      <c r="FD283" s="19"/>
      <c r="FE283" s="19"/>
      <c r="FF283" s="19"/>
      <c r="FG283" s="19"/>
      <c r="FH283" s="19"/>
      <c r="FI283" s="19"/>
      <c r="FJ283" s="19"/>
      <c r="FL283" s="19"/>
      <c r="FM283" s="19"/>
      <c r="FN283" s="19"/>
      <c r="FO283" s="19"/>
      <c r="FP283" s="19"/>
      <c r="FQ283" s="19"/>
      <c r="FR283" s="19"/>
      <c r="FS283" s="19"/>
      <c r="FT283" s="19"/>
      <c r="FU283" s="19"/>
      <c r="FV283" s="19"/>
      <c r="FX283" s="19"/>
      <c r="FY283" s="19"/>
      <c r="FZ283" s="19"/>
      <c r="GA283" s="19"/>
      <c r="GB283" s="19"/>
      <c r="GC283" s="19"/>
      <c r="GD283" s="19"/>
      <c r="GE283" s="19"/>
      <c r="GF283" s="19"/>
      <c r="GG283" s="19"/>
      <c r="GH283" s="19"/>
      <c r="GJ283" s="19"/>
      <c r="GK283" s="19"/>
      <c r="GL283" s="19"/>
      <c r="GM283" s="19"/>
      <c r="GN283" s="19"/>
      <c r="GO283" s="19"/>
      <c r="GP283" s="19"/>
      <c r="GQ283" s="19"/>
      <c r="GR283" s="19"/>
      <c r="GS283" s="19"/>
      <c r="GT283" s="19"/>
      <c r="GV283" s="19"/>
      <c r="GW283" s="19"/>
      <c r="GX283" s="19"/>
      <c r="GY283" s="19"/>
      <c r="GZ283" s="19"/>
      <c r="HA283" s="19"/>
      <c r="HB283" s="19"/>
      <c r="HC283" s="19"/>
      <c r="HD283" s="19"/>
      <c r="HE283" s="19"/>
      <c r="HF283" s="19"/>
      <c r="HH283" s="19"/>
      <c r="HI283" s="19"/>
      <c r="HJ283" s="19"/>
      <c r="HK283" s="19"/>
      <c r="HL283" s="19"/>
      <c r="HM283" s="19"/>
      <c r="HN283" s="19"/>
      <c r="HO283" s="19"/>
      <c r="HP283" s="19"/>
      <c r="HQ283" s="19"/>
    </row>
    <row r="284" spans="1:225" x14ac:dyDescent="0.25">
      <c r="A284" s="8" t="s">
        <v>3051</v>
      </c>
      <c r="B284" s="24" t="s">
        <v>1882</v>
      </c>
      <c r="C284" s="25" t="s">
        <v>3050</v>
      </c>
      <c r="E284" s="26" t="s">
        <v>1762</v>
      </c>
      <c r="F284" s="198" t="s">
        <v>754</v>
      </c>
      <c r="G284" s="198" t="s">
        <v>1700</v>
      </c>
      <c r="H284" s="25" t="s">
        <v>3052</v>
      </c>
      <c r="I284" s="27" t="s">
        <v>3902</v>
      </c>
      <c r="J284" s="27" t="s">
        <v>866</v>
      </c>
      <c r="K284" s="28" t="s">
        <v>853</v>
      </c>
      <c r="R284" s="29" t="s">
        <v>853</v>
      </c>
      <c r="W284" s="93">
        <v>160</v>
      </c>
      <c r="X284" s="84" t="s">
        <v>1700</v>
      </c>
      <c r="Y284" s="84" t="s">
        <v>319</v>
      </c>
      <c r="AA284" s="84" t="s">
        <v>3053</v>
      </c>
      <c r="AB284" s="84" t="s">
        <v>302</v>
      </c>
      <c r="AC284" s="26">
        <v>42334</v>
      </c>
      <c r="AD284" s="26" t="s">
        <v>853</v>
      </c>
      <c r="AE284" s="8" t="s">
        <v>4282</v>
      </c>
      <c r="AF284" s="8">
        <v>360</v>
      </c>
      <c r="AG284" s="8">
        <v>160</v>
      </c>
      <c r="CB284" s="26">
        <v>41943</v>
      </c>
      <c r="CC284" s="26" t="s">
        <v>853</v>
      </c>
      <c r="CD284" s="8" t="s">
        <v>3054</v>
      </c>
      <c r="CE284" s="8">
        <v>360</v>
      </c>
      <c r="CF284" s="8">
        <v>160</v>
      </c>
      <c r="CG284" s="26"/>
      <c r="CH284" s="8"/>
      <c r="CM284" s="8"/>
      <c r="CR284" s="8"/>
      <c r="DZ284" s="19"/>
      <c r="EB284" s="19"/>
      <c r="EC284" s="19"/>
      <c r="ED284" s="19"/>
      <c r="EE284" s="19"/>
      <c r="EF284" s="19"/>
      <c r="EG284" s="19"/>
      <c r="EH284" s="19"/>
      <c r="EI284" s="19"/>
      <c r="EJ284" s="19"/>
      <c r="EK284" s="19"/>
      <c r="EL284" s="19"/>
      <c r="EN284" s="19"/>
      <c r="EO284" s="19"/>
      <c r="EP284" s="19"/>
      <c r="EQ284" s="19"/>
      <c r="ER284" s="19"/>
      <c r="ES284" s="19"/>
      <c r="ET284" s="19"/>
      <c r="EU284" s="19"/>
      <c r="EV284" s="19"/>
      <c r="EW284" s="19"/>
      <c r="EX284" s="19"/>
      <c r="EZ284" s="19"/>
      <c r="FA284" s="19"/>
      <c r="FB284" s="19"/>
      <c r="FC284" s="19"/>
      <c r="FD284" s="19"/>
      <c r="FE284" s="19"/>
      <c r="FF284" s="19"/>
      <c r="FG284" s="19"/>
      <c r="FH284" s="19"/>
      <c r="FI284" s="19"/>
      <c r="FJ284" s="19"/>
      <c r="FL284" s="19"/>
      <c r="FM284" s="19"/>
      <c r="FN284" s="19"/>
      <c r="FO284" s="19"/>
      <c r="FP284" s="19"/>
      <c r="FQ284" s="19"/>
      <c r="FR284" s="19"/>
      <c r="FS284" s="19"/>
      <c r="FT284" s="19"/>
      <c r="FU284" s="19"/>
      <c r="FV284" s="19"/>
      <c r="FX284" s="19"/>
      <c r="FY284" s="19"/>
      <c r="FZ284" s="19"/>
      <c r="GA284" s="19"/>
      <c r="GB284" s="19"/>
      <c r="GC284" s="19"/>
      <c r="GD284" s="19"/>
      <c r="GE284" s="19"/>
      <c r="GF284" s="19"/>
      <c r="GG284" s="19"/>
      <c r="GH284" s="19"/>
      <c r="GJ284" s="19"/>
      <c r="GK284" s="19"/>
      <c r="GL284" s="19"/>
      <c r="GM284" s="19"/>
      <c r="GN284" s="19"/>
      <c r="GO284" s="19"/>
      <c r="GP284" s="19"/>
      <c r="GQ284" s="19"/>
      <c r="GR284" s="19"/>
      <c r="GS284" s="19"/>
      <c r="GT284" s="19"/>
      <c r="GV284" s="19"/>
      <c r="GW284" s="19"/>
      <c r="GX284" s="19"/>
      <c r="GY284" s="19"/>
      <c r="GZ284" s="19"/>
      <c r="HA284" s="19"/>
      <c r="HB284" s="19"/>
      <c r="HC284" s="19"/>
      <c r="HD284" s="19"/>
      <c r="HE284" s="19"/>
      <c r="HF284" s="19"/>
      <c r="HH284" s="19"/>
      <c r="HI284" s="19"/>
      <c r="HJ284" s="19"/>
      <c r="HK284" s="19"/>
      <c r="HL284" s="19"/>
      <c r="HM284" s="19"/>
      <c r="HN284" s="19"/>
      <c r="HO284" s="19"/>
      <c r="HP284" s="19"/>
      <c r="HQ284" s="19"/>
    </row>
    <row r="285" spans="1:225" x14ac:dyDescent="0.25">
      <c r="A285" s="8" t="s">
        <v>1985</v>
      </c>
      <c r="B285" s="24" t="s">
        <v>1856</v>
      </c>
      <c r="C285" s="25" t="s">
        <v>2</v>
      </c>
      <c r="E285" s="26" t="s">
        <v>1762</v>
      </c>
      <c r="F285" s="198" t="s">
        <v>898</v>
      </c>
      <c r="G285" s="198" t="s">
        <v>3</v>
      </c>
      <c r="H285" s="25" t="s">
        <v>2202</v>
      </c>
      <c r="J285" s="27" t="s">
        <v>866</v>
      </c>
      <c r="K285" s="28" t="s">
        <v>1972</v>
      </c>
      <c r="L285" s="29" t="s">
        <v>1416</v>
      </c>
      <c r="M285" s="29" t="s">
        <v>816</v>
      </c>
      <c r="Q285" s="93"/>
      <c r="R285" s="28" t="s">
        <v>1972</v>
      </c>
      <c r="S285" s="13" t="s">
        <v>816</v>
      </c>
      <c r="T285" s="13"/>
      <c r="U285" s="21"/>
      <c r="V285" s="21"/>
      <c r="W285" s="95"/>
      <c r="X285" s="86"/>
      <c r="Y285" s="86"/>
      <c r="Z285" s="86"/>
      <c r="AE285" s="19"/>
      <c r="AF285" s="19"/>
      <c r="AG285" s="19"/>
      <c r="AI285" s="19"/>
      <c r="AJ285" s="19"/>
      <c r="AK285" s="19"/>
      <c r="AL285" s="19"/>
      <c r="AN285" s="19"/>
      <c r="AO285" s="19"/>
      <c r="AP285" s="19"/>
      <c r="AQ285" s="19"/>
      <c r="AS285" s="19"/>
      <c r="AT285" s="19"/>
      <c r="AU285" s="19"/>
      <c r="AV285" s="19"/>
      <c r="AX285" s="19"/>
      <c r="AY285" s="19"/>
      <c r="AZ285" s="19"/>
      <c r="BA285" s="19"/>
      <c r="BC285" s="19"/>
      <c r="BD285" s="19"/>
      <c r="BE285" s="19"/>
      <c r="BF285" s="19"/>
      <c r="BH285" s="19"/>
      <c r="BI285" s="19"/>
      <c r="BJ285" s="19"/>
      <c r="BK285" s="19"/>
      <c r="BM285" s="19"/>
      <c r="BN285" s="19"/>
      <c r="BO285" s="19"/>
      <c r="BP285" s="19"/>
      <c r="BR285" s="19"/>
      <c r="BS285" s="19"/>
      <c r="BT285" s="19"/>
      <c r="BU285" s="19"/>
      <c r="BW285" s="19"/>
      <c r="BX285" s="19"/>
      <c r="BY285" s="19"/>
      <c r="BZ285" s="19"/>
      <c r="CB285" s="26"/>
      <c r="CC285" s="26"/>
      <c r="CD285" s="19"/>
      <c r="CE285" s="19"/>
      <c r="CF285" s="19"/>
      <c r="CG285" s="26"/>
      <c r="CH285" s="19"/>
      <c r="CI285" s="19"/>
      <c r="CJ285" s="19"/>
      <c r="CK285" s="19"/>
      <c r="CM285" s="19"/>
      <c r="CN285" s="19"/>
      <c r="CO285" s="19"/>
      <c r="CP285" s="19"/>
      <c r="CR285" s="19"/>
      <c r="CS285" s="19"/>
      <c r="CT285" s="19"/>
      <c r="CU285" s="19"/>
      <c r="CW285" s="19"/>
      <c r="CX285" s="19"/>
      <c r="CY285" s="19"/>
      <c r="CZ285" s="19"/>
      <c r="DB285" s="19"/>
      <c r="DC285" s="19"/>
      <c r="DD285" s="19"/>
      <c r="DE285" s="19"/>
      <c r="DG285" s="19"/>
      <c r="DH285" s="19"/>
      <c r="DI285" s="19"/>
      <c r="DJ285" s="19"/>
      <c r="DL285" s="19"/>
      <c r="DM285" s="19"/>
      <c r="DN285" s="19"/>
      <c r="DO285" s="19"/>
      <c r="DQ285" s="19"/>
      <c r="DR285" s="19"/>
      <c r="DS285" s="19"/>
      <c r="DT285" s="19"/>
      <c r="DV285" s="19"/>
      <c r="DW285" s="19"/>
      <c r="DX285" s="19"/>
      <c r="DY285" s="19"/>
      <c r="DZ285" s="19"/>
    </row>
    <row r="286" spans="1:225" x14ac:dyDescent="0.25">
      <c r="A286" s="19" t="s">
        <v>2051</v>
      </c>
      <c r="B286" s="12" t="s">
        <v>915</v>
      </c>
      <c r="C286" s="13" t="s">
        <v>280</v>
      </c>
      <c r="D286" s="14"/>
      <c r="E286" s="14" t="s">
        <v>1762</v>
      </c>
      <c r="F286" s="199" t="s">
        <v>949</v>
      </c>
      <c r="G286" s="199" t="s">
        <v>285</v>
      </c>
      <c r="H286" s="13" t="s">
        <v>1700</v>
      </c>
      <c r="I286" s="15" t="s">
        <v>3893</v>
      </c>
      <c r="J286" s="15" t="s">
        <v>866</v>
      </c>
      <c r="K286" s="16" t="s">
        <v>859</v>
      </c>
      <c r="L286" s="13"/>
      <c r="M286" s="13"/>
      <c r="N286" s="21"/>
      <c r="O286" s="21"/>
      <c r="Q286" s="95"/>
      <c r="R286" s="16" t="s">
        <v>859</v>
      </c>
      <c r="S286" s="21"/>
      <c r="T286" s="21"/>
      <c r="U286" s="21"/>
      <c r="V286" s="21"/>
      <c r="W286" s="95">
        <v>280</v>
      </c>
      <c r="X286" s="86" t="s">
        <v>1700</v>
      </c>
      <c r="Y286" s="86" t="s">
        <v>1113</v>
      </c>
      <c r="Z286" s="86"/>
      <c r="AA286" s="86" t="s">
        <v>1114</v>
      </c>
      <c r="AB286" s="86" t="s">
        <v>126</v>
      </c>
      <c r="AC286" s="26">
        <v>42439</v>
      </c>
      <c r="AD286" s="26" t="s">
        <v>859</v>
      </c>
      <c r="AE286" s="19" t="s">
        <v>2231</v>
      </c>
      <c r="AF286" s="19">
        <v>624</v>
      </c>
      <c r="AG286" s="19">
        <v>280</v>
      </c>
      <c r="AI286" s="19"/>
      <c r="AJ286" s="19"/>
      <c r="AK286" s="19"/>
      <c r="AL286" s="19"/>
      <c r="AN286" s="19"/>
      <c r="AO286" s="19"/>
      <c r="AP286" s="19"/>
      <c r="AQ286" s="19"/>
      <c r="AS286" s="19"/>
      <c r="AT286" s="19"/>
      <c r="AU286" s="19"/>
      <c r="AV286" s="19"/>
      <c r="AX286" s="19"/>
      <c r="AY286" s="19"/>
      <c r="AZ286" s="19"/>
      <c r="BA286" s="19"/>
      <c r="BC286" s="19"/>
      <c r="BD286" s="19"/>
      <c r="BE286" s="19"/>
      <c r="BF286" s="19"/>
      <c r="BH286" s="19"/>
      <c r="BI286" s="19"/>
      <c r="BJ286" s="19"/>
      <c r="BK286" s="19"/>
      <c r="BM286" s="19"/>
      <c r="BN286" s="19"/>
      <c r="BO286" s="19"/>
      <c r="BP286" s="19"/>
      <c r="BR286" s="19"/>
      <c r="BS286" s="19"/>
      <c r="BT286" s="19"/>
      <c r="BU286" s="19"/>
      <c r="BW286" s="19"/>
      <c r="BX286" s="19"/>
      <c r="BY286" s="19"/>
      <c r="BZ286" s="19"/>
      <c r="CB286" s="26">
        <v>42060</v>
      </c>
      <c r="CC286" s="26" t="s">
        <v>859</v>
      </c>
      <c r="CD286" s="19" t="s">
        <v>3516</v>
      </c>
      <c r="CE286" s="19">
        <v>624</v>
      </c>
      <c r="CF286" s="19">
        <v>280</v>
      </c>
      <c r="CG286" s="26"/>
      <c r="CH286" s="19"/>
      <c r="CI286" s="19"/>
      <c r="CJ286" s="19"/>
      <c r="CK286" s="19"/>
      <c r="CM286" s="19"/>
      <c r="CN286" s="19"/>
      <c r="CO286" s="19"/>
      <c r="CP286" s="19"/>
      <c r="CR286" s="19"/>
      <c r="CS286" s="19"/>
      <c r="CT286" s="19"/>
      <c r="CU286" s="19"/>
      <c r="CW286" s="19"/>
      <c r="CX286" s="19"/>
      <c r="CY286" s="19"/>
      <c r="CZ286" s="19"/>
      <c r="DB286" s="19"/>
      <c r="DC286" s="19"/>
      <c r="DD286" s="19"/>
      <c r="DE286" s="19"/>
      <c r="DG286" s="19"/>
      <c r="DH286" s="19"/>
      <c r="DI286" s="19"/>
      <c r="DJ286" s="19"/>
      <c r="DL286" s="19"/>
      <c r="DM286" s="19"/>
      <c r="DN286" s="19"/>
      <c r="DO286" s="19"/>
      <c r="DQ286" s="19"/>
      <c r="DR286" s="19"/>
      <c r="DS286" s="19"/>
      <c r="DT286" s="19"/>
      <c r="DV286" s="19"/>
      <c r="DW286" s="19"/>
      <c r="DX286" s="19"/>
      <c r="DY286" s="19"/>
      <c r="DZ286" s="19"/>
    </row>
    <row r="287" spans="1:225" x14ac:dyDescent="0.25">
      <c r="A287" s="8" t="s">
        <v>1167</v>
      </c>
      <c r="B287" s="24" t="s">
        <v>663</v>
      </c>
      <c r="C287" s="25" t="s">
        <v>1168</v>
      </c>
      <c r="E287" s="26" t="s">
        <v>1762</v>
      </c>
      <c r="F287" s="198" t="s">
        <v>963</v>
      </c>
      <c r="G287" s="198" t="s">
        <v>1700</v>
      </c>
      <c r="H287" s="25" t="s">
        <v>2555</v>
      </c>
      <c r="I287" s="27" t="s">
        <v>3896</v>
      </c>
      <c r="J287" s="27" t="s">
        <v>866</v>
      </c>
      <c r="K287" s="28" t="s">
        <v>853</v>
      </c>
      <c r="R287" s="29" t="s">
        <v>853</v>
      </c>
      <c r="W287" s="93">
        <v>100</v>
      </c>
      <c r="X287" s="84" t="s">
        <v>1700</v>
      </c>
      <c r="Y287" s="84" t="s">
        <v>791</v>
      </c>
      <c r="AA287" s="84" t="s">
        <v>1169</v>
      </c>
      <c r="AB287" s="84" t="s">
        <v>126</v>
      </c>
      <c r="AC287" s="26">
        <v>42545</v>
      </c>
      <c r="AD287" s="26" t="s">
        <v>853</v>
      </c>
      <c r="AE287" s="8" t="s">
        <v>4847</v>
      </c>
      <c r="AF287" s="8">
        <v>200</v>
      </c>
      <c r="AG287" s="8">
        <v>100</v>
      </c>
      <c r="CB287" s="26">
        <v>42178</v>
      </c>
      <c r="CC287" s="26" t="s">
        <v>853</v>
      </c>
      <c r="CD287" s="8" t="s">
        <v>3757</v>
      </c>
      <c r="CE287" s="8">
        <v>187</v>
      </c>
      <c r="CF287" s="8">
        <v>94</v>
      </c>
      <c r="CG287" s="26"/>
      <c r="CH287" s="8"/>
      <c r="CM287" s="8"/>
      <c r="CR287" s="8"/>
    </row>
    <row r="288" spans="1:225" x14ac:dyDescent="0.25">
      <c r="A288" s="8" t="s">
        <v>1190</v>
      </c>
      <c r="B288" s="24" t="s">
        <v>2152</v>
      </c>
      <c r="C288" s="25" t="s">
        <v>1191</v>
      </c>
      <c r="E288" s="26" t="s">
        <v>1762</v>
      </c>
      <c r="F288" s="198" t="s">
        <v>867</v>
      </c>
      <c r="G288" s="198" t="s">
        <v>2956</v>
      </c>
      <c r="H288" s="25" t="s">
        <v>2955</v>
      </c>
      <c r="I288" s="27" t="s">
        <v>3901</v>
      </c>
      <c r="J288" s="27" t="s">
        <v>866</v>
      </c>
      <c r="K288" s="28" t="s">
        <v>853</v>
      </c>
      <c r="R288" s="29" t="s">
        <v>853</v>
      </c>
      <c r="W288" s="93">
        <v>135</v>
      </c>
      <c r="X288" s="84" t="s">
        <v>1700</v>
      </c>
      <c r="Y288" s="84" t="s">
        <v>1205</v>
      </c>
      <c r="AA288" s="84" t="s">
        <v>2957</v>
      </c>
      <c r="AB288" s="84" t="s">
        <v>1784</v>
      </c>
      <c r="AC288" s="26">
        <v>42311</v>
      </c>
      <c r="AD288" s="26" t="s">
        <v>853</v>
      </c>
      <c r="AE288" s="8" t="s">
        <v>4073</v>
      </c>
      <c r="AF288" s="8">
        <v>270</v>
      </c>
      <c r="AG288" s="8">
        <v>135</v>
      </c>
      <c r="CB288" s="26">
        <v>41934</v>
      </c>
      <c r="CC288" s="26" t="s">
        <v>853</v>
      </c>
      <c r="CD288" s="8" t="s">
        <v>2958</v>
      </c>
      <c r="CE288" s="8">
        <v>180</v>
      </c>
      <c r="CF288" s="8">
        <v>90</v>
      </c>
      <c r="CG288" s="26"/>
      <c r="CH288" s="8"/>
      <c r="CM288" s="8"/>
      <c r="CR288" s="8"/>
    </row>
    <row r="289" spans="1:130" x14ac:dyDescent="0.25">
      <c r="A289" s="8" t="s">
        <v>3506</v>
      </c>
      <c r="B289" s="24" t="s">
        <v>1620</v>
      </c>
      <c r="F289" s="198" t="s">
        <v>3507</v>
      </c>
      <c r="G289" s="198" t="s">
        <v>1700</v>
      </c>
      <c r="H289" s="25" t="s">
        <v>1700</v>
      </c>
      <c r="J289" s="27" t="s">
        <v>866</v>
      </c>
      <c r="R289" s="29" t="s">
        <v>854</v>
      </c>
      <c r="CB289" s="278"/>
      <c r="CG289" s="278"/>
    </row>
    <row r="290" spans="1:130" x14ac:dyDescent="0.25">
      <c r="A290" s="8" t="s">
        <v>3402</v>
      </c>
      <c r="B290" s="24" t="s">
        <v>755</v>
      </c>
      <c r="C290" s="25" t="s">
        <v>3401</v>
      </c>
      <c r="E290" s="26" t="s">
        <v>1762</v>
      </c>
      <c r="F290" s="198" t="s">
        <v>1879</v>
      </c>
      <c r="G290" s="198" t="s">
        <v>1700</v>
      </c>
      <c r="H290" s="25" t="s">
        <v>3403</v>
      </c>
      <c r="I290" s="27" t="s">
        <v>3901</v>
      </c>
      <c r="J290" s="27" t="s">
        <v>866</v>
      </c>
      <c r="K290" s="28" t="s">
        <v>853</v>
      </c>
      <c r="R290" s="29" t="s">
        <v>853</v>
      </c>
      <c r="W290" s="93">
        <v>160</v>
      </c>
      <c r="X290" s="84" t="s">
        <v>1700</v>
      </c>
      <c r="Y290" s="84" t="s">
        <v>2921</v>
      </c>
      <c r="AA290" s="84" t="s">
        <v>3404</v>
      </c>
      <c r="AB290" s="84" t="s">
        <v>1269</v>
      </c>
      <c r="AC290" s="26">
        <v>42311</v>
      </c>
      <c r="AD290" s="26" t="s">
        <v>853</v>
      </c>
      <c r="AE290" s="8" t="s">
        <v>4140</v>
      </c>
      <c r="AF290" s="8">
        <v>708</v>
      </c>
      <c r="AG290" s="8">
        <v>160</v>
      </c>
      <c r="CB290" s="278">
        <v>42011</v>
      </c>
      <c r="CC290" s="278" t="s">
        <v>853</v>
      </c>
      <c r="CD290" s="8" t="s">
        <v>3405</v>
      </c>
      <c r="CE290" s="8">
        <v>328.9</v>
      </c>
      <c r="CF290" s="279">
        <v>160</v>
      </c>
      <c r="CG290" s="278"/>
    </row>
    <row r="291" spans="1:130" x14ac:dyDescent="0.25">
      <c r="A291" s="8" t="s">
        <v>656</v>
      </c>
      <c r="B291" s="24" t="s">
        <v>657</v>
      </c>
      <c r="C291" s="25" t="s">
        <v>717</v>
      </c>
      <c r="E291" s="26" t="s">
        <v>1762</v>
      </c>
      <c r="F291" s="198" t="s">
        <v>922</v>
      </c>
      <c r="G291" s="198" t="s">
        <v>1700</v>
      </c>
      <c r="H291" s="25" t="s">
        <v>3888</v>
      </c>
      <c r="J291" s="27" t="s">
        <v>866</v>
      </c>
      <c r="R291" s="29" t="s">
        <v>853</v>
      </c>
      <c r="X291" s="84" t="s">
        <v>1700</v>
      </c>
      <c r="Y291" s="84" t="s">
        <v>246</v>
      </c>
      <c r="AA291" s="84" t="s">
        <v>718</v>
      </c>
      <c r="AB291" s="84" t="s">
        <v>126</v>
      </c>
      <c r="CB291" s="26">
        <v>42244</v>
      </c>
      <c r="CC291" s="26" t="s">
        <v>853</v>
      </c>
      <c r="CD291" s="8" t="s">
        <v>3889</v>
      </c>
      <c r="CE291" s="8">
        <v>410</v>
      </c>
      <c r="CF291" s="8">
        <v>160</v>
      </c>
      <c r="CG291" s="26"/>
      <c r="CH291" s="8"/>
      <c r="CM291" s="8"/>
      <c r="CR291" s="8"/>
    </row>
    <row r="292" spans="1:130" ht="13.5" x14ac:dyDescent="0.25">
      <c r="A292" s="8" t="s">
        <v>3271</v>
      </c>
      <c r="B292" s="24" t="s">
        <v>779</v>
      </c>
      <c r="C292" s="25" t="s">
        <v>3270</v>
      </c>
      <c r="E292" s="26" t="s">
        <v>1764</v>
      </c>
      <c r="F292" s="198" t="s">
        <v>1609</v>
      </c>
      <c r="G292" s="198" t="s">
        <v>1700</v>
      </c>
      <c r="H292" s="25" t="s">
        <v>3272</v>
      </c>
      <c r="I292" s="27" t="s">
        <v>3903</v>
      </c>
      <c r="J292" s="27" t="s">
        <v>866</v>
      </c>
      <c r="K292" s="28" t="s">
        <v>853</v>
      </c>
      <c r="R292" s="29" t="s">
        <v>853</v>
      </c>
      <c r="W292" s="93">
        <v>62</v>
      </c>
      <c r="X292" s="84" t="s">
        <v>1700</v>
      </c>
      <c r="Y292" s="84" t="s">
        <v>2499</v>
      </c>
      <c r="AA292" s="84" t="s">
        <v>3273</v>
      </c>
      <c r="AB292" s="84" t="s">
        <v>126</v>
      </c>
      <c r="AC292" s="26">
        <v>42360</v>
      </c>
      <c r="AD292" s="26" t="s">
        <v>853</v>
      </c>
      <c r="AE292" s="8" t="s">
        <v>4496</v>
      </c>
      <c r="AF292" s="8">
        <v>45</v>
      </c>
      <c r="AG292" s="8">
        <v>22</v>
      </c>
      <c r="AH292" s="26">
        <v>42360</v>
      </c>
      <c r="AI292" s="8" t="s">
        <v>853</v>
      </c>
      <c r="AJ292" s="8" t="s">
        <v>4497</v>
      </c>
      <c r="AK292" s="8">
        <v>80</v>
      </c>
      <c r="AL292" s="8">
        <v>40</v>
      </c>
      <c r="CB292" s="26">
        <v>41977</v>
      </c>
      <c r="CC292" s="26" t="s">
        <v>853</v>
      </c>
      <c r="CD292" s="8" t="s">
        <v>3274</v>
      </c>
      <c r="CE292" s="8">
        <v>44</v>
      </c>
      <c r="CF292" s="8">
        <v>22</v>
      </c>
      <c r="CG292" s="26">
        <v>41977</v>
      </c>
      <c r="CH292" s="8" t="s">
        <v>853</v>
      </c>
      <c r="CI292" s="8" t="s">
        <v>3275</v>
      </c>
      <c r="CJ292" s="8">
        <v>80</v>
      </c>
      <c r="CK292" s="8">
        <v>40</v>
      </c>
      <c r="CM292" s="8"/>
      <c r="CR292" s="8"/>
      <c r="DZ292"/>
    </row>
    <row r="293" spans="1:130" x14ac:dyDescent="0.25">
      <c r="A293" s="8" t="s">
        <v>3475</v>
      </c>
      <c r="B293" s="24" t="s">
        <v>906</v>
      </c>
      <c r="C293" s="25" t="s">
        <v>3474</v>
      </c>
      <c r="E293" s="26" t="s">
        <v>1762</v>
      </c>
      <c r="F293" s="198" t="s">
        <v>1201</v>
      </c>
      <c r="G293" s="198" t="s">
        <v>1700</v>
      </c>
      <c r="H293" s="25" t="s">
        <v>3476</v>
      </c>
      <c r="J293" s="27" t="s">
        <v>866</v>
      </c>
      <c r="R293" s="29" t="s">
        <v>853</v>
      </c>
      <c r="X293" s="84" t="s">
        <v>1700</v>
      </c>
      <c r="Y293" s="84" t="s">
        <v>3477</v>
      </c>
      <c r="AA293" s="84" t="s">
        <v>3478</v>
      </c>
      <c r="AB293" s="84" t="s">
        <v>1193</v>
      </c>
      <c r="CB293" s="278">
        <v>42032</v>
      </c>
      <c r="CC293" s="278" t="s">
        <v>853</v>
      </c>
      <c r="CD293" s="8" t="s">
        <v>3479</v>
      </c>
      <c r="CE293" s="8">
        <v>300</v>
      </c>
      <c r="CF293" s="279">
        <v>150</v>
      </c>
      <c r="CG293" s="278"/>
    </row>
    <row r="294" spans="1:130" x14ac:dyDescent="0.25">
      <c r="A294" s="8" t="s">
        <v>2542</v>
      </c>
      <c r="B294" s="24" t="s">
        <v>876</v>
      </c>
      <c r="D294" s="26">
        <v>25437</v>
      </c>
      <c r="E294" s="26" t="s">
        <v>1762</v>
      </c>
      <c r="F294" s="198" t="s">
        <v>619</v>
      </c>
      <c r="G294" s="198" t="s">
        <v>1700</v>
      </c>
      <c r="H294" s="25" t="s">
        <v>1700</v>
      </c>
      <c r="J294" s="27" t="s">
        <v>866</v>
      </c>
      <c r="CB294" s="26"/>
      <c r="CC294" s="26"/>
      <c r="CF294" s="8"/>
      <c r="CG294" s="26"/>
      <c r="CH294" s="8"/>
      <c r="CM294" s="8"/>
      <c r="CR294" s="8"/>
    </row>
    <row r="295" spans="1:130" x14ac:dyDescent="0.25">
      <c r="A295" s="8" t="s">
        <v>131</v>
      </c>
      <c r="B295" s="24" t="s">
        <v>1504</v>
      </c>
      <c r="C295" s="25" t="s">
        <v>130</v>
      </c>
      <c r="E295" s="26" t="s">
        <v>1762</v>
      </c>
      <c r="F295" s="198" t="s">
        <v>1119</v>
      </c>
      <c r="G295" s="198" t="s">
        <v>1448</v>
      </c>
      <c r="H295" s="25" t="s">
        <v>1700</v>
      </c>
      <c r="J295" s="27" t="s">
        <v>866</v>
      </c>
      <c r="R295" s="29" t="s">
        <v>853</v>
      </c>
      <c r="X295" s="84" t="s">
        <v>1700</v>
      </c>
      <c r="Y295" s="84" t="s">
        <v>2160</v>
      </c>
      <c r="AA295" s="84" t="s">
        <v>2161</v>
      </c>
      <c r="AB295" s="84" t="s">
        <v>126</v>
      </c>
      <c r="CB295" s="26">
        <v>41921</v>
      </c>
      <c r="CC295" s="26" t="s">
        <v>853</v>
      </c>
      <c r="CD295" s="8" t="s">
        <v>2797</v>
      </c>
      <c r="CE295" s="8">
        <v>499</v>
      </c>
      <c r="CF295" s="8">
        <v>160</v>
      </c>
      <c r="CG295" s="26"/>
      <c r="CH295" s="8"/>
      <c r="CM295" s="8"/>
      <c r="CR295" s="8"/>
    </row>
    <row r="296" spans="1:130" x14ac:dyDescent="0.25">
      <c r="A296" s="8" t="s">
        <v>4462</v>
      </c>
      <c r="B296" s="24" t="s">
        <v>4463</v>
      </c>
      <c r="C296" s="25" t="s">
        <v>4464</v>
      </c>
      <c r="E296" s="26" t="s">
        <v>1762</v>
      </c>
      <c r="F296" s="198" t="s">
        <v>916</v>
      </c>
      <c r="G296" s="198" t="s">
        <v>1700</v>
      </c>
      <c r="H296" s="25" t="s">
        <v>4465</v>
      </c>
      <c r="I296" s="27" t="s">
        <v>3903</v>
      </c>
      <c r="J296" s="27" t="s">
        <v>866</v>
      </c>
      <c r="K296" s="28" t="s">
        <v>853</v>
      </c>
      <c r="W296" s="93">
        <v>160</v>
      </c>
      <c r="X296" s="84" t="s">
        <v>1700</v>
      </c>
      <c r="Y296" s="84" t="s">
        <v>2817</v>
      </c>
      <c r="AA296" s="84" t="s">
        <v>4466</v>
      </c>
      <c r="AB296" s="84" t="s">
        <v>2816</v>
      </c>
      <c r="AC296" s="26">
        <v>42360</v>
      </c>
      <c r="AD296" s="26" t="s">
        <v>853</v>
      </c>
      <c r="AE296" s="8" t="s">
        <v>4467</v>
      </c>
      <c r="AF296" s="8">
        <v>410</v>
      </c>
      <c r="AG296" s="8">
        <v>160</v>
      </c>
      <c r="CB296" s="278"/>
      <c r="CG296" s="278"/>
    </row>
    <row r="297" spans="1:130" x14ac:dyDescent="0.25">
      <c r="A297" s="8" t="s">
        <v>2174</v>
      </c>
      <c r="B297" s="24" t="s">
        <v>2175</v>
      </c>
      <c r="C297" s="25" t="s">
        <v>471</v>
      </c>
      <c r="D297" s="26">
        <v>19816</v>
      </c>
      <c r="E297" s="26" t="s">
        <v>1762</v>
      </c>
      <c r="F297" s="198" t="s">
        <v>852</v>
      </c>
      <c r="G297" s="198" t="s">
        <v>1700</v>
      </c>
      <c r="H297" s="25" t="s">
        <v>1700</v>
      </c>
      <c r="J297" s="27" t="s">
        <v>866</v>
      </c>
      <c r="Q297" s="93"/>
      <c r="R297" s="28" t="s">
        <v>857</v>
      </c>
      <c r="S297" s="29"/>
      <c r="T297" s="29"/>
      <c r="U297" s="29"/>
      <c r="V297" s="29"/>
      <c r="X297" s="86"/>
      <c r="Y297" s="86"/>
      <c r="Z297" s="86"/>
      <c r="AA297" s="86"/>
      <c r="AB297" s="86"/>
      <c r="CA297" s="19"/>
      <c r="CB297" s="26"/>
      <c r="CC297" s="26"/>
      <c r="CF297" s="8"/>
      <c r="CG297" s="26"/>
      <c r="CH297" s="8"/>
      <c r="CM297" s="8"/>
      <c r="CR297" s="8"/>
    </row>
    <row r="298" spans="1:130" x14ac:dyDescent="0.25">
      <c r="A298" s="8" t="s">
        <v>1927</v>
      </c>
      <c r="B298" s="24" t="s">
        <v>1928</v>
      </c>
      <c r="E298" s="26" t="s">
        <v>1762</v>
      </c>
      <c r="F298" s="198" t="s">
        <v>852</v>
      </c>
      <c r="G298" s="198" t="s">
        <v>1700</v>
      </c>
      <c r="H298" s="25" t="s">
        <v>1700</v>
      </c>
      <c r="J298" s="27" t="s">
        <v>866</v>
      </c>
      <c r="CB298" s="26"/>
      <c r="CC298" s="26"/>
      <c r="CD298" s="19"/>
      <c r="CE298" s="19"/>
      <c r="CF298" s="19"/>
      <c r="CG298" s="26"/>
      <c r="CH298" s="19"/>
      <c r="CI298" s="19"/>
      <c r="CJ298" s="19"/>
      <c r="CK298" s="19"/>
      <c r="CM298" s="19"/>
      <c r="CN298" s="19"/>
      <c r="CO298" s="19"/>
      <c r="CP298" s="19"/>
      <c r="CR298" s="19"/>
      <c r="CS298" s="19"/>
      <c r="CT298" s="19"/>
      <c r="CU298" s="19"/>
      <c r="CW298" s="19"/>
      <c r="CX298" s="19"/>
      <c r="CY298" s="19"/>
      <c r="CZ298" s="19"/>
      <c r="DB298" s="19"/>
      <c r="DC298" s="19"/>
      <c r="DD298" s="19"/>
      <c r="DE298" s="19"/>
      <c r="DG298" s="19"/>
      <c r="DH298" s="19"/>
      <c r="DI298" s="19"/>
      <c r="DJ298" s="19"/>
      <c r="DL298" s="19"/>
      <c r="DM298" s="19"/>
      <c r="DN298" s="19"/>
      <c r="DO298" s="19"/>
      <c r="DQ298" s="19"/>
      <c r="DR298" s="19"/>
      <c r="DS298" s="19"/>
      <c r="DT298" s="19"/>
      <c r="DV298" s="19"/>
      <c r="DW298" s="19"/>
      <c r="DX298" s="19"/>
      <c r="DY298" s="19"/>
      <c r="DZ298" s="279"/>
    </row>
    <row r="299" spans="1:130" x14ac:dyDescent="0.25">
      <c r="A299" s="8" t="s">
        <v>3825</v>
      </c>
      <c r="B299" s="24" t="s">
        <v>1415</v>
      </c>
      <c r="D299" s="26">
        <v>32329</v>
      </c>
      <c r="E299" s="26" t="s">
        <v>1762</v>
      </c>
      <c r="F299" s="198" t="s">
        <v>722</v>
      </c>
      <c r="G299" s="198" t="s">
        <v>1700</v>
      </c>
      <c r="H299" s="25" t="s">
        <v>1700</v>
      </c>
      <c r="J299" s="27" t="s">
        <v>866</v>
      </c>
      <c r="R299" s="29" t="s">
        <v>855</v>
      </c>
      <c r="CB299" s="278"/>
      <c r="CG299" s="278"/>
    </row>
    <row r="300" spans="1:130" ht="13.5" x14ac:dyDescent="0.25">
      <c r="A300" s="8" t="s">
        <v>2137</v>
      </c>
      <c r="B300" s="24" t="s">
        <v>1393</v>
      </c>
      <c r="C300" s="25" t="s">
        <v>1096</v>
      </c>
      <c r="D300" s="26">
        <v>27791</v>
      </c>
      <c r="E300" s="26" t="s">
        <v>1762</v>
      </c>
      <c r="F300" s="198" t="s">
        <v>2460</v>
      </c>
      <c r="G300" s="198" t="s">
        <v>2865</v>
      </c>
      <c r="H300" s="25" t="s">
        <v>1440</v>
      </c>
      <c r="I300" s="27" t="s">
        <v>3901</v>
      </c>
      <c r="J300" s="27" t="s">
        <v>866</v>
      </c>
      <c r="K300" s="28" t="s">
        <v>858</v>
      </c>
      <c r="Q300" s="93"/>
      <c r="R300" s="28" t="s">
        <v>858</v>
      </c>
      <c r="S300" s="29" t="s">
        <v>1416</v>
      </c>
      <c r="T300" s="29" t="s">
        <v>816</v>
      </c>
      <c r="U300" s="29" t="s">
        <v>855</v>
      </c>
      <c r="V300" s="29"/>
      <c r="W300" s="95"/>
      <c r="X300" s="86"/>
      <c r="Y300" s="86"/>
      <c r="Z300" s="86"/>
      <c r="AA300" s="86"/>
      <c r="AB300" s="86"/>
      <c r="AE300" s="19"/>
      <c r="AF300" s="19"/>
      <c r="AG300" s="19"/>
      <c r="AI300" s="19"/>
      <c r="AJ300" s="19"/>
      <c r="AK300" s="19"/>
      <c r="AL300" s="19"/>
      <c r="AN300" s="19"/>
      <c r="AO300" s="19"/>
      <c r="AP300" s="19"/>
      <c r="AQ300" s="19"/>
      <c r="AS300" s="19"/>
      <c r="AT300" s="19"/>
      <c r="AU300" s="19"/>
      <c r="AV300" s="19"/>
      <c r="AX300" s="19"/>
      <c r="AY300" s="19"/>
      <c r="AZ300" s="19"/>
      <c r="BA300" s="19"/>
      <c r="BC300" s="19"/>
      <c r="BD300" s="19"/>
      <c r="BE300" s="19"/>
      <c r="BF300" s="19"/>
      <c r="BH300" s="19"/>
      <c r="BI300" s="19"/>
      <c r="BJ300" s="19"/>
      <c r="BK300" s="19"/>
      <c r="BM300" s="19"/>
      <c r="BN300" s="19"/>
      <c r="BO300" s="19"/>
      <c r="BP300" s="19"/>
      <c r="BR300" s="19"/>
      <c r="BS300" s="19"/>
      <c r="BT300" s="19"/>
      <c r="BU300" s="19"/>
      <c r="BW300" s="19"/>
      <c r="BX300" s="19"/>
      <c r="BY300" s="19"/>
      <c r="BZ300" s="19"/>
      <c r="CA300" s="19"/>
      <c r="CB300" s="26"/>
      <c r="CC300" s="26"/>
      <c r="CD300" s="19"/>
      <c r="CE300" s="19"/>
      <c r="CF300" s="19"/>
      <c r="CG300" s="26"/>
      <c r="CH300" s="19"/>
      <c r="CI300" s="19"/>
      <c r="CJ300" s="19"/>
      <c r="CK300" s="19"/>
      <c r="CM300" s="19"/>
      <c r="CN300" s="19"/>
      <c r="CO300" s="19"/>
      <c r="CP300" s="19"/>
      <c r="CR300" s="19"/>
      <c r="CS300" s="19"/>
      <c r="CT300" s="19"/>
      <c r="CU300" s="19"/>
      <c r="CW300" s="19"/>
      <c r="CX300" s="19"/>
      <c r="CY300" s="19"/>
      <c r="CZ300" s="19"/>
      <c r="DB300" s="19"/>
      <c r="DC300" s="19"/>
      <c r="DD300" s="19"/>
      <c r="DE300" s="19"/>
      <c r="DG300" s="19"/>
      <c r="DH300" s="19"/>
      <c r="DI300" s="19"/>
      <c r="DJ300" s="19"/>
      <c r="DL300" s="19"/>
      <c r="DM300" s="19"/>
      <c r="DN300" s="19"/>
      <c r="DO300" s="19"/>
      <c r="DQ300" s="19"/>
      <c r="DR300" s="19"/>
      <c r="DS300" s="19"/>
      <c r="DT300" s="19"/>
      <c r="DV300" s="19"/>
      <c r="DW300" s="19"/>
      <c r="DX300" s="19"/>
      <c r="DY300" s="19"/>
      <c r="DZ300"/>
    </row>
    <row r="301" spans="1:130" x14ac:dyDescent="0.25">
      <c r="A301" s="8" t="s">
        <v>478</v>
      </c>
      <c r="B301" s="24" t="s">
        <v>875</v>
      </c>
      <c r="C301" s="25" t="s">
        <v>479</v>
      </c>
      <c r="E301" s="26" t="s">
        <v>1762</v>
      </c>
      <c r="F301" s="198" t="s">
        <v>1547</v>
      </c>
      <c r="G301" s="198" t="s">
        <v>1700</v>
      </c>
      <c r="H301" s="25" t="s">
        <v>1700</v>
      </c>
      <c r="J301" s="27" t="s">
        <v>866</v>
      </c>
      <c r="X301" s="84" t="s">
        <v>1700</v>
      </c>
      <c r="Y301" s="84" t="s">
        <v>246</v>
      </c>
      <c r="AA301" s="84" t="s">
        <v>480</v>
      </c>
      <c r="AB301" s="84" t="s">
        <v>126</v>
      </c>
      <c r="CB301" s="26"/>
      <c r="CC301" s="26"/>
      <c r="CF301" s="8"/>
      <c r="CG301" s="26"/>
      <c r="CH301" s="8"/>
      <c r="CM301" s="8"/>
      <c r="CR301" s="8"/>
    </row>
    <row r="302" spans="1:130" x14ac:dyDescent="0.25">
      <c r="A302" s="8" t="s">
        <v>485</v>
      </c>
      <c r="B302" s="24" t="s">
        <v>921</v>
      </c>
      <c r="C302" s="25" t="s">
        <v>486</v>
      </c>
      <c r="E302" s="26" t="s">
        <v>1762</v>
      </c>
      <c r="F302" s="198" t="s">
        <v>1849</v>
      </c>
      <c r="G302" s="198" t="s">
        <v>1700</v>
      </c>
      <c r="H302" s="25" t="s">
        <v>2887</v>
      </c>
      <c r="I302" s="27" t="s">
        <v>3902</v>
      </c>
      <c r="J302" s="27" t="s">
        <v>866</v>
      </c>
      <c r="K302" s="28" t="s">
        <v>853</v>
      </c>
      <c r="R302" s="29" t="s">
        <v>853</v>
      </c>
      <c r="W302" s="93">
        <v>160</v>
      </c>
      <c r="X302" s="84" t="s">
        <v>1700</v>
      </c>
      <c r="Y302" s="84" t="s">
        <v>791</v>
      </c>
      <c r="AA302" s="84" t="s">
        <v>202</v>
      </c>
      <c r="AB302" s="84" t="s">
        <v>126</v>
      </c>
      <c r="AC302" s="26">
        <v>42334</v>
      </c>
      <c r="AD302" s="26" t="s">
        <v>853</v>
      </c>
      <c r="AE302" s="8" t="s">
        <v>4306</v>
      </c>
      <c r="AF302" s="8">
        <v>478.8</v>
      </c>
      <c r="AG302" s="8">
        <v>160</v>
      </c>
      <c r="CB302" s="26">
        <v>41934</v>
      </c>
      <c r="CC302" s="26" t="s">
        <v>853</v>
      </c>
      <c r="CD302" s="8" t="s">
        <v>2888</v>
      </c>
      <c r="CE302" s="8">
        <v>478.8</v>
      </c>
      <c r="CF302" s="8">
        <v>160</v>
      </c>
      <c r="CG302" s="26"/>
      <c r="CH302" s="8"/>
      <c r="CM302" s="8"/>
      <c r="CR302" s="8"/>
    </row>
    <row r="303" spans="1:130" x14ac:dyDescent="0.25">
      <c r="A303" s="19" t="s">
        <v>979</v>
      </c>
      <c r="B303" s="12" t="s">
        <v>1991</v>
      </c>
      <c r="C303" s="13" t="s">
        <v>985</v>
      </c>
      <c r="D303" s="14" t="s">
        <v>866</v>
      </c>
      <c r="E303" s="14" t="s">
        <v>1762</v>
      </c>
      <c r="F303" s="199" t="s">
        <v>963</v>
      </c>
      <c r="G303" s="199" t="s">
        <v>866</v>
      </c>
      <c r="H303" s="13" t="s">
        <v>3462</v>
      </c>
      <c r="I303" s="20" t="s">
        <v>3901</v>
      </c>
      <c r="J303" s="20" t="s">
        <v>866</v>
      </c>
      <c r="K303" s="28" t="s">
        <v>853</v>
      </c>
      <c r="L303" s="21"/>
      <c r="M303" s="21"/>
      <c r="N303" s="21"/>
      <c r="O303" s="21"/>
      <c r="Q303" s="95"/>
      <c r="R303" s="21" t="s">
        <v>853</v>
      </c>
      <c r="S303" s="17"/>
      <c r="T303" s="21"/>
      <c r="U303" s="21"/>
      <c r="V303" s="21"/>
      <c r="W303" s="95">
        <v>160</v>
      </c>
      <c r="X303" s="86" t="s">
        <v>1700</v>
      </c>
      <c r="Y303" s="86" t="s">
        <v>2499</v>
      </c>
      <c r="Z303" s="86"/>
      <c r="AA303" s="86" t="s">
        <v>3463</v>
      </c>
      <c r="AB303" s="86" t="s">
        <v>126</v>
      </c>
      <c r="AC303" s="26">
        <v>42311</v>
      </c>
      <c r="AD303" s="26" t="s">
        <v>853</v>
      </c>
      <c r="AE303" s="19" t="s">
        <v>4074</v>
      </c>
      <c r="AF303" s="19">
        <v>270</v>
      </c>
      <c r="AG303" s="19">
        <v>135</v>
      </c>
      <c r="AH303" s="26">
        <v>42311</v>
      </c>
      <c r="AI303" s="19" t="s">
        <v>853</v>
      </c>
      <c r="AJ303" s="19" t="s">
        <v>4075</v>
      </c>
      <c r="AK303" s="19">
        <v>230</v>
      </c>
      <c r="AL303" s="19">
        <v>25</v>
      </c>
      <c r="AN303" s="19"/>
      <c r="AO303" s="19"/>
      <c r="AP303" s="19"/>
      <c r="AQ303" s="19"/>
      <c r="AS303" s="19"/>
      <c r="AT303" s="19"/>
      <c r="AU303" s="19"/>
      <c r="AV303" s="19"/>
      <c r="AX303" s="19"/>
      <c r="AY303" s="19"/>
      <c r="AZ303" s="19"/>
      <c r="BA303" s="19"/>
      <c r="BC303" s="19"/>
      <c r="BD303" s="19"/>
      <c r="BE303" s="19"/>
      <c r="BF303" s="19"/>
      <c r="BH303" s="19"/>
      <c r="BI303" s="19"/>
      <c r="BJ303" s="19"/>
      <c r="BK303" s="19"/>
      <c r="BM303" s="19"/>
      <c r="BN303" s="19"/>
      <c r="BO303" s="19"/>
      <c r="BP303" s="19"/>
      <c r="BR303" s="19"/>
      <c r="BS303" s="19"/>
      <c r="BT303" s="19"/>
      <c r="BU303" s="19"/>
      <c r="BW303" s="19"/>
      <c r="BX303" s="19"/>
      <c r="BY303" s="19"/>
      <c r="BZ303" s="19"/>
      <c r="CB303" s="26">
        <v>42032</v>
      </c>
      <c r="CC303" s="26" t="s">
        <v>853</v>
      </c>
      <c r="CD303" s="19" t="s">
        <v>3464</v>
      </c>
      <c r="CE303" s="19">
        <v>399</v>
      </c>
      <c r="CF303" s="19">
        <v>160</v>
      </c>
      <c r="CG303" s="26"/>
      <c r="CH303" s="19"/>
      <c r="CI303" s="19"/>
      <c r="CJ303" s="19"/>
      <c r="CK303" s="19"/>
      <c r="CM303" s="19"/>
      <c r="CN303" s="19"/>
      <c r="CO303" s="19"/>
      <c r="CP303" s="19"/>
      <c r="CR303" s="19"/>
      <c r="CS303" s="19"/>
      <c r="CT303" s="19"/>
      <c r="CU303" s="19"/>
      <c r="CW303" s="19"/>
      <c r="CX303" s="19"/>
      <c r="CY303" s="19"/>
      <c r="CZ303" s="19"/>
      <c r="DB303" s="19"/>
      <c r="DC303" s="19"/>
      <c r="DD303" s="19"/>
      <c r="DE303" s="19"/>
      <c r="DG303" s="19"/>
      <c r="DH303" s="19"/>
      <c r="DI303" s="19"/>
      <c r="DJ303" s="19"/>
      <c r="DL303" s="19"/>
      <c r="DM303" s="19"/>
      <c r="DN303" s="19"/>
      <c r="DO303" s="19"/>
      <c r="DQ303" s="19"/>
      <c r="DR303" s="19"/>
      <c r="DS303" s="19"/>
      <c r="DT303" s="19"/>
      <c r="DV303" s="19"/>
      <c r="DW303" s="19"/>
      <c r="DX303" s="19"/>
      <c r="DY303" s="19"/>
    </row>
    <row r="304" spans="1:130" ht="13.5" x14ac:dyDescent="0.25">
      <c r="A304" s="8" t="s">
        <v>386</v>
      </c>
      <c r="B304" s="24" t="s">
        <v>933</v>
      </c>
      <c r="F304" s="198" t="s">
        <v>852</v>
      </c>
      <c r="G304" s="198" t="s">
        <v>387</v>
      </c>
      <c r="H304" s="25" t="s">
        <v>1700</v>
      </c>
      <c r="J304" s="27" t="s">
        <v>866</v>
      </c>
      <c r="CB304" s="26"/>
      <c r="CC304" s="26"/>
      <c r="CF304" s="8"/>
      <c r="CG304" s="26"/>
      <c r="CH304" s="8"/>
      <c r="CM304" s="8"/>
      <c r="CR304" s="8"/>
      <c r="DZ304"/>
    </row>
    <row r="305" spans="1:225" x14ac:dyDescent="0.25">
      <c r="A305" s="8" t="s">
        <v>2428</v>
      </c>
      <c r="B305" s="24" t="s">
        <v>1838</v>
      </c>
      <c r="C305" s="25" t="s">
        <v>2429</v>
      </c>
      <c r="E305" s="26" t="s">
        <v>1762</v>
      </c>
      <c r="F305" s="198" t="s">
        <v>867</v>
      </c>
      <c r="G305" s="198" t="s">
        <v>2430</v>
      </c>
      <c r="H305" s="25" t="s">
        <v>2431</v>
      </c>
      <c r="J305" s="27" t="s">
        <v>866</v>
      </c>
      <c r="X305" s="84" t="s">
        <v>1700</v>
      </c>
      <c r="Y305" s="84" t="s">
        <v>2432</v>
      </c>
      <c r="AA305" s="84" t="s">
        <v>2433</v>
      </c>
      <c r="AB305" s="84" t="s">
        <v>1474</v>
      </c>
      <c r="CA305" s="19"/>
      <c r="CB305" s="26"/>
      <c r="CC305" s="26"/>
      <c r="CF305" s="8"/>
      <c r="CG305" s="26"/>
      <c r="CH305" s="8"/>
      <c r="CM305" s="8"/>
      <c r="CR305" s="8"/>
    </row>
    <row r="306" spans="1:225" x14ac:dyDescent="0.25">
      <c r="A306" s="8" t="s">
        <v>2428</v>
      </c>
      <c r="B306" s="24" t="s">
        <v>4125</v>
      </c>
      <c r="C306" s="25" t="s">
        <v>4124</v>
      </c>
      <c r="E306" s="26" t="s">
        <v>1762</v>
      </c>
      <c r="F306" s="198" t="s">
        <v>867</v>
      </c>
      <c r="G306" s="198" t="s">
        <v>4127</v>
      </c>
      <c r="H306" s="25" t="s">
        <v>4126</v>
      </c>
      <c r="I306" s="27" t="s">
        <v>3901</v>
      </c>
      <c r="J306" s="27" t="s">
        <v>866</v>
      </c>
      <c r="K306" s="28" t="s">
        <v>853</v>
      </c>
      <c r="W306" s="93">
        <v>93</v>
      </c>
      <c r="X306" s="84" t="s">
        <v>1700</v>
      </c>
      <c r="Y306" s="84" t="s">
        <v>1473</v>
      </c>
      <c r="AA306" s="84" t="s">
        <v>2433</v>
      </c>
      <c r="AB306" s="84" t="s">
        <v>1474</v>
      </c>
      <c r="AC306" s="26">
        <v>42311</v>
      </c>
      <c r="AD306" s="26" t="s">
        <v>853</v>
      </c>
      <c r="AE306" s="8" t="s">
        <v>4128</v>
      </c>
      <c r="AF306" s="8">
        <v>187</v>
      </c>
      <c r="AG306" s="8">
        <v>93</v>
      </c>
      <c r="CB306" s="278"/>
      <c r="CG306" s="278"/>
      <c r="DZ306" s="19"/>
    </row>
    <row r="307" spans="1:225" x14ac:dyDescent="0.25">
      <c r="A307" s="8" t="s">
        <v>1668</v>
      </c>
      <c r="B307" s="24" t="s">
        <v>2151</v>
      </c>
      <c r="F307" s="198" t="s">
        <v>1700</v>
      </c>
      <c r="G307" s="198" t="s">
        <v>1700</v>
      </c>
      <c r="H307" s="25" t="s">
        <v>1700</v>
      </c>
      <c r="J307" s="27" t="s">
        <v>866</v>
      </c>
      <c r="CB307" s="26"/>
      <c r="CC307" s="26"/>
      <c r="CF307" s="8"/>
      <c r="CG307" s="26"/>
      <c r="CH307" s="8"/>
      <c r="CM307" s="8"/>
      <c r="CR307" s="8"/>
    </row>
    <row r="308" spans="1:225" x14ac:dyDescent="0.25">
      <c r="A308" s="8" t="s">
        <v>11</v>
      </c>
      <c r="B308" s="24" t="s">
        <v>12</v>
      </c>
      <c r="E308" s="26" t="s">
        <v>1762</v>
      </c>
      <c r="F308" s="198" t="s">
        <v>734</v>
      </c>
      <c r="G308" s="198" t="s">
        <v>1700</v>
      </c>
      <c r="H308" s="25" t="s">
        <v>1700</v>
      </c>
      <c r="I308" s="27" t="s">
        <v>3904</v>
      </c>
      <c r="J308" s="27" t="s">
        <v>866</v>
      </c>
      <c r="K308" s="28" t="s">
        <v>3907</v>
      </c>
      <c r="P308" s="17">
        <v>1</v>
      </c>
      <c r="CB308" s="26"/>
      <c r="CC308" s="26"/>
      <c r="CF308" s="8"/>
      <c r="CG308" s="26"/>
      <c r="CH308" s="8"/>
      <c r="CM308" s="8"/>
      <c r="CR308" s="8"/>
    </row>
    <row r="309" spans="1:225" ht="12.75" customHeight="1" x14ac:dyDescent="0.25">
      <c r="A309" s="19" t="s">
        <v>980</v>
      </c>
      <c r="B309" s="12" t="s">
        <v>882</v>
      </c>
      <c r="C309" s="13" t="s">
        <v>583</v>
      </c>
      <c r="D309" s="14">
        <v>19110</v>
      </c>
      <c r="E309" s="14" t="s">
        <v>1846</v>
      </c>
      <c r="F309" s="199" t="s">
        <v>852</v>
      </c>
      <c r="G309" s="199" t="s">
        <v>1700</v>
      </c>
      <c r="H309" s="13" t="s">
        <v>1700</v>
      </c>
      <c r="I309" s="20"/>
      <c r="J309" s="20" t="s">
        <v>866</v>
      </c>
      <c r="K309" s="16"/>
      <c r="L309" s="17"/>
      <c r="M309" s="21"/>
      <c r="N309" s="21"/>
      <c r="O309" s="21"/>
      <c r="Q309" s="95"/>
      <c r="R309" s="16" t="s">
        <v>1416</v>
      </c>
      <c r="S309" s="29"/>
      <c r="T309" s="29"/>
      <c r="U309" s="29"/>
      <c r="V309" s="29"/>
      <c r="W309" s="95"/>
      <c r="X309" s="86"/>
      <c r="Y309" s="86"/>
      <c r="Z309" s="86"/>
      <c r="AA309" s="86"/>
      <c r="AB309" s="86"/>
      <c r="AE309" s="19"/>
      <c r="AF309" s="19"/>
      <c r="AG309" s="19"/>
      <c r="AI309" s="19"/>
      <c r="AJ309" s="19"/>
      <c r="AK309" s="19"/>
      <c r="AL309" s="19"/>
      <c r="AN309" s="19"/>
      <c r="AO309" s="19"/>
      <c r="AP309" s="19"/>
      <c r="AQ309" s="19"/>
      <c r="AS309" s="19"/>
      <c r="AT309" s="19"/>
      <c r="AU309" s="19"/>
      <c r="AV309" s="19"/>
      <c r="AX309" s="19"/>
      <c r="AY309" s="19"/>
      <c r="AZ309" s="19"/>
      <c r="BA309" s="19"/>
      <c r="BC309" s="19"/>
      <c r="BD309" s="19"/>
      <c r="BE309" s="19"/>
      <c r="BF309" s="19"/>
      <c r="BH309" s="19"/>
      <c r="BI309" s="19"/>
      <c r="BJ309" s="19"/>
      <c r="BK309" s="19"/>
      <c r="BM309" s="19"/>
      <c r="BN309" s="19"/>
      <c r="BO309" s="19"/>
      <c r="BP309" s="19"/>
      <c r="BR309" s="19"/>
      <c r="BS309" s="19"/>
      <c r="BT309" s="19"/>
      <c r="BU309" s="19"/>
      <c r="BW309" s="19"/>
      <c r="BX309" s="19"/>
      <c r="BY309" s="19"/>
      <c r="BZ309" s="19"/>
      <c r="CB309" s="26"/>
      <c r="CC309" s="26"/>
      <c r="CD309" s="19"/>
      <c r="CE309" s="19"/>
      <c r="CF309" s="19"/>
      <c r="CG309" s="26"/>
      <c r="CH309" s="19"/>
      <c r="CI309" s="19"/>
      <c r="CJ309" s="19"/>
      <c r="CK309" s="19"/>
      <c r="CM309" s="19"/>
      <c r="CN309" s="19"/>
      <c r="CO309" s="19"/>
      <c r="CP309" s="19"/>
      <c r="CR309" s="19"/>
      <c r="CS309" s="19"/>
      <c r="CT309" s="19"/>
      <c r="CU309" s="19"/>
      <c r="CW309" s="19"/>
      <c r="CX309" s="19"/>
      <c r="CY309" s="19"/>
      <c r="CZ309" s="19"/>
      <c r="DB309" s="19"/>
      <c r="DC309" s="19"/>
      <c r="DD309" s="19"/>
      <c r="DE309" s="19"/>
      <c r="DG309" s="19"/>
      <c r="DH309" s="19"/>
      <c r="DI309" s="19"/>
      <c r="DJ309" s="19"/>
      <c r="DL309" s="19"/>
      <c r="DM309" s="19"/>
      <c r="DN309" s="19"/>
      <c r="DO309" s="19"/>
      <c r="DQ309" s="19"/>
      <c r="DR309" s="19"/>
      <c r="DS309" s="19"/>
      <c r="DT309" s="19"/>
      <c r="DV309" s="19"/>
      <c r="DW309" s="19"/>
      <c r="DX309" s="19"/>
      <c r="DY309" s="19"/>
      <c r="DZ309" s="279"/>
    </row>
    <row r="310" spans="1:225" x14ac:dyDescent="0.25">
      <c r="A310" s="8" t="s">
        <v>453</v>
      </c>
      <c r="B310" s="24" t="s">
        <v>454</v>
      </c>
      <c r="F310" s="198" t="s">
        <v>1700</v>
      </c>
      <c r="G310" s="198" t="s">
        <v>1700</v>
      </c>
      <c r="H310" s="25" t="s">
        <v>1700</v>
      </c>
      <c r="J310" s="27" t="s">
        <v>866</v>
      </c>
      <c r="CA310" s="19"/>
      <c r="CB310" s="278"/>
      <c r="CD310" s="257"/>
      <c r="CG310" s="278"/>
      <c r="CH310" s="278"/>
      <c r="CI310" s="257"/>
      <c r="CK310" s="279"/>
      <c r="CL310" s="278"/>
      <c r="CM310" s="278"/>
      <c r="CN310" s="257"/>
      <c r="CP310" s="279"/>
      <c r="CQ310" s="278"/>
      <c r="CR310" s="257"/>
      <c r="CS310" s="257"/>
      <c r="CU310" s="257"/>
      <c r="CV310" s="278"/>
      <c r="CW310" s="257"/>
      <c r="CX310" s="257"/>
      <c r="CZ310" s="257"/>
      <c r="DA310" s="278"/>
      <c r="DB310" s="257"/>
      <c r="DC310" s="257"/>
      <c r="DE310" s="257"/>
      <c r="DF310" s="278"/>
      <c r="DG310" s="257"/>
      <c r="DH310" s="257"/>
      <c r="DJ310" s="257"/>
      <c r="DK310" s="278"/>
      <c r="DL310" s="257"/>
      <c r="DM310" s="257"/>
      <c r="DO310" s="257"/>
      <c r="DP310" s="278"/>
      <c r="DQ310" s="257"/>
      <c r="DR310" s="257"/>
      <c r="DT310" s="257"/>
      <c r="DU310" s="278"/>
      <c r="DV310" s="257"/>
      <c r="DW310" s="257"/>
      <c r="DY310" s="257"/>
    </row>
    <row r="311" spans="1:225" x14ac:dyDescent="0.25">
      <c r="A311" s="8" t="s">
        <v>1243</v>
      </c>
      <c r="B311" s="24" t="s">
        <v>1244</v>
      </c>
      <c r="E311" s="26" t="s">
        <v>877</v>
      </c>
      <c r="F311" s="198" t="s">
        <v>1393</v>
      </c>
      <c r="G311" s="198" t="s">
        <v>2137</v>
      </c>
      <c r="H311" s="25" t="s">
        <v>1700</v>
      </c>
      <c r="J311" s="27" t="s">
        <v>866</v>
      </c>
      <c r="R311" s="29" t="s">
        <v>816</v>
      </c>
      <c r="CA311" s="19"/>
      <c r="CB311" s="278"/>
      <c r="CD311" s="257"/>
      <c r="CE311" s="19"/>
      <c r="CG311" s="278"/>
      <c r="CH311" s="278"/>
      <c r="CI311" s="257"/>
      <c r="CJ311" s="19"/>
      <c r="CK311" s="279"/>
      <c r="CL311" s="278"/>
      <c r="CM311" s="278"/>
      <c r="CN311" s="257"/>
      <c r="CO311" s="19"/>
      <c r="CP311" s="279"/>
      <c r="CQ311" s="278"/>
      <c r="CR311" s="257"/>
      <c r="CS311" s="257"/>
      <c r="CT311" s="19"/>
      <c r="CU311" s="257"/>
      <c r="CV311" s="278"/>
      <c r="CW311" s="257"/>
      <c r="CX311" s="257"/>
      <c r="CY311" s="19"/>
      <c r="CZ311" s="257"/>
      <c r="DA311" s="278"/>
      <c r="DB311" s="257"/>
      <c r="DC311" s="257"/>
      <c r="DD311" s="19"/>
      <c r="DE311" s="257"/>
      <c r="DF311" s="278"/>
      <c r="DG311" s="257"/>
      <c r="DH311" s="257"/>
      <c r="DI311" s="19"/>
      <c r="DJ311" s="257"/>
      <c r="DK311" s="278"/>
      <c r="DL311" s="257"/>
      <c r="DM311" s="257"/>
      <c r="DN311" s="19"/>
      <c r="DO311" s="257"/>
      <c r="DP311" s="278"/>
      <c r="DQ311" s="257"/>
      <c r="DR311" s="257"/>
      <c r="DS311" s="19"/>
      <c r="DT311" s="257"/>
      <c r="DU311" s="278"/>
      <c r="DV311" s="257"/>
      <c r="DW311" s="257"/>
      <c r="DX311" s="19"/>
      <c r="DY311" s="257"/>
    </row>
    <row r="312" spans="1:225" x14ac:dyDescent="0.25">
      <c r="A312" s="8" t="s">
        <v>2165</v>
      </c>
      <c r="B312" s="24" t="s">
        <v>981</v>
      </c>
      <c r="E312" s="26" t="s">
        <v>1764</v>
      </c>
      <c r="F312" s="198" t="s">
        <v>1700</v>
      </c>
      <c r="G312" s="198" t="s">
        <v>1700</v>
      </c>
      <c r="H312" s="25" t="s">
        <v>1700</v>
      </c>
      <c r="J312" s="27" t="s">
        <v>866</v>
      </c>
      <c r="R312" s="29" t="s">
        <v>889</v>
      </c>
      <c r="CB312" s="26"/>
      <c r="CC312" s="26"/>
      <c r="CF312" s="8"/>
      <c r="CG312" s="26"/>
      <c r="CH312" s="8"/>
      <c r="CM312" s="8"/>
      <c r="CR312" s="8"/>
      <c r="EB312" s="19"/>
      <c r="EC312" s="19"/>
      <c r="ED312" s="19"/>
      <c r="EE312" s="19"/>
      <c r="EF312" s="19"/>
      <c r="EG312" s="19"/>
      <c r="EH312" s="19"/>
      <c r="EI312" s="19"/>
      <c r="EJ312" s="19"/>
      <c r="EK312" s="19"/>
      <c r="EL312" s="19"/>
      <c r="EN312" s="19"/>
      <c r="EO312" s="19"/>
      <c r="EP312" s="19"/>
      <c r="EQ312" s="19"/>
      <c r="ER312" s="19"/>
      <c r="ES312" s="19"/>
      <c r="ET312" s="19"/>
      <c r="EU312" s="19"/>
      <c r="EV312" s="19"/>
      <c r="EW312" s="19"/>
      <c r="EX312" s="19"/>
      <c r="EZ312" s="19"/>
      <c r="FA312" s="19"/>
      <c r="FB312" s="19"/>
      <c r="FC312" s="19"/>
      <c r="FD312" s="19"/>
      <c r="FE312" s="19"/>
      <c r="FF312" s="19"/>
      <c r="FG312" s="19"/>
      <c r="FH312" s="19"/>
      <c r="FI312" s="19"/>
      <c r="FJ312" s="19"/>
      <c r="FL312" s="19"/>
      <c r="FM312" s="19"/>
      <c r="FN312" s="19"/>
      <c r="FO312" s="19"/>
      <c r="FP312" s="19"/>
      <c r="FQ312" s="19"/>
      <c r="FR312" s="19"/>
      <c r="FS312" s="19"/>
      <c r="FT312" s="19"/>
      <c r="FU312" s="19"/>
      <c r="FV312" s="19"/>
      <c r="FX312" s="19"/>
      <c r="FY312" s="19"/>
      <c r="FZ312" s="19"/>
      <c r="GA312" s="19"/>
      <c r="GB312" s="19"/>
      <c r="GC312" s="19"/>
      <c r="GD312" s="19"/>
      <c r="GE312" s="19"/>
      <c r="GF312" s="19"/>
      <c r="GG312" s="19"/>
      <c r="GH312" s="19"/>
      <c r="GJ312" s="19"/>
      <c r="GK312" s="19"/>
      <c r="GL312" s="19"/>
      <c r="GM312" s="19"/>
      <c r="GN312" s="19"/>
      <c r="GO312" s="19"/>
      <c r="GP312" s="19"/>
      <c r="GQ312" s="19"/>
      <c r="GR312" s="19"/>
      <c r="GS312" s="19"/>
      <c r="GT312" s="19"/>
      <c r="GV312" s="19"/>
      <c r="GW312" s="19"/>
      <c r="GX312" s="19"/>
      <c r="GY312" s="19"/>
      <c r="GZ312" s="19"/>
      <c r="HA312" s="19"/>
      <c r="HB312" s="19"/>
      <c r="HC312" s="19"/>
      <c r="HD312" s="19"/>
      <c r="HE312" s="19"/>
      <c r="HF312" s="19"/>
      <c r="HH312" s="19"/>
      <c r="HI312" s="19"/>
      <c r="HJ312" s="19"/>
      <c r="HK312" s="19"/>
      <c r="HL312" s="19"/>
      <c r="HM312" s="19"/>
      <c r="HN312" s="19"/>
      <c r="HO312" s="19"/>
      <c r="HP312" s="19"/>
      <c r="HQ312" s="19"/>
    </row>
    <row r="313" spans="1:225" x14ac:dyDescent="0.25">
      <c r="A313" s="8" t="s">
        <v>2976</v>
      </c>
      <c r="B313" s="24" t="s">
        <v>961</v>
      </c>
      <c r="D313" s="26">
        <v>18465</v>
      </c>
      <c r="E313" s="26" t="s">
        <v>1846</v>
      </c>
      <c r="F313" s="198" t="s">
        <v>1700</v>
      </c>
      <c r="G313" s="198" t="s">
        <v>1700</v>
      </c>
      <c r="H313" s="25" t="s">
        <v>1700</v>
      </c>
      <c r="I313" s="27" t="s">
        <v>3902</v>
      </c>
      <c r="J313" s="27" t="s">
        <v>866</v>
      </c>
      <c r="K313" s="28" t="s">
        <v>817</v>
      </c>
      <c r="R313" s="29" t="s">
        <v>817</v>
      </c>
      <c r="CB313" s="278"/>
      <c r="CD313" s="279"/>
      <c r="CG313" s="278"/>
      <c r="CH313" s="278"/>
      <c r="CI313" s="279"/>
      <c r="CK313" s="279"/>
      <c r="CL313" s="278"/>
      <c r="CM313" s="278"/>
      <c r="CN313" s="279"/>
      <c r="CP313" s="279"/>
      <c r="CQ313" s="278"/>
      <c r="CR313" s="279"/>
      <c r="CS313" s="279"/>
      <c r="CU313" s="279"/>
      <c r="CV313" s="278"/>
      <c r="CW313" s="279"/>
      <c r="CX313" s="279"/>
      <c r="CZ313" s="279"/>
      <c r="DA313" s="278"/>
      <c r="DB313" s="279"/>
      <c r="DC313" s="279"/>
      <c r="DE313" s="279"/>
      <c r="DF313" s="278"/>
      <c r="DG313" s="279"/>
      <c r="DH313" s="279"/>
      <c r="DJ313" s="279"/>
      <c r="DK313" s="278"/>
      <c r="DL313" s="279"/>
      <c r="DM313" s="279"/>
      <c r="DO313" s="279"/>
      <c r="DP313" s="278"/>
      <c r="DQ313" s="279"/>
      <c r="DR313" s="279"/>
      <c r="DT313" s="279"/>
      <c r="DU313" s="278"/>
      <c r="DV313" s="279"/>
      <c r="DW313" s="279"/>
      <c r="DY313" s="279"/>
      <c r="DZ313" s="19"/>
    </row>
    <row r="314" spans="1:225" x14ac:dyDescent="0.25">
      <c r="A314" s="8" t="s">
        <v>389</v>
      </c>
      <c r="B314" s="24" t="s">
        <v>1987</v>
      </c>
      <c r="C314" s="25" t="s">
        <v>993</v>
      </c>
      <c r="E314" s="26" t="s">
        <v>1762</v>
      </c>
      <c r="F314" s="198" t="s">
        <v>2142</v>
      </c>
      <c r="G314" s="198" t="s">
        <v>1616</v>
      </c>
      <c r="H314" s="25" t="s">
        <v>3085</v>
      </c>
      <c r="J314" s="27" t="s">
        <v>866</v>
      </c>
      <c r="R314" s="29" t="s">
        <v>853</v>
      </c>
      <c r="X314" s="84" t="s">
        <v>1700</v>
      </c>
      <c r="Y314" s="84" t="s">
        <v>2499</v>
      </c>
      <c r="AA314" s="84" t="s">
        <v>3086</v>
      </c>
      <c r="AB314" s="84" t="s">
        <v>126</v>
      </c>
      <c r="CB314" s="26">
        <v>41943</v>
      </c>
      <c r="CC314" s="26" t="s">
        <v>853</v>
      </c>
      <c r="CD314" s="8" t="s">
        <v>3087</v>
      </c>
      <c r="CE314" s="8">
        <v>500</v>
      </c>
      <c r="CF314" s="8">
        <v>160</v>
      </c>
      <c r="CG314" s="26"/>
      <c r="CH314" s="8"/>
      <c r="CM314" s="8"/>
      <c r="CR314" s="8"/>
    </row>
    <row r="315" spans="1:225" x14ac:dyDescent="0.25">
      <c r="A315" s="8" t="s">
        <v>3265</v>
      </c>
      <c r="B315" s="24" t="s">
        <v>1509</v>
      </c>
      <c r="C315" s="25" t="s">
        <v>24</v>
      </c>
      <c r="E315" s="26" t="s">
        <v>1762</v>
      </c>
      <c r="F315" s="198" t="s">
        <v>874</v>
      </c>
      <c r="G315" s="198" t="s">
        <v>1700</v>
      </c>
      <c r="H315" s="25" t="s">
        <v>2441</v>
      </c>
      <c r="J315" s="27" t="s">
        <v>866</v>
      </c>
      <c r="R315" s="29" t="s">
        <v>853</v>
      </c>
      <c r="X315" s="84" t="s">
        <v>1700</v>
      </c>
      <c r="Y315" s="84" t="s">
        <v>791</v>
      </c>
      <c r="AA315" s="84" t="s">
        <v>28</v>
      </c>
      <c r="AB315" s="84" t="s">
        <v>126</v>
      </c>
      <c r="CB315" s="26">
        <v>41977</v>
      </c>
      <c r="CC315" s="26" t="s">
        <v>853</v>
      </c>
      <c r="CD315" s="8" t="s">
        <v>3264</v>
      </c>
      <c r="CE315" s="8">
        <v>180</v>
      </c>
      <c r="CF315" s="8">
        <v>90</v>
      </c>
      <c r="CG315" s="26"/>
      <c r="CH315" s="8"/>
      <c r="CM315" s="8"/>
      <c r="CR315" s="8"/>
    </row>
    <row r="316" spans="1:225" x14ac:dyDescent="0.25">
      <c r="A316" s="8" t="s">
        <v>378</v>
      </c>
      <c r="B316" s="24" t="s">
        <v>934</v>
      </c>
      <c r="F316" s="198" t="s">
        <v>1700</v>
      </c>
      <c r="G316" s="198" t="s">
        <v>1700</v>
      </c>
      <c r="H316" s="25" t="s">
        <v>1700</v>
      </c>
      <c r="I316" s="27" t="s">
        <v>3902</v>
      </c>
      <c r="J316" s="27" t="s">
        <v>866</v>
      </c>
      <c r="K316" s="28" t="s">
        <v>3907</v>
      </c>
      <c r="P316" s="17">
        <v>1</v>
      </c>
      <c r="R316" s="29" t="s">
        <v>1763</v>
      </c>
      <c r="CB316" s="278"/>
      <c r="CD316" s="279"/>
      <c r="CG316" s="278"/>
      <c r="CH316" s="278"/>
      <c r="CI316" s="279"/>
      <c r="CK316" s="279"/>
      <c r="CL316" s="278"/>
      <c r="CM316" s="278"/>
      <c r="CN316" s="279"/>
      <c r="CP316" s="279"/>
      <c r="CQ316" s="278"/>
      <c r="CR316" s="279"/>
      <c r="CS316" s="279"/>
      <c r="CU316" s="279"/>
      <c r="CV316" s="278"/>
      <c r="CW316" s="279"/>
      <c r="CX316" s="279"/>
      <c r="CZ316" s="279"/>
      <c r="DA316" s="278"/>
      <c r="DB316" s="279"/>
      <c r="DC316" s="279"/>
      <c r="DE316" s="279"/>
      <c r="DF316" s="278"/>
      <c r="DG316" s="279"/>
      <c r="DH316" s="279"/>
      <c r="DJ316" s="279"/>
      <c r="DK316" s="278"/>
      <c r="DL316" s="279"/>
      <c r="DM316" s="279"/>
      <c r="DO316" s="279"/>
      <c r="DP316" s="278"/>
      <c r="DQ316" s="279"/>
      <c r="DR316" s="279"/>
      <c r="DT316" s="279"/>
      <c r="DU316" s="278"/>
      <c r="DV316" s="279"/>
      <c r="DW316" s="279"/>
      <c r="DY316" s="279"/>
    </row>
    <row r="317" spans="1:225" x14ac:dyDescent="0.25">
      <c r="A317" s="8" t="s">
        <v>170</v>
      </c>
      <c r="B317" s="24" t="s">
        <v>4148</v>
      </c>
      <c r="F317" s="198" t="s">
        <v>170</v>
      </c>
      <c r="G317" s="198" t="s">
        <v>1700</v>
      </c>
      <c r="H317" s="25" t="s">
        <v>1700</v>
      </c>
      <c r="J317" s="27" t="s">
        <v>866</v>
      </c>
      <c r="CB317" s="26"/>
      <c r="CC317" s="26"/>
      <c r="CF317" s="8"/>
      <c r="CG317" s="26"/>
      <c r="CH317" s="8"/>
      <c r="CM317" s="8"/>
      <c r="CR317" s="8"/>
    </row>
    <row r="318" spans="1:225" ht="13.5" x14ac:dyDescent="0.25">
      <c r="A318" s="8" t="s">
        <v>170</v>
      </c>
      <c r="B318" s="24" t="s">
        <v>982</v>
      </c>
      <c r="E318" s="26" t="s">
        <v>1762</v>
      </c>
      <c r="F318" s="198" t="s">
        <v>1700</v>
      </c>
      <c r="G318" s="198" t="s">
        <v>1700</v>
      </c>
      <c r="H318" s="25" t="s">
        <v>1700</v>
      </c>
      <c r="I318" s="27" t="s">
        <v>3902</v>
      </c>
      <c r="J318" s="27" t="s">
        <v>866</v>
      </c>
      <c r="K318" s="28" t="s">
        <v>3907</v>
      </c>
      <c r="P318" s="17">
        <v>1</v>
      </c>
      <c r="R318" s="29" t="s">
        <v>1763</v>
      </c>
      <c r="S318" s="8" t="s">
        <v>816</v>
      </c>
      <c r="CB318" s="278"/>
      <c r="CD318"/>
      <c r="CG318" s="278"/>
      <c r="CH318" s="278"/>
      <c r="CI318"/>
      <c r="CK318" s="279"/>
      <c r="CL318" s="278"/>
      <c r="CM318" s="278"/>
      <c r="CN318"/>
      <c r="CP318" s="279"/>
      <c r="CQ318"/>
      <c r="CR318"/>
      <c r="CS318"/>
      <c r="CU318"/>
      <c r="CV318"/>
      <c r="CW318"/>
      <c r="CX318"/>
      <c r="CZ318"/>
      <c r="DA318"/>
      <c r="DB318"/>
      <c r="DC318"/>
      <c r="DE318"/>
      <c r="DF318"/>
      <c r="DG318"/>
      <c r="DH318"/>
      <c r="DJ318"/>
      <c r="DK318"/>
      <c r="DL318"/>
      <c r="DM318"/>
      <c r="DO318"/>
      <c r="DP318"/>
      <c r="DQ318"/>
      <c r="DR318"/>
      <c r="DT318"/>
      <c r="DU318"/>
      <c r="DV318"/>
      <c r="DW318"/>
      <c r="DY318"/>
    </row>
    <row r="319" spans="1:225" x14ac:dyDescent="0.25">
      <c r="A319" s="8" t="s">
        <v>377</v>
      </c>
      <c r="B319" s="24" t="s">
        <v>2197</v>
      </c>
      <c r="C319" s="25" t="s">
        <v>585</v>
      </c>
      <c r="E319" s="26" t="s">
        <v>1762</v>
      </c>
      <c r="F319" s="198" t="s">
        <v>1700</v>
      </c>
      <c r="G319" s="198" t="s">
        <v>1700</v>
      </c>
      <c r="H319" s="25" t="s">
        <v>1700</v>
      </c>
      <c r="J319" s="27" t="s">
        <v>866</v>
      </c>
      <c r="CB319" s="26"/>
      <c r="CC319" s="26"/>
      <c r="CF319" s="8"/>
      <c r="CG319" s="26"/>
      <c r="CH319" s="8"/>
      <c r="CM319" s="8"/>
      <c r="CR319" s="8"/>
    </row>
    <row r="320" spans="1:225" x14ac:dyDescent="0.25">
      <c r="A320" s="8" t="s">
        <v>1854</v>
      </c>
      <c r="B320" s="24" t="s">
        <v>357</v>
      </c>
      <c r="E320" s="26" t="s">
        <v>1762</v>
      </c>
      <c r="F320" s="198" t="s">
        <v>1209</v>
      </c>
      <c r="G320" s="198" t="s">
        <v>1700</v>
      </c>
      <c r="H320" s="25" t="s">
        <v>1213</v>
      </c>
      <c r="I320" s="27" t="s">
        <v>3893</v>
      </c>
      <c r="J320" s="27" t="s">
        <v>866</v>
      </c>
      <c r="K320" s="28" t="s">
        <v>816</v>
      </c>
      <c r="R320" s="29" t="s">
        <v>816</v>
      </c>
      <c r="CB320" s="26"/>
      <c r="CC320" s="26"/>
      <c r="CF320" s="8"/>
      <c r="CG320" s="26"/>
      <c r="CH320" s="8"/>
      <c r="CM320" s="8"/>
      <c r="CR320" s="8"/>
      <c r="DZ320" s="257"/>
    </row>
    <row r="321" spans="1:225" ht="13.5" x14ac:dyDescent="0.25">
      <c r="A321" s="8" t="s">
        <v>1006</v>
      </c>
      <c r="B321" s="24" t="s">
        <v>1855</v>
      </c>
      <c r="F321" s="198" t="s">
        <v>1700</v>
      </c>
      <c r="G321" s="198" t="s">
        <v>1700</v>
      </c>
      <c r="H321" s="25" t="s">
        <v>1700</v>
      </c>
      <c r="J321" s="27" t="s">
        <v>866</v>
      </c>
      <c r="CB321" s="278"/>
      <c r="CD321" s="279"/>
      <c r="CG321" s="278"/>
      <c r="CH321" s="278"/>
      <c r="CI321" s="279"/>
      <c r="CK321" s="279"/>
      <c r="CL321" s="278"/>
      <c r="CM321" s="278"/>
      <c r="CN321" s="279"/>
      <c r="CP321" s="279"/>
      <c r="CQ321" s="278"/>
      <c r="CR321" s="279"/>
      <c r="CS321" s="279"/>
      <c r="CU321" s="279"/>
      <c r="CV321" s="278"/>
      <c r="CW321" s="279"/>
      <c r="CX321" s="279"/>
      <c r="CZ321" s="279"/>
      <c r="DA321" s="278"/>
      <c r="DB321" s="279"/>
      <c r="DC321" s="279"/>
      <c r="DE321" s="279"/>
      <c r="DF321" s="278"/>
      <c r="DG321" s="279"/>
      <c r="DH321" s="279"/>
      <c r="DJ321" s="279"/>
      <c r="DK321" s="278"/>
      <c r="DL321" s="279"/>
      <c r="DM321" s="279"/>
      <c r="DO321" s="279"/>
      <c r="DP321" s="278"/>
      <c r="DQ321" s="279"/>
      <c r="DR321" s="279"/>
      <c r="DT321" s="279"/>
      <c r="DU321" s="278"/>
      <c r="DV321" s="258"/>
      <c r="DW321" s="258"/>
      <c r="DY321" s="258"/>
      <c r="DZ321" s="279"/>
    </row>
    <row r="322" spans="1:225" x14ac:dyDescent="0.25">
      <c r="A322" s="8" t="s">
        <v>135</v>
      </c>
      <c r="B322" s="24" t="s">
        <v>775</v>
      </c>
      <c r="C322" s="25" t="s">
        <v>1429</v>
      </c>
      <c r="E322" s="26" t="s">
        <v>1762</v>
      </c>
      <c r="F322" s="198" t="s">
        <v>1396</v>
      </c>
      <c r="G322" s="198" t="s">
        <v>1700</v>
      </c>
      <c r="H322" s="25" t="s">
        <v>1700</v>
      </c>
      <c r="I322" s="27" t="s">
        <v>3898</v>
      </c>
      <c r="J322" s="27" t="s">
        <v>866</v>
      </c>
      <c r="K322" s="28" t="s">
        <v>853</v>
      </c>
      <c r="Q322" s="93"/>
      <c r="R322" s="28" t="s">
        <v>853</v>
      </c>
      <c r="S322" s="29"/>
      <c r="T322" s="29"/>
      <c r="U322" s="29"/>
      <c r="V322" s="29"/>
      <c r="W322" s="93">
        <v>150</v>
      </c>
      <c r="X322" s="86" t="s">
        <v>1700</v>
      </c>
      <c r="Y322" s="86" t="s">
        <v>246</v>
      </c>
      <c r="Z322" s="86"/>
      <c r="AA322" s="84" t="s">
        <v>729</v>
      </c>
      <c r="AB322" s="84" t="s">
        <v>126</v>
      </c>
      <c r="AC322" s="26" t="s">
        <v>503</v>
      </c>
      <c r="AD322" s="26" t="s">
        <v>853</v>
      </c>
      <c r="AE322" s="8" t="s">
        <v>4916</v>
      </c>
      <c r="AF322" s="8">
        <v>300</v>
      </c>
      <c r="AG322" s="8">
        <v>150</v>
      </c>
      <c r="BQ322" s="8"/>
      <c r="BV322" s="8"/>
      <c r="CB322" s="26">
        <v>42178</v>
      </c>
      <c r="CC322" s="26" t="s">
        <v>853</v>
      </c>
      <c r="CD322" s="8" t="s">
        <v>3763</v>
      </c>
      <c r="CE322" s="8">
        <v>300</v>
      </c>
      <c r="CF322" s="8">
        <v>150</v>
      </c>
      <c r="CG322" s="26"/>
      <c r="CH322" s="8"/>
      <c r="CM322" s="8"/>
      <c r="CR322" s="8"/>
      <c r="DP322" s="8"/>
      <c r="DU322" s="8"/>
    </row>
    <row r="323" spans="1:225" x14ac:dyDescent="0.25">
      <c r="A323" s="8" t="s">
        <v>3325</v>
      </c>
      <c r="B323" s="24" t="s">
        <v>1581</v>
      </c>
      <c r="F323" s="198" t="s">
        <v>3326</v>
      </c>
      <c r="G323" s="198" t="s">
        <v>1700</v>
      </c>
      <c r="H323" s="25" t="s">
        <v>1700</v>
      </c>
      <c r="J323" s="27" t="s">
        <v>866</v>
      </c>
      <c r="R323" s="29" t="s">
        <v>1416</v>
      </c>
      <c r="CB323" s="278"/>
      <c r="CG323" s="278"/>
      <c r="CH323" s="278"/>
      <c r="CK323" s="279"/>
      <c r="CL323" s="278"/>
      <c r="CM323" s="278"/>
      <c r="CP323" s="279"/>
    </row>
    <row r="324" spans="1:225" x14ac:dyDescent="0.25">
      <c r="A324" s="8" t="s">
        <v>3863</v>
      </c>
      <c r="B324" s="24" t="s">
        <v>3855</v>
      </c>
      <c r="C324" s="25" t="s">
        <v>3864</v>
      </c>
      <c r="D324" s="26">
        <v>31128</v>
      </c>
      <c r="E324" s="26" t="s">
        <v>1762</v>
      </c>
      <c r="F324" s="198" t="s">
        <v>354</v>
      </c>
      <c r="G324" s="198" t="s">
        <v>1700</v>
      </c>
      <c r="H324" s="25" t="s">
        <v>3865</v>
      </c>
      <c r="J324" s="27" t="s">
        <v>866</v>
      </c>
      <c r="R324" s="29" t="s">
        <v>1416</v>
      </c>
      <c r="CB324" s="278"/>
      <c r="CG324" s="278"/>
    </row>
    <row r="325" spans="1:225" x14ac:dyDescent="0.25">
      <c r="A325" s="8" t="s">
        <v>4471</v>
      </c>
      <c r="B325" s="24" t="s">
        <v>4472</v>
      </c>
      <c r="C325" s="25" t="s">
        <v>4473</v>
      </c>
      <c r="E325" s="26" t="s">
        <v>1764</v>
      </c>
      <c r="F325" s="198" t="s">
        <v>1672</v>
      </c>
      <c r="G325" s="198" t="s">
        <v>1700</v>
      </c>
      <c r="H325" s="25" t="s">
        <v>4474</v>
      </c>
      <c r="I325" s="27" t="s">
        <v>3903</v>
      </c>
      <c r="J325" s="27" t="s">
        <v>866</v>
      </c>
      <c r="K325" s="28" t="s">
        <v>853</v>
      </c>
      <c r="W325" s="93">
        <v>160</v>
      </c>
      <c r="X325" s="84" t="s">
        <v>1700</v>
      </c>
      <c r="Y325" s="84" t="s">
        <v>4475</v>
      </c>
      <c r="AA325" s="84" t="s">
        <v>4476</v>
      </c>
      <c r="AB325" s="84" t="s">
        <v>4477</v>
      </c>
      <c r="AC325" s="26">
        <v>42360</v>
      </c>
      <c r="AD325" s="26" t="s">
        <v>853</v>
      </c>
      <c r="AE325" s="8" t="s">
        <v>4478</v>
      </c>
      <c r="AF325" s="8">
        <v>521.79999999999995</v>
      </c>
      <c r="AG325" s="8">
        <v>160</v>
      </c>
      <c r="CB325" s="278"/>
      <c r="CG325" s="278"/>
    </row>
    <row r="326" spans="1:225" x14ac:dyDescent="0.25">
      <c r="A326" s="8" t="s">
        <v>361</v>
      </c>
      <c r="B326" s="24" t="s">
        <v>895</v>
      </c>
      <c r="C326" s="25" t="s">
        <v>362</v>
      </c>
      <c r="E326" s="26" t="s">
        <v>1762</v>
      </c>
      <c r="F326" s="198" t="s">
        <v>977</v>
      </c>
      <c r="G326" s="198" t="s">
        <v>1700</v>
      </c>
      <c r="H326" s="25" t="s">
        <v>3951</v>
      </c>
      <c r="I326" s="27" t="s">
        <v>3901</v>
      </c>
      <c r="J326" s="27" t="s">
        <v>866</v>
      </c>
      <c r="K326" s="28" t="s">
        <v>853</v>
      </c>
      <c r="R326" s="29" t="s">
        <v>853</v>
      </c>
      <c r="W326" s="93">
        <v>75</v>
      </c>
      <c r="X326" s="84" t="s">
        <v>1700</v>
      </c>
      <c r="Y326" s="84" t="s">
        <v>2634</v>
      </c>
      <c r="AA326" s="84" t="s">
        <v>2635</v>
      </c>
      <c r="AB326" s="84" t="s">
        <v>348</v>
      </c>
      <c r="AC326" s="26">
        <v>42299</v>
      </c>
      <c r="AD326" s="8" t="s">
        <v>853</v>
      </c>
      <c r="AE326" s="8" t="s">
        <v>3952</v>
      </c>
      <c r="AF326" s="8">
        <v>170</v>
      </c>
      <c r="AG326" s="8">
        <v>75</v>
      </c>
      <c r="BV326" s="8"/>
      <c r="CB326" s="26">
        <v>41921</v>
      </c>
      <c r="CC326" s="8" t="s">
        <v>853</v>
      </c>
      <c r="CD326" s="8" t="s">
        <v>2633</v>
      </c>
      <c r="CE326" s="8">
        <v>150</v>
      </c>
      <c r="CF326" s="8">
        <v>75</v>
      </c>
      <c r="CG326" s="26"/>
      <c r="CH326" s="8"/>
      <c r="CM326" s="8"/>
      <c r="CR326" s="8"/>
      <c r="DU326" s="8"/>
    </row>
    <row r="327" spans="1:225" x14ac:dyDescent="0.25">
      <c r="A327" s="8" t="s">
        <v>1632</v>
      </c>
      <c r="B327" s="24" t="s">
        <v>1415</v>
      </c>
      <c r="C327" s="25" t="s">
        <v>765</v>
      </c>
      <c r="E327" s="26" t="s">
        <v>1762</v>
      </c>
      <c r="F327" s="198" t="s">
        <v>1368</v>
      </c>
      <c r="G327" s="198" t="s">
        <v>1700</v>
      </c>
      <c r="H327" s="25" t="s">
        <v>1700</v>
      </c>
      <c r="J327" s="27" t="s">
        <v>866</v>
      </c>
      <c r="X327" s="84" t="s">
        <v>1700</v>
      </c>
      <c r="Y327" s="84" t="s">
        <v>791</v>
      </c>
      <c r="AA327" s="84" t="s">
        <v>766</v>
      </c>
      <c r="AB327" s="84" t="s">
        <v>126</v>
      </c>
      <c r="CB327" s="26"/>
      <c r="CC327" s="26"/>
      <c r="CF327" s="8"/>
      <c r="CG327" s="26"/>
      <c r="CH327" s="8"/>
      <c r="CM327" s="8"/>
      <c r="CR327" s="8"/>
    </row>
    <row r="328" spans="1:225" x14ac:dyDescent="0.25">
      <c r="A328" s="8" t="s">
        <v>1632</v>
      </c>
      <c r="B328" s="24" t="s">
        <v>3657</v>
      </c>
      <c r="C328" s="25" t="s">
        <v>3656</v>
      </c>
      <c r="E328" s="26" t="s">
        <v>1762</v>
      </c>
      <c r="F328" s="198" t="s">
        <v>963</v>
      </c>
      <c r="G328" s="198" t="s">
        <v>1700</v>
      </c>
      <c r="H328" s="25" t="s">
        <v>3658</v>
      </c>
      <c r="I328" s="27" t="s">
        <v>3901</v>
      </c>
      <c r="J328" s="27" t="s">
        <v>866</v>
      </c>
      <c r="K328" s="28" t="s">
        <v>853</v>
      </c>
      <c r="R328" s="29" t="s">
        <v>853</v>
      </c>
      <c r="W328" s="93">
        <v>160</v>
      </c>
      <c r="X328" s="84" t="s">
        <v>1700</v>
      </c>
      <c r="Y328" s="84" t="s">
        <v>2499</v>
      </c>
      <c r="AA328" s="84" t="s">
        <v>3659</v>
      </c>
      <c r="AB328" s="84" t="s">
        <v>126</v>
      </c>
      <c r="AC328" s="26">
        <v>42299</v>
      </c>
      <c r="AD328" s="26" t="s">
        <v>853</v>
      </c>
      <c r="AE328" s="8" t="s">
        <v>3979</v>
      </c>
      <c r="AF328" s="8">
        <v>110</v>
      </c>
      <c r="AG328" s="8">
        <v>55</v>
      </c>
      <c r="AH328" s="26">
        <v>42311</v>
      </c>
      <c r="AI328" s="8" t="s">
        <v>853</v>
      </c>
      <c r="AJ328" s="8" t="s">
        <v>4123</v>
      </c>
      <c r="AK328" s="8">
        <v>163.9</v>
      </c>
      <c r="AL328" s="8">
        <v>81</v>
      </c>
      <c r="AM328" s="26">
        <v>42360</v>
      </c>
      <c r="AN328" s="8" t="s">
        <v>853</v>
      </c>
      <c r="AO328" s="8" t="s">
        <v>3979</v>
      </c>
      <c r="AP328" s="8">
        <v>110</v>
      </c>
      <c r="AQ328" s="8">
        <v>24</v>
      </c>
      <c r="CB328" s="278">
        <v>42097</v>
      </c>
      <c r="CC328" s="278" t="s">
        <v>853</v>
      </c>
      <c r="CD328" s="8" t="s">
        <v>3660</v>
      </c>
      <c r="CE328" s="8">
        <v>110</v>
      </c>
      <c r="CF328" s="279">
        <v>55</v>
      </c>
      <c r="CG328" s="278">
        <v>42097</v>
      </c>
      <c r="CH328" s="26" t="s">
        <v>853</v>
      </c>
      <c r="CI328" s="8" t="s">
        <v>3661</v>
      </c>
      <c r="CJ328" s="8">
        <v>116</v>
      </c>
      <c r="CK328" s="8">
        <v>58</v>
      </c>
    </row>
    <row r="329" spans="1:225" x14ac:dyDescent="0.25">
      <c r="A329" s="8" t="s">
        <v>1632</v>
      </c>
      <c r="B329" s="24" t="s">
        <v>1393</v>
      </c>
      <c r="C329" s="25" t="s">
        <v>1236</v>
      </c>
      <c r="E329" s="26" t="s">
        <v>1762</v>
      </c>
      <c r="F329" s="198" t="s">
        <v>948</v>
      </c>
      <c r="G329" s="198" t="s">
        <v>1700</v>
      </c>
      <c r="H329" s="25" t="s">
        <v>4213</v>
      </c>
      <c r="I329" s="27" t="s">
        <v>3902</v>
      </c>
      <c r="J329" s="27" t="s">
        <v>866</v>
      </c>
      <c r="K329" s="28" t="s">
        <v>853</v>
      </c>
      <c r="W329" s="93">
        <v>40</v>
      </c>
      <c r="X329" s="84" t="s">
        <v>1700</v>
      </c>
      <c r="Y329" s="84" t="s">
        <v>791</v>
      </c>
      <c r="AA329" s="84" t="s">
        <v>4214</v>
      </c>
      <c r="AB329" s="84" t="s">
        <v>126</v>
      </c>
      <c r="AC329" s="26">
        <v>42313</v>
      </c>
      <c r="AD329" s="8" t="s">
        <v>853</v>
      </c>
      <c r="AE329" s="8" t="s">
        <v>4215</v>
      </c>
      <c r="AF329" s="8">
        <v>80</v>
      </c>
      <c r="AG329" s="8">
        <v>40</v>
      </c>
      <c r="BQ329" s="8"/>
      <c r="BV329" s="8"/>
      <c r="CB329" s="26"/>
      <c r="CC329" s="8"/>
      <c r="CF329" s="8"/>
      <c r="CG329" s="26"/>
      <c r="CH329" s="8"/>
      <c r="CM329" s="8"/>
      <c r="CR329" s="8"/>
      <c r="DP329" s="8"/>
      <c r="DU329" s="8"/>
    </row>
    <row r="330" spans="1:225" ht="13.5" x14ac:dyDescent="0.25">
      <c r="A330" s="8" t="s">
        <v>3359</v>
      </c>
      <c r="B330" s="24" t="s">
        <v>895</v>
      </c>
      <c r="C330" s="25" t="s">
        <v>1252</v>
      </c>
      <c r="D330" s="26">
        <v>27749</v>
      </c>
      <c r="E330" s="26" t="s">
        <v>1762</v>
      </c>
      <c r="F330" s="198" t="s">
        <v>891</v>
      </c>
      <c r="G330" s="198" t="s">
        <v>1700</v>
      </c>
      <c r="H330" s="25" t="s">
        <v>2531</v>
      </c>
      <c r="I330" s="27" t="s">
        <v>3904</v>
      </c>
      <c r="J330" s="27" t="s">
        <v>866</v>
      </c>
      <c r="K330" s="28" t="s">
        <v>853</v>
      </c>
      <c r="R330" s="29" t="s">
        <v>853</v>
      </c>
      <c r="W330" s="93">
        <v>30</v>
      </c>
      <c r="X330" s="84" t="s">
        <v>1700</v>
      </c>
      <c r="Y330" s="84" t="s">
        <v>791</v>
      </c>
      <c r="AA330" s="84" t="s">
        <v>1253</v>
      </c>
      <c r="AB330" s="84" t="s">
        <v>126</v>
      </c>
      <c r="AC330" s="26">
        <v>42360</v>
      </c>
      <c r="AD330" s="26" t="s">
        <v>853</v>
      </c>
      <c r="AE330" s="8" t="s">
        <v>4564</v>
      </c>
      <c r="AF330" s="8">
        <v>60</v>
      </c>
      <c r="AG330" s="8">
        <v>30</v>
      </c>
      <c r="CB330" s="26">
        <v>42011</v>
      </c>
      <c r="CC330" s="26" t="s">
        <v>853</v>
      </c>
      <c r="CD330" s="8" t="s">
        <v>3358</v>
      </c>
      <c r="CE330" s="8">
        <v>58</v>
      </c>
      <c r="CF330" s="8">
        <v>29</v>
      </c>
      <c r="CG330" s="26"/>
      <c r="CH330" s="8"/>
      <c r="CM330" s="8"/>
      <c r="CR330" s="8"/>
      <c r="DZ330"/>
      <c r="EB330" s="19"/>
      <c r="EC330" s="19"/>
      <c r="ED330" s="19"/>
      <c r="EE330" s="19"/>
      <c r="EF330" s="19"/>
      <c r="EG330" s="19"/>
      <c r="EH330" s="19"/>
      <c r="EI330" s="19"/>
      <c r="EJ330" s="19"/>
      <c r="EK330" s="19"/>
      <c r="EL330" s="19"/>
      <c r="EN330" s="19"/>
      <c r="EO330" s="19"/>
      <c r="EP330" s="19"/>
      <c r="EQ330" s="19"/>
      <c r="ER330" s="19"/>
      <c r="ES330" s="19"/>
      <c r="ET330" s="19"/>
      <c r="EU330" s="19"/>
      <c r="EV330" s="19"/>
      <c r="EW330" s="19"/>
      <c r="EX330" s="19"/>
      <c r="EZ330" s="19"/>
      <c r="FA330" s="19"/>
      <c r="FB330" s="19"/>
      <c r="FC330" s="19"/>
      <c r="FD330" s="19"/>
      <c r="FE330" s="19"/>
      <c r="FF330" s="19"/>
      <c r="FG330" s="19"/>
      <c r="FH330" s="19"/>
      <c r="FI330" s="19"/>
      <c r="FJ330" s="19"/>
      <c r="FL330" s="19"/>
      <c r="FM330" s="19"/>
      <c r="FN330" s="19"/>
      <c r="FO330" s="19"/>
      <c r="FP330" s="19"/>
      <c r="FQ330" s="19"/>
      <c r="FR330" s="19"/>
      <c r="FS330" s="19"/>
      <c r="FT330" s="19"/>
      <c r="FU330" s="19"/>
      <c r="FV330" s="19"/>
      <c r="FX330" s="19"/>
      <c r="FY330" s="19"/>
      <c r="FZ330" s="19"/>
      <c r="GA330" s="19"/>
      <c r="GB330" s="19"/>
      <c r="GC330" s="19"/>
      <c r="GD330" s="19"/>
      <c r="GE330" s="19"/>
      <c r="GF330" s="19"/>
      <c r="GG330" s="19"/>
      <c r="GH330" s="19"/>
      <c r="GJ330" s="19"/>
      <c r="GK330" s="19"/>
      <c r="GL330" s="19"/>
      <c r="GM330" s="19"/>
      <c r="GN330" s="19"/>
      <c r="GO330" s="19"/>
      <c r="GP330" s="19"/>
      <c r="GQ330" s="19"/>
      <c r="GR330" s="19"/>
      <c r="GS330" s="19"/>
      <c r="GT330" s="19"/>
      <c r="GV330" s="19"/>
      <c r="GW330" s="19"/>
      <c r="GX330" s="19"/>
      <c r="GY330" s="19"/>
      <c r="GZ330" s="19"/>
      <c r="HA330" s="19"/>
      <c r="HB330" s="19"/>
      <c r="HC330" s="19"/>
      <c r="HD330" s="19"/>
      <c r="HE330" s="19"/>
      <c r="HF330" s="19"/>
      <c r="HH330" s="19"/>
      <c r="HI330" s="19"/>
      <c r="HJ330" s="19"/>
      <c r="HK330" s="19"/>
      <c r="HL330" s="19"/>
      <c r="HM330" s="19"/>
      <c r="HN330" s="19"/>
      <c r="HO330" s="19"/>
      <c r="HP330" s="19"/>
      <c r="HQ330" s="19"/>
    </row>
    <row r="331" spans="1:225" x14ac:dyDescent="0.25">
      <c r="A331" s="8" t="s">
        <v>4603</v>
      </c>
      <c r="B331" s="24" t="s">
        <v>4604</v>
      </c>
      <c r="E331" s="26" t="s">
        <v>1762</v>
      </c>
      <c r="F331" s="198" t="s">
        <v>1700</v>
      </c>
      <c r="G331" s="198" t="s">
        <v>1700</v>
      </c>
      <c r="H331" s="25" t="s">
        <v>1700</v>
      </c>
      <c r="I331" s="27" t="s">
        <v>3903</v>
      </c>
      <c r="J331" s="27" t="s">
        <v>866</v>
      </c>
      <c r="K331" s="28" t="s">
        <v>385</v>
      </c>
      <c r="CB331" s="278"/>
      <c r="CG331" s="278"/>
      <c r="EB331" s="19"/>
      <c r="EC331" s="19"/>
      <c r="ED331" s="19"/>
      <c r="EE331" s="19"/>
      <c r="EF331" s="19"/>
      <c r="EG331" s="19"/>
      <c r="EH331" s="19"/>
      <c r="EI331" s="19"/>
      <c r="EJ331" s="19"/>
      <c r="EK331" s="19"/>
      <c r="EL331" s="19"/>
      <c r="EN331" s="19"/>
      <c r="EO331" s="19"/>
      <c r="EP331" s="19"/>
      <c r="EQ331" s="19"/>
      <c r="ER331" s="19"/>
      <c r="ES331" s="19"/>
      <c r="ET331" s="19"/>
      <c r="EU331" s="19"/>
      <c r="EV331" s="19"/>
      <c r="EW331" s="19"/>
      <c r="EX331" s="19"/>
      <c r="EZ331" s="19"/>
      <c r="FA331" s="19"/>
      <c r="FB331" s="19"/>
      <c r="FC331" s="19"/>
      <c r="FD331" s="19"/>
      <c r="FE331" s="19"/>
      <c r="FF331" s="19"/>
      <c r="FG331" s="19"/>
      <c r="FH331" s="19"/>
      <c r="FI331" s="19"/>
      <c r="FJ331" s="19"/>
      <c r="FL331" s="19"/>
      <c r="FM331" s="19"/>
      <c r="FN331" s="19"/>
      <c r="FO331" s="19"/>
      <c r="FP331" s="19"/>
      <c r="FQ331" s="19"/>
      <c r="FR331" s="19"/>
      <c r="FS331" s="19"/>
      <c r="FT331" s="19"/>
      <c r="FU331" s="19"/>
      <c r="FV331" s="19"/>
      <c r="FX331" s="19"/>
      <c r="FY331" s="19"/>
      <c r="FZ331" s="19"/>
      <c r="GA331" s="19"/>
      <c r="GB331" s="19"/>
      <c r="GC331" s="19"/>
      <c r="GD331" s="19"/>
      <c r="GE331" s="19"/>
      <c r="GF331" s="19"/>
      <c r="GG331" s="19"/>
      <c r="GH331" s="19"/>
      <c r="GJ331" s="19"/>
      <c r="GK331" s="19"/>
      <c r="GL331" s="19"/>
      <c r="GM331" s="19"/>
      <c r="GN331" s="19"/>
      <c r="GO331" s="19"/>
      <c r="GP331" s="19"/>
      <c r="GQ331" s="19"/>
      <c r="GR331" s="19"/>
      <c r="GS331" s="19"/>
      <c r="GT331" s="19"/>
      <c r="GV331" s="19"/>
      <c r="GW331" s="19"/>
      <c r="GX331" s="19"/>
      <c r="GY331" s="19"/>
      <c r="GZ331" s="19"/>
      <c r="HA331" s="19"/>
      <c r="HB331" s="19"/>
      <c r="HC331" s="19"/>
      <c r="HD331" s="19"/>
      <c r="HE331" s="19"/>
      <c r="HF331" s="19"/>
      <c r="HH331" s="19"/>
      <c r="HI331" s="19"/>
      <c r="HJ331" s="19"/>
      <c r="HK331" s="19"/>
      <c r="HL331" s="19"/>
      <c r="HM331" s="19"/>
      <c r="HN331" s="19"/>
      <c r="HO331" s="19"/>
      <c r="HP331" s="19"/>
      <c r="HQ331" s="19"/>
    </row>
    <row r="332" spans="1:225" x14ac:dyDescent="0.25">
      <c r="A332" s="8" t="s">
        <v>739</v>
      </c>
      <c r="B332" s="24" t="s">
        <v>740</v>
      </c>
      <c r="E332" s="26" t="s">
        <v>1762</v>
      </c>
      <c r="F332" s="198" t="s">
        <v>1700</v>
      </c>
      <c r="G332" s="198" t="s">
        <v>1700</v>
      </c>
      <c r="H332" s="25" t="s">
        <v>1700</v>
      </c>
      <c r="J332" s="27" t="s">
        <v>866</v>
      </c>
      <c r="R332" s="29" t="s">
        <v>889</v>
      </c>
      <c r="CB332" s="26"/>
      <c r="CC332" s="26"/>
      <c r="CF332" s="8"/>
      <c r="CG332" s="26"/>
      <c r="CH332" s="8"/>
      <c r="CM332" s="8"/>
      <c r="CR332" s="8"/>
    </row>
    <row r="333" spans="1:225" x14ac:dyDescent="0.25">
      <c r="A333" s="8" t="s">
        <v>233</v>
      </c>
      <c r="B333" s="24" t="s">
        <v>2184</v>
      </c>
      <c r="C333" s="25" t="s">
        <v>234</v>
      </c>
      <c r="E333" s="26" t="s">
        <v>1764</v>
      </c>
      <c r="F333" s="198" t="s">
        <v>891</v>
      </c>
      <c r="G333" s="198" t="s">
        <v>1700</v>
      </c>
      <c r="H333" s="25" t="s">
        <v>1700</v>
      </c>
      <c r="J333" s="27" t="s">
        <v>866</v>
      </c>
      <c r="X333" s="84" t="s">
        <v>1700</v>
      </c>
      <c r="Y333" s="84" t="s">
        <v>1803</v>
      </c>
      <c r="AA333" s="84" t="s">
        <v>1804</v>
      </c>
      <c r="AB333" s="84" t="s">
        <v>122</v>
      </c>
      <c r="CB333" s="26"/>
      <c r="CC333" s="26"/>
      <c r="CF333" s="8"/>
      <c r="CG333" s="26"/>
      <c r="CH333" s="8"/>
      <c r="CM333" s="8"/>
      <c r="CR333" s="8"/>
    </row>
    <row r="334" spans="1:225" x14ac:dyDescent="0.25">
      <c r="A334" s="8" t="s">
        <v>756</v>
      </c>
      <c r="B334" s="24" t="s">
        <v>2200</v>
      </c>
      <c r="D334" s="26">
        <v>29006</v>
      </c>
      <c r="E334" s="26" t="s">
        <v>1762</v>
      </c>
      <c r="F334" s="198" t="s">
        <v>898</v>
      </c>
      <c r="G334" s="198" t="s">
        <v>1700</v>
      </c>
      <c r="H334" s="25" t="s">
        <v>1700</v>
      </c>
      <c r="J334" s="27" t="s">
        <v>866</v>
      </c>
      <c r="R334" s="29" t="s">
        <v>851</v>
      </c>
      <c r="S334" s="8" t="s">
        <v>855</v>
      </c>
      <c r="CB334" s="26"/>
      <c r="CC334" s="26"/>
      <c r="CF334" s="8"/>
      <c r="CG334" s="26"/>
      <c r="CH334" s="8"/>
      <c r="CM334" s="8"/>
      <c r="CR334" s="8"/>
      <c r="DZ334" s="257"/>
    </row>
    <row r="335" spans="1:225" x14ac:dyDescent="0.25">
      <c r="A335" s="8" t="s">
        <v>1395</v>
      </c>
      <c r="B335" s="24" t="s">
        <v>962</v>
      </c>
      <c r="C335" s="25" t="s">
        <v>472</v>
      </c>
      <c r="D335" s="26">
        <v>21083</v>
      </c>
      <c r="E335" s="26" t="s">
        <v>1762</v>
      </c>
      <c r="F335" s="198" t="s">
        <v>1392</v>
      </c>
      <c r="G335" s="198" t="s">
        <v>1700</v>
      </c>
      <c r="H335" s="25" t="s">
        <v>1700</v>
      </c>
      <c r="I335" s="27" t="s">
        <v>3902</v>
      </c>
      <c r="J335" s="27" t="s">
        <v>866</v>
      </c>
      <c r="K335" s="28" t="s">
        <v>854</v>
      </c>
      <c r="Q335" s="93"/>
      <c r="R335" s="28" t="s">
        <v>854</v>
      </c>
      <c r="S335" s="21"/>
      <c r="T335" s="21"/>
      <c r="U335" s="21"/>
      <c r="V335" s="21"/>
      <c r="W335" s="95"/>
      <c r="X335" s="86"/>
      <c r="Y335" s="86"/>
      <c r="Z335" s="86"/>
      <c r="AA335" s="86"/>
      <c r="AB335" s="86"/>
      <c r="AE335" s="19"/>
      <c r="AF335" s="19"/>
      <c r="AG335" s="19"/>
      <c r="AI335" s="19"/>
      <c r="AJ335" s="19"/>
      <c r="AK335" s="19"/>
      <c r="AL335" s="19"/>
      <c r="AN335" s="19"/>
      <c r="AO335" s="19"/>
      <c r="AP335" s="19"/>
      <c r="AQ335" s="19"/>
      <c r="AS335" s="19"/>
      <c r="AT335" s="19"/>
      <c r="AU335" s="19"/>
      <c r="AV335" s="19"/>
      <c r="AX335" s="19"/>
      <c r="AY335" s="19"/>
      <c r="AZ335" s="19"/>
      <c r="BA335" s="19"/>
      <c r="BC335" s="19"/>
      <c r="BD335" s="19"/>
      <c r="BE335" s="19"/>
      <c r="BF335" s="19"/>
      <c r="BH335" s="19"/>
      <c r="BI335" s="19"/>
      <c r="BJ335" s="19"/>
      <c r="BK335" s="19"/>
      <c r="BM335" s="19"/>
      <c r="BN335" s="19"/>
      <c r="BO335" s="19"/>
      <c r="BP335" s="19"/>
      <c r="BR335" s="19"/>
      <c r="BS335" s="19"/>
      <c r="BT335" s="19"/>
      <c r="BU335" s="19"/>
      <c r="BW335" s="19"/>
      <c r="BX335" s="19"/>
      <c r="BY335" s="19"/>
      <c r="BZ335" s="19"/>
      <c r="CB335" s="26"/>
      <c r="CC335" s="26"/>
      <c r="CD335" s="19"/>
      <c r="CE335" s="19"/>
      <c r="CF335" s="19"/>
      <c r="CG335" s="26"/>
      <c r="CH335" s="19"/>
      <c r="CI335" s="19"/>
      <c r="CJ335" s="19"/>
      <c r="CK335" s="19"/>
      <c r="CM335" s="19"/>
      <c r="CN335" s="19"/>
      <c r="CO335" s="19"/>
      <c r="CP335" s="19"/>
      <c r="CR335" s="19"/>
      <c r="CS335" s="19"/>
      <c r="CT335" s="19"/>
      <c r="CU335" s="19"/>
      <c r="CW335" s="19"/>
      <c r="CX335" s="19"/>
      <c r="CY335" s="19"/>
      <c r="CZ335" s="19"/>
      <c r="DB335" s="19"/>
      <c r="DC335" s="19"/>
      <c r="DD335" s="19"/>
      <c r="DE335" s="19"/>
      <c r="DG335" s="19"/>
      <c r="DH335" s="19"/>
      <c r="DI335" s="19"/>
      <c r="DJ335" s="19"/>
      <c r="DL335" s="19"/>
      <c r="DM335" s="19"/>
      <c r="DN335" s="19"/>
      <c r="DO335" s="19"/>
      <c r="DQ335" s="19"/>
      <c r="DR335" s="19"/>
      <c r="DS335" s="19"/>
      <c r="DT335" s="19"/>
      <c r="DV335" s="19"/>
      <c r="DW335" s="19"/>
      <c r="DX335" s="19"/>
      <c r="DY335" s="19"/>
    </row>
    <row r="336" spans="1:225" x14ac:dyDescent="0.25">
      <c r="A336" s="8" t="s">
        <v>4821</v>
      </c>
      <c r="B336" s="24" t="s">
        <v>1466</v>
      </c>
      <c r="E336" s="26" t="s">
        <v>1762</v>
      </c>
      <c r="F336" s="198" t="s">
        <v>1700</v>
      </c>
      <c r="G336" s="198" t="s">
        <v>1700</v>
      </c>
      <c r="H336" s="25" t="s">
        <v>1700</v>
      </c>
      <c r="I336" s="27" t="s">
        <v>3901</v>
      </c>
      <c r="J336" s="27" t="s">
        <v>866</v>
      </c>
      <c r="K336" s="28" t="s">
        <v>3908</v>
      </c>
      <c r="CB336" s="278"/>
      <c r="CG336" s="278"/>
    </row>
    <row r="337" spans="1:225" x14ac:dyDescent="0.25">
      <c r="A337" s="19" t="s">
        <v>1952</v>
      </c>
      <c r="B337" s="12" t="s">
        <v>1391</v>
      </c>
      <c r="C337" s="13" t="s">
        <v>359</v>
      </c>
      <c r="D337" s="14"/>
      <c r="E337" s="14" t="s">
        <v>1762</v>
      </c>
      <c r="F337" s="199" t="s">
        <v>968</v>
      </c>
      <c r="G337" s="199" t="s">
        <v>359</v>
      </c>
      <c r="H337" s="13" t="s">
        <v>1700</v>
      </c>
      <c r="I337" s="20"/>
      <c r="J337" s="20" t="s">
        <v>866</v>
      </c>
      <c r="K337" s="17"/>
      <c r="L337" s="21"/>
      <c r="M337" s="21"/>
      <c r="N337" s="21"/>
      <c r="O337" s="21"/>
      <c r="Q337" s="95"/>
      <c r="R337" s="17"/>
      <c r="S337" s="29"/>
      <c r="T337" s="29"/>
      <c r="U337" s="29"/>
      <c r="V337" s="29"/>
      <c r="W337" s="95"/>
      <c r="X337" s="86" t="s">
        <v>1700</v>
      </c>
      <c r="Y337" s="86" t="s">
        <v>246</v>
      </c>
      <c r="Z337" s="86"/>
      <c r="AA337" s="84" t="s">
        <v>996</v>
      </c>
      <c r="AB337" s="84" t="s">
        <v>126</v>
      </c>
      <c r="AE337" s="19"/>
      <c r="AF337" s="19"/>
      <c r="AG337" s="19"/>
      <c r="AI337" s="19"/>
      <c r="AJ337" s="19"/>
      <c r="AK337" s="19"/>
      <c r="AL337" s="19"/>
      <c r="AN337" s="19"/>
      <c r="AO337" s="19"/>
      <c r="AP337" s="19"/>
      <c r="AQ337" s="19"/>
      <c r="AS337" s="19"/>
      <c r="AT337" s="19"/>
      <c r="AU337" s="19"/>
      <c r="AV337" s="19"/>
      <c r="AX337" s="19"/>
      <c r="AY337" s="19"/>
      <c r="AZ337" s="19"/>
      <c r="BA337" s="19"/>
      <c r="BC337" s="19"/>
      <c r="BD337" s="19"/>
      <c r="BE337" s="19"/>
      <c r="BF337" s="19"/>
      <c r="BH337" s="19"/>
      <c r="BI337" s="19"/>
      <c r="BJ337" s="19"/>
      <c r="BK337" s="19"/>
      <c r="BM337" s="19"/>
      <c r="BN337" s="19"/>
      <c r="BO337" s="19"/>
      <c r="BP337" s="19"/>
      <c r="BR337" s="19"/>
      <c r="BS337" s="19"/>
      <c r="BT337" s="19"/>
      <c r="BU337" s="19"/>
      <c r="BW337" s="19"/>
      <c r="BX337" s="19"/>
      <c r="BY337" s="19"/>
      <c r="BZ337" s="19"/>
      <c r="CB337" s="26"/>
      <c r="CC337" s="26"/>
      <c r="CD337" s="19"/>
      <c r="CE337" s="19"/>
      <c r="CF337" s="19"/>
      <c r="CG337" s="26"/>
      <c r="CH337" s="19"/>
      <c r="CI337" s="19"/>
      <c r="CJ337" s="19"/>
      <c r="CK337" s="19"/>
      <c r="CM337" s="19"/>
      <c r="CN337" s="19"/>
      <c r="CO337" s="19"/>
      <c r="CP337" s="19"/>
      <c r="CR337" s="19"/>
      <c r="CS337" s="19"/>
      <c r="CT337" s="19"/>
      <c r="CU337" s="19"/>
      <c r="CW337" s="19"/>
      <c r="CX337" s="19"/>
      <c r="CY337" s="19"/>
      <c r="CZ337" s="19"/>
      <c r="DB337" s="19"/>
      <c r="DC337" s="19"/>
      <c r="DD337" s="19"/>
      <c r="DE337" s="19"/>
      <c r="DG337" s="19"/>
      <c r="DH337" s="19"/>
      <c r="DI337" s="19"/>
      <c r="DJ337" s="19"/>
      <c r="DL337" s="19"/>
      <c r="DM337" s="19"/>
      <c r="DN337" s="19"/>
      <c r="DO337" s="19"/>
      <c r="DQ337" s="19"/>
      <c r="DR337" s="19"/>
      <c r="DS337" s="19"/>
      <c r="DT337" s="19"/>
      <c r="DV337" s="19"/>
      <c r="DW337" s="19"/>
      <c r="DX337" s="19"/>
      <c r="DY337" s="19"/>
    </row>
    <row r="338" spans="1:225" x14ac:dyDescent="0.25">
      <c r="A338" s="8" t="s">
        <v>2733</v>
      </c>
      <c r="B338" s="24" t="s">
        <v>921</v>
      </c>
      <c r="C338" s="25" t="s">
        <v>2732</v>
      </c>
      <c r="E338" s="26" t="s">
        <v>1762</v>
      </c>
      <c r="F338" s="198" t="s">
        <v>788</v>
      </c>
      <c r="G338" s="198" t="s">
        <v>1700</v>
      </c>
      <c r="H338" s="25" t="s">
        <v>2734</v>
      </c>
      <c r="I338" s="27" t="s">
        <v>3896</v>
      </c>
      <c r="J338" s="27" t="s">
        <v>866</v>
      </c>
      <c r="K338" s="28" t="s">
        <v>853</v>
      </c>
      <c r="R338" s="29" t="s">
        <v>853</v>
      </c>
      <c r="W338" s="93">
        <v>160</v>
      </c>
      <c r="X338" s="84" t="s">
        <v>1700</v>
      </c>
      <c r="Y338" s="84" t="s">
        <v>2499</v>
      </c>
      <c r="AA338" s="84" t="s">
        <v>2736</v>
      </c>
      <c r="AB338" s="84" t="s">
        <v>2652</v>
      </c>
      <c r="AC338" s="26">
        <v>42545</v>
      </c>
      <c r="AD338" s="26" t="s">
        <v>853</v>
      </c>
      <c r="AE338" s="8" t="s">
        <v>4841</v>
      </c>
      <c r="AF338" s="8">
        <v>400</v>
      </c>
      <c r="AG338" s="8">
        <v>160</v>
      </c>
      <c r="CB338" s="26">
        <v>41921</v>
      </c>
      <c r="CC338" s="26" t="s">
        <v>853</v>
      </c>
      <c r="CD338" s="19" t="s">
        <v>2735</v>
      </c>
      <c r="CE338" s="19">
        <v>800</v>
      </c>
      <c r="CF338" s="19">
        <v>160</v>
      </c>
      <c r="CG338" s="26"/>
      <c r="CH338" s="19"/>
      <c r="CI338" s="19"/>
      <c r="CJ338" s="19"/>
      <c r="CK338" s="19"/>
      <c r="CM338" s="19"/>
      <c r="CN338" s="19"/>
      <c r="CO338" s="19"/>
      <c r="CP338" s="19"/>
      <c r="CR338" s="19"/>
      <c r="CS338" s="19"/>
      <c r="CT338" s="19"/>
      <c r="CU338" s="19"/>
      <c r="CW338" s="19"/>
      <c r="CX338" s="19"/>
      <c r="CY338" s="19"/>
      <c r="CZ338" s="19"/>
      <c r="DB338" s="19"/>
      <c r="DC338" s="19"/>
      <c r="DD338" s="19"/>
      <c r="DE338" s="19"/>
      <c r="DG338" s="19"/>
      <c r="DH338" s="19"/>
      <c r="DI338" s="19"/>
      <c r="DJ338" s="19"/>
      <c r="DL338" s="19"/>
      <c r="DM338" s="19"/>
      <c r="DN338" s="19"/>
      <c r="DO338" s="19"/>
      <c r="DQ338" s="19"/>
      <c r="DR338" s="19"/>
      <c r="DS338" s="19"/>
      <c r="DT338" s="19"/>
      <c r="DV338" s="19"/>
      <c r="DW338" s="19"/>
      <c r="DX338" s="19"/>
      <c r="DY338" s="19"/>
    </row>
    <row r="339" spans="1:225" x14ac:dyDescent="0.25">
      <c r="A339" s="8" t="s">
        <v>2475</v>
      </c>
      <c r="B339" s="24" t="s">
        <v>544</v>
      </c>
      <c r="F339" s="198" t="s">
        <v>1700</v>
      </c>
      <c r="G339" s="198" t="s">
        <v>1700</v>
      </c>
      <c r="H339" s="25" t="s">
        <v>1700</v>
      </c>
      <c r="J339" s="27" t="s">
        <v>866</v>
      </c>
      <c r="CB339" s="26"/>
      <c r="CC339" s="26"/>
      <c r="CF339" s="8"/>
      <c r="CG339" s="26"/>
      <c r="CH339" s="8"/>
      <c r="CM339" s="8"/>
      <c r="CR339" s="8"/>
    </row>
    <row r="340" spans="1:225" x14ac:dyDescent="0.25">
      <c r="A340" s="8" t="s">
        <v>4114</v>
      </c>
      <c r="B340" s="24" t="s">
        <v>4115</v>
      </c>
      <c r="C340" s="25" t="s">
        <v>4113</v>
      </c>
      <c r="E340" s="26" t="s">
        <v>1762</v>
      </c>
      <c r="F340" s="198" t="s">
        <v>891</v>
      </c>
      <c r="G340" s="198" t="s">
        <v>3139</v>
      </c>
      <c r="H340" s="25" t="s">
        <v>4116</v>
      </c>
      <c r="I340" s="27" t="s">
        <v>3901</v>
      </c>
      <c r="J340" s="27" t="s">
        <v>866</v>
      </c>
      <c r="K340" s="28" t="s">
        <v>853</v>
      </c>
      <c r="W340" s="93">
        <v>100</v>
      </c>
      <c r="X340" s="84" t="s">
        <v>1700</v>
      </c>
      <c r="Y340" s="84" t="s">
        <v>4118</v>
      </c>
      <c r="AA340" s="84" t="s">
        <v>4119</v>
      </c>
      <c r="AB340" s="84" t="s">
        <v>4117</v>
      </c>
      <c r="AC340" s="26">
        <v>42311</v>
      </c>
      <c r="AD340" s="26" t="s">
        <v>853</v>
      </c>
      <c r="AE340" s="8" t="s">
        <v>4120</v>
      </c>
      <c r="AF340" s="8">
        <v>200</v>
      </c>
      <c r="AG340" s="8">
        <v>100</v>
      </c>
      <c r="CB340" s="278"/>
      <c r="CG340" s="278"/>
    </row>
    <row r="341" spans="1:225" x14ac:dyDescent="0.25">
      <c r="A341" s="8" t="s">
        <v>1055</v>
      </c>
      <c r="B341" s="24" t="s">
        <v>1625</v>
      </c>
      <c r="C341" s="25" t="s">
        <v>1056</v>
      </c>
      <c r="E341" s="26" t="s">
        <v>1764</v>
      </c>
      <c r="F341" s="198" t="s">
        <v>946</v>
      </c>
      <c r="G341" s="198" t="s">
        <v>1700</v>
      </c>
      <c r="H341" s="25" t="s">
        <v>3419</v>
      </c>
      <c r="J341" s="27" t="s">
        <v>866</v>
      </c>
      <c r="R341" s="29" t="s">
        <v>853</v>
      </c>
      <c r="X341" s="84" t="s">
        <v>1700</v>
      </c>
      <c r="Y341" s="84" t="s">
        <v>2367</v>
      </c>
      <c r="AA341" s="84" t="s">
        <v>3420</v>
      </c>
      <c r="AB341" s="84" t="s">
        <v>221</v>
      </c>
      <c r="CB341" s="26">
        <v>42011</v>
      </c>
      <c r="CC341" s="26" t="s">
        <v>853</v>
      </c>
      <c r="CD341" s="8" t="s">
        <v>3421</v>
      </c>
      <c r="CE341" s="8">
        <v>555</v>
      </c>
      <c r="CF341" s="8">
        <v>160</v>
      </c>
      <c r="CG341" s="26"/>
      <c r="CH341" s="8"/>
      <c r="CM341" s="8"/>
      <c r="CR341" s="8"/>
    </row>
    <row r="342" spans="1:225" x14ac:dyDescent="0.25">
      <c r="A342" s="8" t="s">
        <v>2495</v>
      </c>
      <c r="B342" s="24" t="s">
        <v>2496</v>
      </c>
      <c r="C342" s="25" t="s">
        <v>2497</v>
      </c>
      <c r="E342" s="26" t="s">
        <v>1762</v>
      </c>
      <c r="F342" s="198" t="s">
        <v>1408</v>
      </c>
      <c r="G342" s="198" t="s">
        <v>1700</v>
      </c>
      <c r="H342" s="25" t="s">
        <v>2498</v>
      </c>
      <c r="J342" s="27" t="s">
        <v>866</v>
      </c>
      <c r="X342" s="84" t="s">
        <v>1700</v>
      </c>
      <c r="Y342" s="84" t="s">
        <v>2499</v>
      </c>
      <c r="AA342" s="84" t="s">
        <v>2500</v>
      </c>
      <c r="AB342" s="84" t="s">
        <v>126</v>
      </c>
      <c r="CB342" s="26"/>
      <c r="CC342" s="26"/>
      <c r="CF342" s="8"/>
      <c r="CG342" s="26"/>
      <c r="CH342" s="8"/>
      <c r="CM342" s="8"/>
      <c r="CR342" s="8"/>
    </row>
    <row r="343" spans="1:225" x14ac:dyDescent="0.25">
      <c r="A343" s="8" t="s">
        <v>538</v>
      </c>
      <c r="B343" s="24" t="s">
        <v>539</v>
      </c>
      <c r="C343" s="25" t="s">
        <v>540</v>
      </c>
      <c r="E343" s="26" t="s">
        <v>1762</v>
      </c>
      <c r="F343" s="198" t="s">
        <v>733</v>
      </c>
      <c r="G343" s="198" t="s">
        <v>1700</v>
      </c>
      <c r="H343" s="25" t="s">
        <v>2427</v>
      </c>
      <c r="J343" s="27" t="s">
        <v>866</v>
      </c>
      <c r="R343" s="29" t="s">
        <v>853</v>
      </c>
      <c r="X343" s="84" t="s">
        <v>1700</v>
      </c>
      <c r="Y343" s="84" t="s">
        <v>791</v>
      </c>
      <c r="AA343" s="84" t="s">
        <v>537</v>
      </c>
      <c r="AB343" s="84" t="s">
        <v>126</v>
      </c>
      <c r="CB343" s="26">
        <v>42074</v>
      </c>
      <c r="CC343" s="26" t="s">
        <v>853</v>
      </c>
      <c r="CD343" s="8" t="s">
        <v>3540</v>
      </c>
      <c r="CE343" s="8">
        <v>536</v>
      </c>
      <c r="CF343" s="8">
        <v>160</v>
      </c>
      <c r="CG343" s="26"/>
      <c r="CH343" s="8"/>
      <c r="CM343" s="8"/>
      <c r="CR343" s="8"/>
      <c r="DZ343" s="279"/>
    </row>
    <row r="344" spans="1:225" x14ac:dyDescent="0.25">
      <c r="A344" s="8" t="s">
        <v>1411</v>
      </c>
      <c r="B344" s="24" t="s">
        <v>950</v>
      </c>
      <c r="C344" s="25" t="s">
        <v>1410</v>
      </c>
      <c r="E344" s="26" t="s">
        <v>1762</v>
      </c>
      <c r="F344" s="198" t="s">
        <v>888</v>
      </c>
      <c r="G344" s="198" t="s">
        <v>3129</v>
      </c>
      <c r="H344" s="25" t="s">
        <v>3187</v>
      </c>
      <c r="I344" s="27" t="s">
        <v>3903</v>
      </c>
      <c r="J344" s="27" t="s">
        <v>866</v>
      </c>
      <c r="K344" s="28" t="s">
        <v>853</v>
      </c>
      <c r="Q344" s="93"/>
      <c r="R344" s="28" t="s">
        <v>853</v>
      </c>
      <c r="S344" s="29"/>
      <c r="T344" s="29"/>
      <c r="U344" s="29"/>
      <c r="V344" s="29"/>
      <c r="W344" s="93">
        <v>150</v>
      </c>
      <c r="X344" s="86" t="s">
        <v>1700</v>
      </c>
      <c r="Y344" s="86" t="s">
        <v>2921</v>
      </c>
      <c r="Z344" s="86"/>
      <c r="AA344" s="86" t="s">
        <v>3189</v>
      </c>
      <c r="AB344" s="86" t="s">
        <v>3188</v>
      </c>
      <c r="AC344" s="26">
        <v>42352</v>
      </c>
      <c r="AD344" s="26" t="s">
        <v>853</v>
      </c>
      <c r="AE344" s="8" t="s">
        <v>4420</v>
      </c>
      <c r="AF344" s="8">
        <v>300</v>
      </c>
      <c r="AG344" s="8">
        <v>150</v>
      </c>
      <c r="CB344" s="26">
        <v>41977</v>
      </c>
      <c r="CC344" s="26" t="s">
        <v>853</v>
      </c>
      <c r="CD344" s="8" t="s">
        <v>3190</v>
      </c>
      <c r="CE344" s="8">
        <v>300</v>
      </c>
      <c r="CF344" s="8">
        <v>150</v>
      </c>
      <c r="CG344" s="26"/>
      <c r="CH344" s="8"/>
      <c r="CM344" s="8"/>
      <c r="CR344" s="8"/>
    </row>
    <row r="345" spans="1:225" ht="13.5" x14ac:dyDescent="0.25">
      <c r="A345" s="8" t="s">
        <v>2974</v>
      </c>
      <c r="B345" s="24" t="s">
        <v>1508</v>
      </c>
      <c r="D345" s="26">
        <v>23762</v>
      </c>
      <c r="E345" s="26" t="s">
        <v>877</v>
      </c>
      <c r="F345" s="198" t="s">
        <v>1700</v>
      </c>
      <c r="G345" s="198" t="s">
        <v>1700</v>
      </c>
      <c r="H345" s="25" t="s">
        <v>1700</v>
      </c>
      <c r="I345" s="27" t="s">
        <v>3902</v>
      </c>
      <c r="J345" s="27" t="s">
        <v>866</v>
      </c>
      <c r="K345" s="28" t="s">
        <v>817</v>
      </c>
      <c r="R345" s="29" t="s">
        <v>817</v>
      </c>
      <c r="CB345" s="278"/>
      <c r="CD345"/>
      <c r="CG345" s="278"/>
      <c r="CH345" s="278"/>
      <c r="CI345"/>
      <c r="CK345" s="279"/>
      <c r="CL345" s="278"/>
      <c r="CM345" s="278"/>
      <c r="CN345"/>
      <c r="CP345" s="279"/>
      <c r="CQ345"/>
      <c r="CR345"/>
      <c r="CS345"/>
      <c r="CU345"/>
      <c r="CV345"/>
      <c r="CW345"/>
      <c r="CX345"/>
      <c r="CZ345"/>
      <c r="DA345"/>
      <c r="DB345"/>
      <c r="DC345"/>
      <c r="DE345"/>
      <c r="DF345"/>
      <c r="DG345"/>
      <c r="DH345"/>
      <c r="DJ345"/>
      <c r="DK345"/>
      <c r="DL345"/>
      <c r="DM345"/>
      <c r="DO345"/>
      <c r="DP345"/>
      <c r="DQ345"/>
      <c r="DR345"/>
      <c r="DT345"/>
      <c r="DU345"/>
      <c r="DV345"/>
      <c r="DW345"/>
      <c r="DY345"/>
      <c r="DZ345" s="279"/>
    </row>
    <row r="346" spans="1:225" x14ac:dyDescent="0.25">
      <c r="A346" s="8" t="s">
        <v>2148</v>
      </c>
      <c r="B346" s="24" t="s">
        <v>1697</v>
      </c>
      <c r="C346" s="25" t="s">
        <v>2149</v>
      </c>
      <c r="D346" s="26">
        <v>28751</v>
      </c>
      <c r="E346" s="26" t="s">
        <v>1762</v>
      </c>
      <c r="F346" s="198" t="s">
        <v>1586</v>
      </c>
      <c r="G346" s="198" t="s">
        <v>1700</v>
      </c>
      <c r="H346" s="25" t="s">
        <v>1700</v>
      </c>
      <c r="J346" s="27" t="s">
        <v>866</v>
      </c>
      <c r="R346" s="29" t="s">
        <v>889</v>
      </c>
      <c r="X346" s="84" t="s">
        <v>1700</v>
      </c>
      <c r="Y346" s="84" t="s">
        <v>629</v>
      </c>
      <c r="AA346" s="84" t="s">
        <v>677</v>
      </c>
      <c r="AB346" s="84" t="s">
        <v>630</v>
      </c>
      <c r="CB346" s="26"/>
      <c r="CC346" s="26"/>
      <c r="CF346" s="8"/>
      <c r="CG346" s="26"/>
      <c r="CH346" s="8"/>
      <c r="CM346" s="8"/>
      <c r="CR346" s="8"/>
    </row>
    <row r="347" spans="1:225" x14ac:dyDescent="0.25">
      <c r="A347" s="8" t="s">
        <v>2148</v>
      </c>
      <c r="B347" s="24" t="s">
        <v>3849</v>
      </c>
      <c r="E347" s="26" t="s">
        <v>1762</v>
      </c>
      <c r="F347" s="198" t="s">
        <v>1700</v>
      </c>
      <c r="G347" s="198" t="s">
        <v>1700</v>
      </c>
      <c r="H347" s="25" t="s">
        <v>1700</v>
      </c>
      <c r="J347" s="27" t="s">
        <v>866</v>
      </c>
      <c r="R347" s="29" t="s">
        <v>1973</v>
      </c>
      <c r="CB347" s="278"/>
      <c r="CG347" s="278"/>
    </row>
    <row r="348" spans="1:225" x14ac:dyDescent="0.25">
      <c r="A348" s="8" t="s">
        <v>2148</v>
      </c>
      <c r="B348" s="24" t="s">
        <v>3429</v>
      </c>
      <c r="E348" s="26" t="s">
        <v>1762</v>
      </c>
      <c r="F348" s="198" t="s">
        <v>1700</v>
      </c>
      <c r="G348" s="198" t="s">
        <v>1700</v>
      </c>
      <c r="H348" s="25" t="s">
        <v>1700</v>
      </c>
      <c r="J348" s="27" t="s">
        <v>866</v>
      </c>
      <c r="R348" s="29" t="s">
        <v>1973</v>
      </c>
      <c r="S348" s="8" t="s">
        <v>1763</v>
      </c>
      <c r="CB348" s="278"/>
      <c r="CG348" s="278"/>
    </row>
    <row r="349" spans="1:225" x14ac:dyDescent="0.25">
      <c r="A349" s="8" t="s">
        <v>2216</v>
      </c>
      <c r="B349" s="24" t="s">
        <v>953</v>
      </c>
      <c r="C349" s="25" t="s">
        <v>2217</v>
      </c>
      <c r="E349" s="26" t="s">
        <v>1762</v>
      </c>
      <c r="F349" s="198" t="s">
        <v>1907</v>
      </c>
      <c r="G349" s="198" t="s">
        <v>1700</v>
      </c>
      <c r="H349" s="25" t="s">
        <v>1700</v>
      </c>
      <c r="J349" s="27" t="s">
        <v>866</v>
      </c>
      <c r="X349" s="84" t="s">
        <v>1700</v>
      </c>
      <c r="Y349" s="84" t="s">
        <v>791</v>
      </c>
      <c r="AA349" s="84" t="s">
        <v>2218</v>
      </c>
      <c r="AB349" s="84" t="s">
        <v>126</v>
      </c>
      <c r="CB349" s="26"/>
      <c r="CC349" s="26"/>
      <c r="CF349" s="8"/>
      <c r="CG349" s="26"/>
      <c r="CH349" s="8"/>
      <c r="CM349" s="8"/>
      <c r="CR349" s="8"/>
    </row>
    <row r="350" spans="1:225" x14ac:dyDescent="0.25">
      <c r="A350" s="8" t="s">
        <v>683</v>
      </c>
      <c r="B350" s="24" t="s">
        <v>332</v>
      </c>
      <c r="E350" s="26" t="s">
        <v>1764</v>
      </c>
      <c r="F350" s="198" t="s">
        <v>1700</v>
      </c>
      <c r="G350" s="198" t="s">
        <v>1700</v>
      </c>
      <c r="H350" s="25" t="s">
        <v>1700</v>
      </c>
      <c r="J350" s="27" t="s">
        <v>866</v>
      </c>
      <c r="R350" s="29" t="s">
        <v>1973</v>
      </c>
      <c r="CB350" s="278"/>
      <c r="CG350" s="278"/>
      <c r="EB350" s="19"/>
      <c r="EC350" s="19"/>
      <c r="ED350" s="19"/>
      <c r="EE350" s="19"/>
      <c r="EF350" s="19"/>
      <c r="EG350" s="19"/>
      <c r="EH350" s="19"/>
      <c r="EI350" s="19"/>
      <c r="EJ350" s="19"/>
      <c r="EK350" s="19"/>
      <c r="EL350" s="19"/>
      <c r="EN350" s="19"/>
      <c r="EO350" s="19"/>
      <c r="EP350" s="19"/>
      <c r="EQ350" s="19"/>
      <c r="ER350" s="19"/>
      <c r="ES350" s="19"/>
      <c r="ET350" s="19"/>
      <c r="EU350" s="19"/>
      <c r="EV350" s="19"/>
      <c r="EW350" s="19"/>
      <c r="EX350" s="19"/>
      <c r="EZ350" s="19"/>
      <c r="FA350" s="19"/>
      <c r="FB350" s="19"/>
      <c r="FC350" s="19"/>
      <c r="FD350" s="19"/>
      <c r="FE350" s="19"/>
      <c r="FF350" s="19"/>
      <c r="FG350" s="19"/>
      <c r="FH350" s="19"/>
      <c r="FI350" s="19"/>
      <c r="FJ350" s="19"/>
      <c r="FL350" s="19"/>
      <c r="FM350" s="19"/>
      <c r="FN350" s="19"/>
      <c r="FO350" s="19"/>
      <c r="FP350" s="19"/>
      <c r="FQ350" s="19"/>
      <c r="FR350" s="19"/>
      <c r="FS350" s="19"/>
      <c r="FT350" s="19"/>
      <c r="FU350" s="19"/>
      <c r="FV350" s="19"/>
      <c r="FX350" s="19"/>
      <c r="FY350" s="19"/>
      <c r="FZ350" s="19"/>
      <c r="GA350" s="19"/>
      <c r="GB350" s="19"/>
      <c r="GC350" s="19"/>
      <c r="GD350" s="19"/>
      <c r="GE350" s="19"/>
      <c r="GF350" s="19"/>
      <c r="GG350" s="19"/>
      <c r="GH350" s="19"/>
      <c r="GJ350" s="19"/>
      <c r="GK350" s="19"/>
      <c r="GL350" s="19"/>
      <c r="GM350" s="19"/>
      <c r="GN350" s="19"/>
      <c r="GO350" s="19"/>
      <c r="GP350" s="19"/>
      <c r="GQ350" s="19"/>
      <c r="GR350" s="19"/>
      <c r="GS350" s="19"/>
      <c r="GT350" s="19"/>
      <c r="GV350" s="19"/>
      <c r="GW350" s="19"/>
      <c r="GX350" s="19"/>
      <c r="GY350" s="19"/>
      <c r="GZ350" s="19"/>
      <c r="HA350" s="19"/>
      <c r="HB350" s="19"/>
      <c r="HC350" s="19"/>
      <c r="HD350" s="19"/>
      <c r="HE350" s="19"/>
      <c r="HF350" s="19"/>
      <c r="HH350" s="19"/>
      <c r="HI350" s="19"/>
      <c r="HJ350" s="19"/>
      <c r="HK350" s="19"/>
      <c r="HL350" s="19"/>
      <c r="HM350" s="19"/>
      <c r="HN350" s="19"/>
      <c r="HO350" s="19"/>
      <c r="HP350" s="19"/>
      <c r="HQ350" s="19"/>
    </row>
    <row r="351" spans="1:225" x14ac:dyDescent="0.25">
      <c r="A351" s="8" t="s">
        <v>4947</v>
      </c>
      <c r="B351" s="24" t="s">
        <v>4946</v>
      </c>
      <c r="F351" s="198" t="s">
        <v>1700</v>
      </c>
      <c r="G351" s="198" t="s">
        <v>1700</v>
      </c>
      <c r="H351" s="25" t="s">
        <v>1700</v>
      </c>
      <c r="I351" s="27" t="s">
        <v>3899</v>
      </c>
      <c r="J351" s="27" t="s">
        <v>866</v>
      </c>
      <c r="K351" s="28" t="s">
        <v>3907</v>
      </c>
      <c r="P351" s="17">
        <v>1</v>
      </c>
      <c r="CB351" s="278"/>
      <c r="CG351" s="278"/>
      <c r="DZ351" s="19"/>
    </row>
    <row r="352" spans="1:225" x14ac:dyDescent="0.25">
      <c r="A352" s="8" t="s">
        <v>2836</v>
      </c>
      <c r="B352" s="24" t="s">
        <v>2837</v>
      </c>
      <c r="C352" s="25" t="s">
        <v>2835</v>
      </c>
      <c r="E352" s="26" t="s">
        <v>1762</v>
      </c>
      <c r="F352" s="198" t="s">
        <v>2059</v>
      </c>
      <c r="G352" s="198" t="s">
        <v>1700</v>
      </c>
      <c r="H352" s="25" t="s">
        <v>2838</v>
      </c>
      <c r="J352" s="27" t="s">
        <v>866</v>
      </c>
      <c r="R352" s="29" t="s">
        <v>853</v>
      </c>
      <c r="X352" s="84" t="s">
        <v>1700</v>
      </c>
      <c r="Y352" s="84" t="s">
        <v>2367</v>
      </c>
      <c r="AA352" s="84" t="s">
        <v>2839</v>
      </c>
      <c r="AB352" s="84" t="s">
        <v>221</v>
      </c>
      <c r="CB352" s="278">
        <v>41921</v>
      </c>
      <c r="CC352" s="278" t="s">
        <v>853</v>
      </c>
      <c r="CD352" s="279" t="s">
        <v>2840</v>
      </c>
      <c r="CE352" s="8">
        <v>453.8</v>
      </c>
      <c r="CF352" s="279">
        <v>160</v>
      </c>
      <c r="CG352" s="278"/>
      <c r="CH352" s="278"/>
      <c r="CI352" s="279"/>
      <c r="CK352" s="279"/>
      <c r="CL352" s="278"/>
      <c r="CM352" s="278"/>
      <c r="CN352" s="279"/>
      <c r="CP352" s="279"/>
      <c r="CQ352" s="278"/>
      <c r="CR352" s="279"/>
      <c r="CS352" s="279"/>
      <c r="CU352" s="279"/>
      <c r="CV352" s="278"/>
      <c r="CW352" s="279"/>
      <c r="CX352" s="279"/>
      <c r="CZ352" s="279"/>
      <c r="DA352" s="278"/>
      <c r="DB352" s="279"/>
      <c r="DC352" s="279"/>
      <c r="DE352" s="279"/>
      <c r="DF352" s="278"/>
      <c r="DG352" s="279"/>
      <c r="DH352" s="279"/>
      <c r="DJ352" s="279"/>
      <c r="DK352" s="278"/>
      <c r="DL352" s="279"/>
      <c r="DM352" s="279"/>
      <c r="DO352" s="279"/>
      <c r="DP352" s="278"/>
      <c r="DQ352" s="279"/>
      <c r="DR352" s="279"/>
      <c r="DT352" s="279"/>
      <c r="DU352" s="278"/>
      <c r="DV352" s="279"/>
      <c r="DW352" s="279"/>
      <c r="DY352" s="279"/>
    </row>
    <row r="353" spans="1:225" x14ac:dyDescent="0.25">
      <c r="A353" s="8" t="s">
        <v>1445</v>
      </c>
      <c r="B353" s="24" t="s">
        <v>139</v>
      </c>
      <c r="C353" s="25" t="s">
        <v>1155</v>
      </c>
      <c r="D353" s="26">
        <v>26495</v>
      </c>
      <c r="F353" s="198" t="s">
        <v>943</v>
      </c>
      <c r="G353" s="198" t="s">
        <v>1700</v>
      </c>
      <c r="H353" s="25" t="s">
        <v>1700</v>
      </c>
      <c r="J353" s="27" t="s">
        <v>866</v>
      </c>
      <c r="X353" s="84" t="s">
        <v>1700</v>
      </c>
      <c r="Y353" s="84" t="s">
        <v>1158</v>
      </c>
      <c r="AA353" s="84" t="s">
        <v>1164</v>
      </c>
      <c r="AB353" s="84" t="s">
        <v>772</v>
      </c>
      <c r="CB353" s="26"/>
      <c r="CC353" s="26"/>
      <c r="CF353" s="8"/>
      <c r="CG353" s="26"/>
      <c r="CH353" s="8"/>
      <c r="CM353" s="8"/>
      <c r="CR353" s="8"/>
    </row>
    <row r="354" spans="1:225" ht="13.5" x14ac:dyDescent="0.25">
      <c r="A354" s="8" t="s">
        <v>451</v>
      </c>
      <c r="B354" s="24" t="s">
        <v>2975</v>
      </c>
      <c r="D354" s="26">
        <v>22368</v>
      </c>
      <c r="E354" s="26" t="s">
        <v>877</v>
      </c>
      <c r="F354" s="198" t="s">
        <v>1700</v>
      </c>
      <c r="G354" s="198" t="s">
        <v>1700</v>
      </c>
      <c r="H354" s="25" t="s">
        <v>1700</v>
      </c>
      <c r="I354" s="27" t="s">
        <v>3902</v>
      </c>
      <c r="J354" s="27" t="s">
        <v>866</v>
      </c>
      <c r="K354" s="28" t="s">
        <v>817</v>
      </c>
      <c r="R354" s="29" t="s">
        <v>817</v>
      </c>
      <c r="CB354" s="278"/>
      <c r="CD354"/>
      <c r="CG354" s="278"/>
      <c r="CH354" s="278"/>
      <c r="CI354"/>
      <c r="CK354" s="279"/>
      <c r="CL354" s="278"/>
      <c r="CM354" s="278"/>
      <c r="CN354"/>
      <c r="CP354" s="279"/>
      <c r="CQ354"/>
      <c r="CR354"/>
      <c r="CS354"/>
      <c r="CU354"/>
      <c r="CV354"/>
      <c r="CW354"/>
      <c r="CX354"/>
      <c r="CZ354"/>
      <c r="DA354"/>
      <c r="DB354"/>
      <c r="DC354"/>
      <c r="DE354"/>
      <c r="DF354"/>
      <c r="DG354"/>
      <c r="DH354"/>
      <c r="DJ354"/>
      <c r="DK354"/>
      <c r="DL354"/>
      <c r="DM354"/>
      <c r="DO354"/>
      <c r="DP354"/>
      <c r="DQ354"/>
      <c r="DR354"/>
      <c r="DT354"/>
      <c r="DU354"/>
      <c r="DV354"/>
      <c r="DW354"/>
      <c r="DY354"/>
    </row>
    <row r="355" spans="1:225" x14ac:dyDescent="0.25">
      <c r="A355" s="8" t="s">
        <v>451</v>
      </c>
      <c r="B355" s="24" t="s">
        <v>1626</v>
      </c>
      <c r="C355" s="25" t="s">
        <v>452</v>
      </c>
      <c r="D355" s="26">
        <v>22452</v>
      </c>
      <c r="E355" s="26" t="s">
        <v>1762</v>
      </c>
      <c r="F355" s="198" t="s">
        <v>1467</v>
      </c>
      <c r="G355" s="198" t="s">
        <v>1700</v>
      </c>
      <c r="H355" s="25" t="s">
        <v>1700</v>
      </c>
      <c r="I355" s="27" t="s">
        <v>3902</v>
      </c>
      <c r="J355" s="27" t="s">
        <v>866</v>
      </c>
      <c r="K355" s="28" t="s">
        <v>817</v>
      </c>
      <c r="R355" s="29" t="s">
        <v>817</v>
      </c>
      <c r="X355" s="84" t="s">
        <v>1700</v>
      </c>
      <c r="Y355" s="84" t="s">
        <v>1963</v>
      </c>
      <c r="AA355" s="84" t="s">
        <v>458</v>
      </c>
      <c r="AB355" s="84" t="s">
        <v>1749</v>
      </c>
      <c r="CB355" s="26"/>
      <c r="CC355" s="26"/>
      <c r="CF355" s="8"/>
      <c r="CG355" s="26"/>
      <c r="CH355" s="8"/>
      <c r="CM355" s="8"/>
      <c r="CR355" s="8"/>
    </row>
    <row r="356" spans="1:225" x14ac:dyDescent="0.25">
      <c r="A356" s="8" t="s">
        <v>692</v>
      </c>
      <c r="B356" s="24" t="s">
        <v>875</v>
      </c>
      <c r="C356" s="25" t="s">
        <v>693</v>
      </c>
      <c r="E356" s="26" t="s">
        <v>1762</v>
      </c>
      <c r="F356" s="198" t="s">
        <v>710</v>
      </c>
      <c r="G356" s="198" t="s">
        <v>1700</v>
      </c>
      <c r="H356" s="25" t="s">
        <v>2684</v>
      </c>
      <c r="I356" s="27" t="s">
        <v>3904</v>
      </c>
      <c r="J356" s="27" t="s">
        <v>866</v>
      </c>
      <c r="K356" s="28" t="s">
        <v>853</v>
      </c>
      <c r="R356" s="29" t="s">
        <v>853</v>
      </c>
      <c r="W356" s="93">
        <v>109</v>
      </c>
      <c r="X356" s="84" t="s">
        <v>1700</v>
      </c>
      <c r="Y356" s="84" t="s">
        <v>791</v>
      </c>
      <c r="AA356" s="84" t="s">
        <v>711</v>
      </c>
      <c r="AB356" s="84" t="s">
        <v>126</v>
      </c>
      <c r="AC356" s="26">
        <v>42360</v>
      </c>
      <c r="AD356" s="26" t="s">
        <v>853</v>
      </c>
      <c r="AE356" s="8" t="s">
        <v>4562</v>
      </c>
      <c r="AF356" s="8">
        <v>219</v>
      </c>
      <c r="AG356" s="8">
        <v>109</v>
      </c>
      <c r="CA356" s="19"/>
      <c r="CB356" s="26">
        <v>41921</v>
      </c>
      <c r="CC356" s="26" t="s">
        <v>853</v>
      </c>
      <c r="CD356" s="8" t="s">
        <v>2685</v>
      </c>
      <c r="CE356" s="8">
        <v>402</v>
      </c>
      <c r="CF356" s="8">
        <v>160</v>
      </c>
      <c r="CG356" s="26"/>
      <c r="CH356" s="8"/>
      <c r="CM356" s="8"/>
      <c r="CR356" s="8"/>
      <c r="EB356" s="19"/>
      <c r="EC356" s="19"/>
      <c r="ED356" s="19"/>
      <c r="EE356" s="19"/>
      <c r="EF356" s="19"/>
      <c r="EG356" s="19"/>
      <c r="EH356" s="19"/>
      <c r="EI356" s="19"/>
      <c r="EJ356" s="19"/>
      <c r="EK356" s="19"/>
      <c r="EL356" s="19"/>
      <c r="EN356" s="19"/>
      <c r="EO356" s="19"/>
      <c r="EP356" s="19"/>
      <c r="EQ356" s="19"/>
      <c r="ER356" s="19"/>
      <c r="ES356" s="19"/>
      <c r="ET356" s="19"/>
      <c r="EU356" s="19"/>
      <c r="EV356" s="19"/>
      <c r="EW356" s="19"/>
      <c r="EX356" s="19"/>
      <c r="EZ356" s="19"/>
      <c r="FA356" s="19"/>
      <c r="FB356" s="19"/>
      <c r="FC356" s="19"/>
      <c r="FD356" s="19"/>
      <c r="FE356" s="19"/>
      <c r="FF356" s="19"/>
      <c r="FG356" s="19"/>
      <c r="FH356" s="19"/>
      <c r="FI356" s="19"/>
      <c r="FJ356" s="19"/>
      <c r="FL356" s="19"/>
      <c r="FM356" s="19"/>
      <c r="FN356" s="19"/>
      <c r="FO356" s="19"/>
      <c r="FP356" s="19"/>
      <c r="FQ356" s="19"/>
      <c r="FR356" s="19"/>
      <c r="FS356" s="19"/>
      <c r="FT356" s="19"/>
      <c r="FU356" s="19"/>
      <c r="FV356" s="19"/>
      <c r="FX356" s="19"/>
      <c r="FY356" s="19"/>
      <c r="FZ356" s="19"/>
      <c r="GA356" s="19"/>
      <c r="GB356" s="19"/>
      <c r="GC356" s="19"/>
      <c r="GD356" s="19"/>
      <c r="GE356" s="19"/>
      <c r="GF356" s="19"/>
      <c r="GG356" s="19"/>
      <c r="GH356" s="19"/>
      <c r="GJ356" s="19"/>
      <c r="GK356" s="19"/>
      <c r="GL356" s="19"/>
      <c r="GM356" s="19"/>
      <c r="GN356" s="19"/>
      <c r="GO356" s="19"/>
      <c r="GP356" s="19"/>
      <c r="GQ356" s="19"/>
      <c r="GR356" s="19"/>
      <c r="GS356" s="19"/>
      <c r="GT356" s="19"/>
      <c r="GV356" s="19"/>
      <c r="GW356" s="19"/>
      <c r="GX356" s="19"/>
      <c r="GY356" s="19"/>
      <c r="GZ356" s="19"/>
      <c r="HA356" s="19"/>
      <c r="HB356" s="19"/>
      <c r="HC356" s="19"/>
      <c r="HD356" s="19"/>
      <c r="HE356" s="19"/>
      <c r="HF356" s="19"/>
      <c r="HH356" s="19"/>
      <c r="HI356" s="19"/>
      <c r="HJ356" s="19"/>
      <c r="HK356" s="19"/>
      <c r="HL356" s="19"/>
      <c r="HM356" s="19"/>
      <c r="HN356" s="19"/>
      <c r="HO356" s="19"/>
      <c r="HP356" s="19"/>
      <c r="HQ356" s="19"/>
    </row>
    <row r="357" spans="1:225" x14ac:dyDescent="0.25">
      <c r="A357" s="8" t="s">
        <v>1414</v>
      </c>
      <c r="B357" s="24" t="s">
        <v>969</v>
      </c>
      <c r="C357" s="25" t="s">
        <v>2191</v>
      </c>
      <c r="E357" s="26" t="s">
        <v>1762</v>
      </c>
      <c r="F357" s="198" t="s">
        <v>1700</v>
      </c>
      <c r="G357" s="198" t="s">
        <v>1700</v>
      </c>
      <c r="H357" s="25" t="s">
        <v>1700</v>
      </c>
      <c r="J357" s="27" t="s">
        <v>866</v>
      </c>
      <c r="X357" s="84" t="s">
        <v>1700</v>
      </c>
      <c r="Y357" s="84" t="s">
        <v>2192</v>
      </c>
      <c r="AA357" s="84" t="s">
        <v>2194</v>
      </c>
      <c r="AB357" s="84" t="s">
        <v>1749</v>
      </c>
      <c r="CB357" s="26"/>
      <c r="CC357" s="26"/>
      <c r="CF357" s="8"/>
      <c r="CG357" s="26"/>
      <c r="CH357" s="8"/>
      <c r="CM357" s="8"/>
      <c r="CR357" s="8"/>
      <c r="DZ357" s="19"/>
    </row>
    <row r="358" spans="1:225" ht="13.5" x14ac:dyDescent="0.25">
      <c r="A358" s="8" t="s">
        <v>57</v>
      </c>
      <c r="B358" s="24" t="s">
        <v>1433</v>
      </c>
      <c r="E358" s="26" t="s">
        <v>1762</v>
      </c>
      <c r="F358" s="198" t="s">
        <v>852</v>
      </c>
      <c r="G358" s="198" t="s">
        <v>1700</v>
      </c>
      <c r="H358" s="25" t="s">
        <v>1700</v>
      </c>
      <c r="J358" s="27" t="s">
        <v>866</v>
      </c>
      <c r="CB358" s="278"/>
      <c r="CD358"/>
      <c r="CE358" s="19"/>
      <c r="CG358" s="278"/>
      <c r="CH358" s="278"/>
      <c r="CI358"/>
      <c r="CJ358" s="19"/>
      <c r="CK358" s="279"/>
      <c r="CL358" s="278"/>
      <c r="CM358" s="278"/>
      <c r="CN358"/>
      <c r="CO358" s="19"/>
      <c r="CP358" s="279"/>
      <c r="CQ358"/>
      <c r="CR358"/>
      <c r="CS358"/>
      <c r="CT358" s="19"/>
      <c r="CU358"/>
      <c r="CV358"/>
      <c r="CW358"/>
      <c r="CX358"/>
      <c r="CY358" s="19"/>
      <c r="CZ358"/>
      <c r="DA358"/>
      <c r="DB358"/>
      <c r="DC358"/>
      <c r="DD358" s="19"/>
      <c r="DE358"/>
      <c r="DF358"/>
      <c r="DG358"/>
      <c r="DH358"/>
      <c r="DI358" s="19"/>
      <c r="DJ358"/>
      <c r="DK358"/>
      <c r="DL358"/>
      <c r="DM358"/>
      <c r="DN358" s="19"/>
      <c r="DO358"/>
      <c r="DP358"/>
      <c r="DQ358"/>
      <c r="DR358"/>
      <c r="DS358" s="19"/>
      <c r="DT358"/>
      <c r="DU358"/>
      <c r="DV358"/>
      <c r="DW358"/>
      <c r="DX358" s="19"/>
      <c r="DY358"/>
      <c r="EB358" s="19"/>
      <c r="EC358" s="19"/>
      <c r="ED358" s="19"/>
      <c r="EE358" s="19"/>
      <c r="EF358" s="19"/>
      <c r="EG358" s="19"/>
      <c r="EH358" s="19"/>
      <c r="EI358" s="19"/>
      <c r="EJ358" s="19"/>
      <c r="EK358" s="19"/>
      <c r="EL358" s="19"/>
      <c r="EN358" s="19"/>
      <c r="EO358" s="19"/>
      <c r="EP358" s="19"/>
      <c r="EQ358" s="19"/>
      <c r="ER358" s="19"/>
      <c r="ES358" s="19"/>
      <c r="ET358" s="19"/>
      <c r="EU358" s="19"/>
      <c r="EV358" s="19"/>
      <c r="EW358" s="19"/>
      <c r="EX358" s="19"/>
      <c r="EZ358" s="19"/>
      <c r="FA358" s="19"/>
      <c r="FB358" s="19"/>
      <c r="FC358" s="19"/>
      <c r="FD358" s="19"/>
      <c r="FE358" s="19"/>
      <c r="FF358" s="19"/>
      <c r="FG358" s="19"/>
      <c r="FH358" s="19"/>
      <c r="FI358" s="19"/>
      <c r="FJ358" s="19"/>
      <c r="FL358" s="19"/>
      <c r="FM358" s="19"/>
      <c r="FN358" s="19"/>
      <c r="FO358" s="19"/>
      <c r="FP358" s="19"/>
      <c r="FQ358" s="19"/>
      <c r="FR358" s="19"/>
      <c r="FS358" s="19"/>
      <c r="FT358" s="19"/>
      <c r="FU358" s="19"/>
      <c r="FV358" s="19"/>
      <c r="FX358" s="19"/>
      <c r="FY358" s="19"/>
      <c r="FZ358" s="19"/>
      <c r="GA358" s="19"/>
      <c r="GB358" s="19"/>
      <c r="GC358" s="19"/>
      <c r="GD358" s="19"/>
      <c r="GE358" s="19"/>
      <c r="GF358" s="19"/>
      <c r="GG358" s="19"/>
      <c r="GH358" s="19"/>
      <c r="GJ358" s="19"/>
      <c r="GK358" s="19"/>
      <c r="GL358" s="19"/>
      <c r="GM358" s="19"/>
      <c r="GN358" s="19"/>
      <c r="GO358" s="19"/>
      <c r="GP358" s="19"/>
      <c r="GQ358" s="19"/>
      <c r="GR358" s="19"/>
      <c r="GS358" s="19"/>
      <c r="GT358" s="19"/>
      <c r="GV358" s="19"/>
      <c r="GW358" s="19"/>
      <c r="GX358" s="19"/>
      <c r="GY358" s="19"/>
      <c r="GZ358" s="19"/>
      <c r="HA358" s="19"/>
      <c r="HB358" s="19"/>
      <c r="HC358" s="19"/>
      <c r="HD358" s="19"/>
      <c r="HE358" s="19"/>
      <c r="HF358" s="19"/>
      <c r="HH358" s="19"/>
      <c r="HI358" s="19"/>
      <c r="HJ358" s="19"/>
      <c r="HK358" s="19"/>
      <c r="HL358" s="19"/>
      <c r="HM358" s="19"/>
      <c r="HN358" s="19"/>
      <c r="HO358" s="19"/>
      <c r="HP358" s="19"/>
      <c r="HQ358" s="19"/>
    </row>
    <row r="359" spans="1:225" x14ac:dyDescent="0.25">
      <c r="A359" s="8" t="s">
        <v>1174</v>
      </c>
      <c r="B359" s="24" t="s">
        <v>951</v>
      </c>
      <c r="C359" s="25" t="s">
        <v>1175</v>
      </c>
      <c r="E359" s="26" t="s">
        <v>1762</v>
      </c>
      <c r="F359" s="198" t="s">
        <v>1849</v>
      </c>
      <c r="G359" s="198" t="s">
        <v>1700</v>
      </c>
      <c r="H359" s="25" t="s">
        <v>1700</v>
      </c>
      <c r="J359" s="27" t="s">
        <v>866</v>
      </c>
      <c r="X359" s="84" t="s">
        <v>1700</v>
      </c>
      <c r="Y359" s="84" t="s">
        <v>59</v>
      </c>
      <c r="AA359" s="84" t="s">
        <v>1176</v>
      </c>
      <c r="AB359" s="84" t="s">
        <v>348</v>
      </c>
      <c r="CB359" s="26"/>
      <c r="CC359" s="26"/>
      <c r="CF359" s="8"/>
      <c r="CG359" s="26"/>
      <c r="CH359" s="8"/>
      <c r="CM359" s="8"/>
      <c r="CR359" s="8"/>
    </row>
    <row r="360" spans="1:225" x14ac:dyDescent="0.25">
      <c r="A360" s="8" t="s">
        <v>307</v>
      </c>
      <c r="B360" s="24" t="s">
        <v>1434</v>
      </c>
      <c r="E360" s="26" t="s">
        <v>1762</v>
      </c>
      <c r="F360" s="198" t="s">
        <v>852</v>
      </c>
      <c r="G360" s="198" t="s">
        <v>1700</v>
      </c>
      <c r="H360" s="25" t="s">
        <v>1700</v>
      </c>
      <c r="J360" s="27" t="s">
        <v>866</v>
      </c>
      <c r="R360" s="29" t="s">
        <v>854</v>
      </c>
      <c r="CB360" s="26"/>
      <c r="CC360" s="26"/>
      <c r="CD360" s="19"/>
      <c r="CE360" s="19"/>
      <c r="CF360" s="19"/>
      <c r="CG360" s="26"/>
      <c r="CH360" s="19"/>
      <c r="CI360" s="19"/>
      <c r="CJ360" s="19"/>
      <c r="CK360" s="19"/>
      <c r="CM360" s="19"/>
      <c r="CN360" s="19"/>
      <c r="CO360" s="19"/>
      <c r="CP360" s="19"/>
      <c r="CR360" s="19"/>
      <c r="CS360" s="19"/>
      <c r="CT360" s="19"/>
      <c r="CU360" s="19"/>
      <c r="CW360" s="19"/>
      <c r="CX360" s="19"/>
      <c r="CY360" s="19"/>
      <c r="CZ360" s="19"/>
      <c r="DB360" s="19"/>
      <c r="DC360" s="19"/>
      <c r="DD360" s="19"/>
      <c r="DE360" s="19"/>
      <c r="DG360" s="19"/>
      <c r="DH360" s="19"/>
      <c r="DI360" s="19"/>
      <c r="DJ360" s="19"/>
      <c r="DL360" s="19"/>
      <c r="DM360" s="19"/>
      <c r="DN360" s="19"/>
      <c r="DO360" s="19"/>
      <c r="DQ360" s="19"/>
      <c r="DR360" s="19"/>
      <c r="DS360" s="19"/>
      <c r="DT360" s="19"/>
      <c r="DV360" s="19"/>
      <c r="DW360" s="19"/>
      <c r="DX360" s="19"/>
      <c r="DY360" s="19"/>
    </row>
    <row r="361" spans="1:225" x14ac:dyDescent="0.25">
      <c r="A361" s="8" t="s">
        <v>1159</v>
      </c>
      <c r="B361" s="24" t="s">
        <v>926</v>
      </c>
      <c r="F361" s="198" t="s">
        <v>1700</v>
      </c>
      <c r="G361" s="198" t="s">
        <v>1700</v>
      </c>
      <c r="H361" s="25" t="s">
        <v>1700</v>
      </c>
      <c r="I361" s="27" t="s">
        <v>3893</v>
      </c>
      <c r="J361" s="27" t="s">
        <v>866</v>
      </c>
      <c r="K361" s="28" t="s">
        <v>816</v>
      </c>
      <c r="R361" s="29" t="s">
        <v>816</v>
      </c>
      <c r="CB361" s="26"/>
      <c r="CC361" s="26"/>
      <c r="CF361" s="8"/>
      <c r="CG361" s="26"/>
      <c r="CH361" s="8"/>
      <c r="CM361" s="8"/>
      <c r="CR361" s="8"/>
    </row>
    <row r="362" spans="1:225" x14ac:dyDescent="0.25">
      <c r="A362" s="8" t="s">
        <v>635</v>
      </c>
      <c r="B362" s="24" t="s">
        <v>636</v>
      </c>
      <c r="C362" s="25" t="s">
        <v>1984</v>
      </c>
      <c r="E362" s="26" t="s">
        <v>1762</v>
      </c>
      <c r="F362" s="198" t="s">
        <v>637</v>
      </c>
      <c r="G362" s="198" t="s">
        <v>1700</v>
      </c>
      <c r="H362" s="25" t="s">
        <v>1700</v>
      </c>
      <c r="I362" s="27" t="s">
        <v>3904</v>
      </c>
      <c r="J362" s="27" t="s">
        <v>866</v>
      </c>
      <c r="K362" s="28" t="s">
        <v>3907</v>
      </c>
      <c r="P362" s="17">
        <v>1</v>
      </c>
      <c r="Q362" s="93"/>
      <c r="R362" s="28" t="s">
        <v>889</v>
      </c>
      <c r="S362" s="29"/>
      <c r="T362" s="29"/>
      <c r="U362" s="29"/>
      <c r="V362" s="29"/>
      <c r="X362" s="84" t="s">
        <v>1700</v>
      </c>
      <c r="Y362" s="84" t="s">
        <v>638</v>
      </c>
      <c r="AA362" s="84" t="s">
        <v>999</v>
      </c>
      <c r="AB362" s="84" t="s">
        <v>126</v>
      </c>
      <c r="CB362" s="26"/>
      <c r="CC362" s="26"/>
      <c r="CF362" s="8"/>
      <c r="CG362" s="26"/>
      <c r="CH362" s="8"/>
      <c r="CM362" s="8"/>
      <c r="CR362" s="8"/>
    </row>
    <row r="363" spans="1:225" x14ac:dyDescent="0.25">
      <c r="A363" s="8" t="s">
        <v>2830</v>
      </c>
      <c r="B363" s="24" t="s">
        <v>2831</v>
      </c>
      <c r="C363" s="25" t="s">
        <v>2829</v>
      </c>
      <c r="E363" s="26" t="s">
        <v>1762</v>
      </c>
      <c r="F363" s="198" t="s">
        <v>1201</v>
      </c>
      <c r="G363" s="198" t="s">
        <v>1700</v>
      </c>
      <c r="H363" s="25" t="s">
        <v>2832</v>
      </c>
      <c r="I363" s="27" t="s">
        <v>3896</v>
      </c>
      <c r="J363" s="27" t="s">
        <v>866</v>
      </c>
      <c r="K363" s="28" t="s">
        <v>853</v>
      </c>
      <c r="R363" s="29" t="s">
        <v>853</v>
      </c>
      <c r="W363" s="93">
        <v>160</v>
      </c>
      <c r="X363" s="84" t="s">
        <v>1700</v>
      </c>
      <c r="Y363" s="84" t="s">
        <v>2499</v>
      </c>
      <c r="AA363" s="84" t="s">
        <v>2833</v>
      </c>
      <c r="AB363" s="84" t="s">
        <v>126</v>
      </c>
      <c r="AC363" s="26">
        <v>42493</v>
      </c>
      <c r="AD363" s="26" t="s">
        <v>853</v>
      </c>
      <c r="AE363" s="8" t="s">
        <v>4787</v>
      </c>
      <c r="AF363" s="8">
        <v>329.4</v>
      </c>
      <c r="AG363" s="8">
        <v>160</v>
      </c>
      <c r="CB363" s="278">
        <v>41921</v>
      </c>
      <c r="CC363" s="278" t="s">
        <v>853</v>
      </c>
      <c r="CD363" s="279" t="s">
        <v>2834</v>
      </c>
      <c r="CE363" s="8">
        <v>639</v>
      </c>
      <c r="CF363" s="279">
        <v>160</v>
      </c>
      <c r="CG363" s="278"/>
      <c r="CH363" s="278"/>
      <c r="CI363" s="279"/>
      <c r="CK363" s="279"/>
      <c r="CL363" s="278"/>
      <c r="CM363" s="278"/>
      <c r="CN363" s="279"/>
      <c r="CP363" s="279"/>
      <c r="CQ363" s="278"/>
      <c r="CR363" s="279"/>
      <c r="CS363" s="279"/>
      <c r="CU363" s="279"/>
      <c r="CV363" s="278"/>
      <c r="CW363" s="279"/>
      <c r="CX363" s="279"/>
      <c r="CZ363" s="279"/>
      <c r="DA363" s="278"/>
      <c r="DB363" s="279"/>
      <c r="DC363" s="279"/>
      <c r="DE363" s="279"/>
      <c r="DF363" s="278"/>
      <c r="DG363" s="279"/>
      <c r="DH363" s="279"/>
      <c r="DJ363" s="279"/>
      <c r="DK363" s="278"/>
      <c r="DL363" s="279"/>
      <c r="DM363" s="279"/>
      <c r="DO363" s="279"/>
      <c r="DP363" s="279"/>
      <c r="DQ363" s="279"/>
      <c r="DR363" s="279"/>
      <c r="DT363" s="279"/>
      <c r="DU363" s="279"/>
      <c r="DV363" s="279"/>
      <c r="DW363" s="279"/>
      <c r="DY363" s="279"/>
    </row>
    <row r="364" spans="1:225" x14ac:dyDescent="0.25">
      <c r="A364" s="8" t="s">
        <v>4602</v>
      </c>
      <c r="B364" s="24" t="s">
        <v>952</v>
      </c>
      <c r="E364" s="26" t="s">
        <v>1762</v>
      </c>
      <c r="F364" s="198" t="s">
        <v>1700</v>
      </c>
      <c r="G364" s="198" t="s">
        <v>1700</v>
      </c>
      <c r="H364" s="25" t="s">
        <v>1700</v>
      </c>
      <c r="I364" s="27" t="s">
        <v>3903</v>
      </c>
      <c r="J364" s="27" t="s">
        <v>866</v>
      </c>
      <c r="K364" s="28" t="s">
        <v>385</v>
      </c>
      <c r="CB364" s="278"/>
      <c r="CG364" s="278"/>
    </row>
    <row r="365" spans="1:225" x14ac:dyDescent="0.25">
      <c r="A365" s="8" t="s">
        <v>3909</v>
      </c>
      <c r="B365" s="24" t="s">
        <v>2145</v>
      </c>
      <c r="F365" s="198" t="s">
        <v>3910</v>
      </c>
      <c r="G365" s="198" t="s">
        <v>1700</v>
      </c>
      <c r="H365" s="25" t="s">
        <v>1700</v>
      </c>
      <c r="I365" s="27" t="s">
        <v>3901</v>
      </c>
      <c r="J365" s="27" t="s">
        <v>866</v>
      </c>
      <c r="K365" s="28" t="s">
        <v>851</v>
      </c>
      <c r="CB365" s="278"/>
      <c r="CG365" s="278"/>
    </row>
    <row r="366" spans="1:225" x14ac:dyDescent="0.25">
      <c r="A366" s="8" t="s">
        <v>4188</v>
      </c>
      <c r="B366" s="24" t="s">
        <v>1655</v>
      </c>
      <c r="C366" s="25" t="s">
        <v>4187</v>
      </c>
      <c r="E366" s="26" t="s">
        <v>1762</v>
      </c>
      <c r="F366" s="198" t="s">
        <v>1317</v>
      </c>
      <c r="G366" s="198" t="s">
        <v>1700</v>
      </c>
      <c r="H366" s="25" t="s">
        <v>4189</v>
      </c>
      <c r="I366" s="27" t="s">
        <v>3902</v>
      </c>
      <c r="J366" s="27" t="s">
        <v>866</v>
      </c>
      <c r="K366" s="28" t="s">
        <v>853</v>
      </c>
      <c r="W366" s="93">
        <v>56</v>
      </c>
      <c r="X366" s="84" t="s">
        <v>1700</v>
      </c>
      <c r="Y366" s="84" t="s">
        <v>4190</v>
      </c>
      <c r="AA366" s="84" t="s">
        <v>4191</v>
      </c>
      <c r="AB366" s="84" t="s">
        <v>126</v>
      </c>
      <c r="AC366" s="26">
        <v>42313</v>
      </c>
      <c r="AD366" s="26" t="s">
        <v>853</v>
      </c>
      <c r="AE366" s="8" t="s">
        <v>4192</v>
      </c>
      <c r="AF366" s="8">
        <v>112</v>
      </c>
      <c r="AG366" s="8">
        <v>56</v>
      </c>
      <c r="CB366" s="278"/>
      <c r="CG366" s="278"/>
    </row>
    <row r="367" spans="1:225" x14ac:dyDescent="0.25">
      <c r="A367" s="8" t="s">
        <v>2140</v>
      </c>
      <c r="B367" s="24" t="s">
        <v>184</v>
      </c>
      <c r="C367" s="25" t="s">
        <v>3037</v>
      </c>
      <c r="E367" s="26" t="s">
        <v>1762</v>
      </c>
      <c r="F367" s="198" t="s">
        <v>927</v>
      </c>
      <c r="G367" s="198" t="s">
        <v>1700</v>
      </c>
      <c r="H367" s="25" t="s">
        <v>1700</v>
      </c>
      <c r="I367" s="27" t="s">
        <v>3901</v>
      </c>
      <c r="J367" s="27" t="s">
        <v>866</v>
      </c>
      <c r="K367" s="28" t="s">
        <v>859</v>
      </c>
      <c r="R367" s="29" t="s">
        <v>859</v>
      </c>
      <c r="W367" s="93">
        <v>280</v>
      </c>
      <c r="X367" s="84" t="s">
        <v>1700</v>
      </c>
      <c r="Y367" s="84" t="s">
        <v>1113</v>
      </c>
      <c r="AA367" s="84" t="s">
        <v>3240</v>
      </c>
      <c r="AB367" s="84" t="s">
        <v>670</v>
      </c>
      <c r="AC367" s="26">
        <v>42313</v>
      </c>
      <c r="AD367" s="26" t="s">
        <v>859</v>
      </c>
      <c r="AE367" s="8" t="s">
        <v>4099</v>
      </c>
      <c r="AF367" s="8">
        <v>624</v>
      </c>
      <c r="AG367" s="8">
        <v>280</v>
      </c>
      <c r="CB367" s="26">
        <v>41977</v>
      </c>
      <c r="CC367" s="26" t="s">
        <v>859</v>
      </c>
      <c r="CD367" s="8" t="s">
        <v>2612</v>
      </c>
      <c r="CE367" s="8">
        <v>588</v>
      </c>
      <c r="CF367" s="8">
        <v>280</v>
      </c>
      <c r="CG367" s="26"/>
      <c r="CH367" s="8"/>
      <c r="CM367" s="8"/>
      <c r="CR367" s="8"/>
    </row>
    <row r="368" spans="1:225" x14ac:dyDescent="0.25">
      <c r="A368" s="8" t="s">
        <v>161</v>
      </c>
      <c r="B368" s="24" t="s">
        <v>162</v>
      </c>
      <c r="C368" s="25" t="s">
        <v>163</v>
      </c>
      <c r="E368" s="26" t="s">
        <v>1762</v>
      </c>
      <c r="F368" s="198" t="s">
        <v>744</v>
      </c>
      <c r="G368" s="198" t="s">
        <v>1700</v>
      </c>
      <c r="H368" s="25" t="s">
        <v>1700</v>
      </c>
      <c r="I368" s="27" t="s">
        <v>3896</v>
      </c>
      <c r="J368" s="27" t="s">
        <v>866</v>
      </c>
      <c r="K368" s="28" t="s">
        <v>853</v>
      </c>
      <c r="R368" s="29" t="s">
        <v>853</v>
      </c>
      <c r="W368" s="93">
        <v>100</v>
      </c>
      <c r="X368" s="84" t="s">
        <v>1700</v>
      </c>
      <c r="Y368" s="84" t="s">
        <v>261</v>
      </c>
      <c r="AA368" s="84" t="s">
        <v>164</v>
      </c>
      <c r="AB368" s="84" t="s">
        <v>165</v>
      </c>
      <c r="AC368" s="26">
        <v>42545</v>
      </c>
      <c r="AD368" s="26" t="s">
        <v>853</v>
      </c>
      <c r="AE368" s="8" t="s">
        <v>4861</v>
      </c>
      <c r="AF368" s="8">
        <v>201.5</v>
      </c>
      <c r="AG368" s="8">
        <v>100</v>
      </c>
      <c r="CB368" s="26">
        <v>42178</v>
      </c>
      <c r="CC368" s="26" t="s">
        <v>853</v>
      </c>
      <c r="CD368" s="8" t="s">
        <v>3737</v>
      </c>
      <c r="CE368" s="8">
        <v>478.8</v>
      </c>
      <c r="CF368" s="8">
        <v>160</v>
      </c>
      <c r="CG368" s="26"/>
      <c r="CH368" s="8"/>
      <c r="CM368" s="8"/>
      <c r="CR368" s="8"/>
    </row>
    <row r="369" spans="1:225" x14ac:dyDescent="0.25">
      <c r="A369" s="8" t="s">
        <v>1397</v>
      </c>
      <c r="B369" s="24" t="s">
        <v>950</v>
      </c>
      <c r="C369" s="25" t="s">
        <v>1583</v>
      </c>
      <c r="D369" s="26">
        <v>24153</v>
      </c>
      <c r="E369" s="26" t="s">
        <v>1762</v>
      </c>
      <c r="F369" s="198" t="s">
        <v>927</v>
      </c>
      <c r="G369" s="198" t="s">
        <v>1866</v>
      </c>
      <c r="H369" s="25" t="s">
        <v>1401</v>
      </c>
      <c r="I369" s="27" t="s">
        <v>3901</v>
      </c>
      <c r="J369" s="27" t="s">
        <v>866</v>
      </c>
      <c r="K369" s="28" t="s">
        <v>856</v>
      </c>
      <c r="Q369" s="93"/>
      <c r="R369" s="28" t="s">
        <v>856</v>
      </c>
      <c r="S369" s="29"/>
      <c r="T369" s="29"/>
      <c r="U369" s="29"/>
      <c r="V369" s="29"/>
      <c r="W369" s="95"/>
      <c r="X369" s="86"/>
      <c r="Y369" s="86"/>
      <c r="Z369" s="86"/>
      <c r="AE369" s="19"/>
      <c r="AF369" s="19"/>
      <c r="AG369" s="19"/>
      <c r="AI369" s="19"/>
      <c r="AJ369" s="19"/>
      <c r="AK369" s="19"/>
      <c r="AL369" s="19"/>
      <c r="AN369" s="19"/>
      <c r="AO369" s="19"/>
      <c r="AP369" s="19"/>
      <c r="AQ369" s="19"/>
      <c r="AS369" s="19"/>
      <c r="AT369" s="19"/>
      <c r="AU369" s="19"/>
      <c r="AV369" s="19"/>
      <c r="AX369" s="19"/>
      <c r="AY369" s="19"/>
      <c r="AZ369" s="19"/>
      <c r="BA369" s="19"/>
      <c r="BC369" s="19"/>
      <c r="BD369" s="19"/>
      <c r="BE369" s="19"/>
      <c r="BF369" s="19"/>
      <c r="BH369" s="19"/>
      <c r="BI369" s="19"/>
      <c r="BJ369" s="19"/>
      <c r="BK369" s="19"/>
      <c r="BM369" s="19"/>
      <c r="BN369" s="19"/>
      <c r="BO369" s="19"/>
      <c r="BP369" s="19"/>
      <c r="BR369" s="19"/>
      <c r="BS369" s="19"/>
      <c r="BT369" s="19"/>
      <c r="BU369" s="19"/>
      <c r="BW369" s="19"/>
      <c r="BX369" s="19"/>
      <c r="BY369" s="19"/>
      <c r="BZ369" s="19"/>
      <c r="CB369" s="26"/>
      <c r="CC369" s="26"/>
      <c r="CD369" s="19"/>
      <c r="CE369" s="19"/>
      <c r="CF369" s="19"/>
      <c r="CG369" s="26"/>
      <c r="CH369" s="19"/>
      <c r="CI369" s="19"/>
      <c r="CJ369" s="19"/>
      <c r="CK369" s="19"/>
      <c r="CM369" s="19"/>
      <c r="CN369" s="19"/>
      <c r="CO369" s="19"/>
      <c r="CP369" s="19"/>
      <c r="CR369" s="19"/>
      <c r="CS369" s="19"/>
      <c r="CT369" s="19"/>
      <c r="CU369" s="19"/>
      <c r="CW369" s="19"/>
      <c r="CX369" s="19"/>
      <c r="CY369" s="19"/>
      <c r="CZ369" s="19"/>
      <c r="DB369" s="19"/>
      <c r="DC369" s="19"/>
      <c r="DD369" s="19"/>
      <c r="DE369" s="19"/>
      <c r="DG369" s="19"/>
      <c r="DH369" s="19"/>
      <c r="DI369" s="19"/>
      <c r="DJ369" s="19"/>
      <c r="DL369" s="19"/>
      <c r="DM369" s="19"/>
      <c r="DN369" s="19"/>
      <c r="DO369" s="19"/>
      <c r="DQ369" s="19"/>
      <c r="DR369" s="19"/>
      <c r="DS369" s="19"/>
      <c r="DT369" s="19"/>
      <c r="DV369" s="19"/>
      <c r="DW369" s="19"/>
      <c r="DX369" s="19"/>
      <c r="DY369" s="19"/>
      <c r="EB369" s="19"/>
      <c r="EC369" s="19"/>
      <c r="ED369" s="19"/>
      <c r="EE369" s="19"/>
      <c r="EF369" s="19"/>
      <c r="EG369" s="19"/>
      <c r="EH369" s="19"/>
      <c r="EI369" s="19"/>
      <c r="EJ369" s="19"/>
      <c r="EK369" s="19"/>
      <c r="EL369" s="19"/>
      <c r="EN369" s="19"/>
      <c r="EO369" s="19"/>
      <c r="EP369" s="19"/>
      <c r="EQ369" s="19"/>
      <c r="ER369" s="19"/>
      <c r="ES369" s="19"/>
      <c r="ET369" s="19"/>
      <c r="EU369" s="19"/>
      <c r="EV369" s="19"/>
      <c r="EW369" s="19"/>
      <c r="EX369" s="19"/>
      <c r="EZ369" s="19"/>
      <c r="FA369" s="19"/>
      <c r="FB369" s="19"/>
      <c r="FC369" s="19"/>
      <c r="FD369" s="19"/>
      <c r="FE369" s="19"/>
      <c r="FF369" s="19"/>
      <c r="FG369" s="19"/>
      <c r="FH369" s="19"/>
      <c r="FI369" s="19"/>
      <c r="FJ369" s="19"/>
      <c r="FL369" s="19"/>
      <c r="FM369" s="19"/>
      <c r="FN369" s="19"/>
      <c r="FO369" s="19"/>
      <c r="FP369" s="19"/>
      <c r="FQ369" s="19"/>
      <c r="FR369" s="19"/>
      <c r="FS369" s="19"/>
      <c r="FT369" s="19"/>
      <c r="FU369" s="19"/>
      <c r="FV369" s="19"/>
      <c r="FX369" s="19"/>
      <c r="FY369" s="19"/>
      <c r="FZ369" s="19"/>
      <c r="GA369" s="19"/>
      <c r="GB369" s="19"/>
      <c r="GC369" s="19"/>
      <c r="GD369" s="19"/>
      <c r="GE369" s="19"/>
      <c r="GF369" s="19"/>
      <c r="GG369" s="19"/>
      <c r="GH369" s="19"/>
      <c r="GJ369" s="19"/>
      <c r="GK369" s="19"/>
      <c r="GL369" s="19"/>
      <c r="GM369" s="19"/>
      <c r="GN369" s="19"/>
      <c r="GO369" s="19"/>
      <c r="GP369" s="19"/>
      <c r="GQ369" s="19"/>
      <c r="GR369" s="19"/>
      <c r="GS369" s="19"/>
      <c r="GT369" s="19"/>
      <c r="GV369" s="19"/>
      <c r="GW369" s="19"/>
      <c r="GX369" s="19"/>
      <c r="GY369" s="19"/>
      <c r="GZ369" s="19"/>
      <c r="HA369" s="19"/>
      <c r="HB369" s="19"/>
      <c r="HC369" s="19"/>
      <c r="HD369" s="19"/>
      <c r="HE369" s="19"/>
      <c r="HF369" s="19"/>
      <c r="HH369" s="19"/>
      <c r="HI369" s="19"/>
      <c r="HJ369" s="19"/>
      <c r="HK369" s="19"/>
      <c r="HL369" s="19"/>
      <c r="HM369" s="19"/>
      <c r="HN369" s="19"/>
      <c r="HO369" s="19"/>
      <c r="HP369" s="19"/>
      <c r="HQ369" s="19"/>
    </row>
    <row r="370" spans="1:225" x14ac:dyDescent="0.25">
      <c r="A370" s="8" t="s">
        <v>314</v>
      </c>
      <c r="B370" s="24" t="s">
        <v>141</v>
      </c>
      <c r="C370" s="25" t="s">
        <v>315</v>
      </c>
      <c r="E370" s="26" t="s">
        <v>1762</v>
      </c>
      <c r="F370" s="198" t="s">
        <v>884</v>
      </c>
      <c r="G370" s="198" t="s">
        <v>1700</v>
      </c>
      <c r="H370" s="25" t="s">
        <v>1700</v>
      </c>
      <c r="J370" s="27" t="s">
        <v>866</v>
      </c>
      <c r="Q370" s="93"/>
      <c r="R370" s="28"/>
      <c r="S370" s="21"/>
      <c r="T370" s="21"/>
      <c r="U370" s="21"/>
      <c r="V370" s="21"/>
      <c r="X370" s="84" t="s">
        <v>1700</v>
      </c>
      <c r="Y370" s="84" t="s">
        <v>246</v>
      </c>
      <c r="AA370" s="86" t="s">
        <v>1045</v>
      </c>
      <c r="AB370" s="84" t="s">
        <v>126</v>
      </c>
      <c r="CB370" s="26"/>
      <c r="CC370" s="26"/>
      <c r="CF370" s="8"/>
      <c r="CG370" s="26"/>
      <c r="CH370" s="8"/>
      <c r="CM370" s="8"/>
      <c r="CR370" s="8"/>
      <c r="DZ370" s="19"/>
    </row>
    <row r="371" spans="1:225" x14ac:dyDescent="0.25">
      <c r="A371" s="8" t="s">
        <v>1735</v>
      </c>
      <c r="B371" s="24" t="s">
        <v>3743</v>
      </c>
      <c r="C371" s="25" t="s">
        <v>3742</v>
      </c>
      <c r="E371" s="26" t="s">
        <v>1762</v>
      </c>
      <c r="F371" s="198" t="s">
        <v>1448</v>
      </c>
      <c r="G371" s="198" t="s">
        <v>1700</v>
      </c>
      <c r="H371" s="25" t="s">
        <v>3744</v>
      </c>
      <c r="I371" s="27" t="s">
        <v>3898</v>
      </c>
      <c r="J371" s="27" t="s">
        <v>866</v>
      </c>
      <c r="K371" s="28" t="s">
        <v>853</v>
      </c>
      <c r="R371" s="29" t="s">
        <v>853</v>
      </c>
      <c r="W371" s="93">
        <v>160</v>
      </c>
      <c r="X371" s="84" t="s">
        <v>1700</v>
      </c>
      <c r="Y371" s="84" t="s">
        <v>319</v>
      </c>
      <c r="AA371" s="84" t="s">
        <v>4921</v>
      </c>
      <c r="AB371" s="84" t="s">
        <v>302</v>
      </c>
      <c r="AC371" s="26" t="s">
        <v>503</v>
      </c>
      <c r="AD371" s="26" t="s">
        <v>853</v>
      </c>
      <c r="AE371" s="8" t="s">
        <v>4922</v>
      </c>
      <c r="AF371" s="8">
        <v>703</v>
      </c>
      <c r="AG371" s="8">
        <v>160</v>
      </c>
      <c r="CB371" s="278">
        <v>42178</v>
      </c>
      <c r="CC371" s="278" t="s">
        <v>853</v>
      </c>
      <c r="CD371" s="8" t="s">
        <v>3745</v>
      </c>
      <c r="CE371" s="8">
        <v>88.9</v>
      </c>
      <c r="CF371" s="279">
        <v>44</v>
      </c>
      <c r="CG371" s="278">
        <v>42178</v>
      </c>
      <c r="CH371" s="26" t="s">
        <v>853</v>
      </c>
      <c r="CI371" s="8" t="s">
        <v>3746</v>
      </c>
      <c r="CJ371" s="8">
        <v>219.5</v>
      </c>
      <c r="CK371" s="8">
        <v>110</v>
      </c>
    </row>
    <row r="372" spans="1:225" x14ac:dyDescent="0.25">
      <c r="A372" s="8" t="s">
        <v>1967</v>
      </c>
      <c r="B372" s="24" t="s">
        <v>1968</v>
      </c>
      <c r="C372" s="25" t="s">
        <v>1969</v>
      </c>
      <c r="E372" s="26" t="s">
        <v>1762</v>
      </c>
      <c r="F372" s="198" t="s">
        <v>1376</v>
      </c>
      <c r="G372" s="198" t="s">
        <v>1700</v>
      </c>
      <c r="H372" s="25" t="s">
        <v>1700</v>
      </c>
      <c r="I372" s="27" t="s">
        <v>3903</v>
      </c>
      <c r="J372" s="27" t="s">
        <v>866</v>
      </c>
      <c r="K372" s="28" t="s">
        <v>853</v>
      </c>
      <c r="W372" s="93">
        <v>63</v>
      </c>
      <c r="X372" s="84" t="s">
        <v>1700</v>
      </c>
      <c r="Y372" s="84" t="s">
        <v>791</v>
      </c>
      <c r="AA372" s="84" t="s">
        <v>1453</v>
      </c>
      <c r="AB372" s="84" t="s">
        <v>126</v>
      </c>
      <c r="AC372" s="26">
        <v>42360</v>
      </c>
      <c r="AD372" s="8" t="s">
        <v>853</v>
      </c>
      <c r="AE372" s="8" t="s">
        <v>4443</v>
      </c>
      <c r="AF372" s="8">
        <v>126.9</v>
      </c>
      <c r="AG372" s="8">
        <v>63</v>
      </c>
      <c r="BV372" s="8"/>
      <c r="CB372" s="26"/>
      <c r="CC372" s="8"/>
      <c r="CF372" s="8"/>
      <c r="CG372" s="26"/>
      <c r="CH372" s="8"/>
      <c r="CM372" s="8"/>
      <c r="CR372" s="8"/>
      <c r="DU372" s="8"/>
    </row>
    <row r="373" spans="1:225" x14ac:dyDescent="0.25">
      <c r="A373" s="8" t="s">
        <v>1334</v>
      </c>
      <c r="B373" s="24" t="s">
        <v>1335</v>
      </c>
      <c r="C373" s="25" t="s">
        <v>1365</v>
      </c>
      <c r="E373" s="26" t="s">
        <v>1762</v>
      </c>
      <c r="F373" s="198" t="s">
        <v>398</v>
      </c>
      <c r="G373" s="198" t="s">
        <v>1700</v>
      </c>
      <c r="H373" s="25" t="s">
        <v>3769</v>
      </c>
      <c r="I373" s="27" t="s">
        <v>3898</v>
      </c>
      <c r="J373" s="27" t="s">
        <v>866</v>
      </c>
      <c r="K373" s="28" t="s">
        <v>853</v>
      </c>
      <c r="R373" s="29" t="s">
        <v>853</v>
      </c>
      <c r="W373" s="93">
        <v>140</v>
      </c>
      <c r="X373" s="84" t="s">
        <v>1700</v>
      </c>
      <c r="Y373" s="84" t="s">
        <v>791</v>
      </c>
      <c r="AA373" s="84" t="s">
        <v>1366</v>
      </c>
      <c r="AB373" s="84" t="s">
        <v>126</v>
      </c>
      <c r="AC373" s="26" t="s">
        <v>503</v>
      </c>
      <c r="AD373" s="26" t="s">
        <v>853</v>
      </c>
      <c r="AE373" s="8" t="s">
        <v>4924</v>
      </c>
      <c r="AF373" s="8">
        <v>280</v>
      </c>
      <c r="AG373" s="8">
        <v>140</v>
      </c>
      <c r="CB373" s="26">
        <v>42178</v>
      </c>
      <c r="CC373" s="26" t="s">
        <v>853</v>
      </c>
      <c r="CD373" s="8" t="s">
        <v>3770</v>
      </c>
      <c r="CE373" s="8">
        <v>280</v>
      </c>
      <c r="CF373" s="8">
        <v>140</v>
      </c>
      <c r="CG373" s="26"/>
      <c r="CH373" s="8"/>
      <c r="CM373" s="8"/>
      <c r="CR373" s="8"/>
    </row>
    <row r="374" spans="1:225" x14ac:dyDescent="0.25">
      <c r="A374" s="8" t="s">
        <v>1978</v>
      </c>
      <c r="B374" s="24" t="s">
        <v>141</v>
      </c>
      <c r="C374" s="25" t="s">
        <v>1844</v>
      </c>
      <c r="E374" s="26" t="s">
        <v>1762</v>
      </c>
      <c r="F374" s="198" t="s">
        <v>943</v>
      </c>
      <c r="G374" s="198" t="s">
        <v>1700</v>
      </c>
      <c r="H374" s="25" t="s">
        <v>1700</v>
      </c>
      <c r="J374" s="27" t="s">
        <v>866</v>
      </c>
      <c r="X374" s="84" t="s">
        <v>1700</v>
      </c>
      <c r="Y374" s="84" t="s">
        <v>791</v>
      </c>
      <c r="AA374" s="84" t="s">
        <v>1845</v>
      </c>
      <c r="AB374" s="84" t="s">
        <v>126</v>
      </c>
      <c r="CB374" s="26"/>
      <c r="CC374" s="26"/>
      <c r="CF374" s="8"/>
      <c r="CG374" s="26"/>
      <c r="CH374" s="8"/>
      <c r="CM374" s="8"/>
      <c r="CR374" s="8"/>
      <c r="EB374" s="19"/>
      <c r="EC374" s="19"/>
      <c r="ED374" s="19"/>
      <c r="EE374" s="19"/>
      <c r="EF374" s="19"/>
      <c r="EG374" s="19"/>
      <c r="EH374" s="19"/>
      <c r="EI374" s="19"/>
      <c r="EJ374" s="19"/>
      <c r="EK374" s="19"/>
      <c r="EL374" s="19"/>
      <c r="EN374" s="19"/>
      <c r="EO374" s="19"/>
      <c r="EP374" s="19"/>
      <c r="EQ374" s="19"/>
      <c r="ER374" s="19"/>
      <c r="ES374" s="19"/>
      <c r="ET374" s="19"/>
      <c r="EU374" s="19"/>
      <c r="EV374" s="19"/>
      <c r="EW374" s="19"/>
      <c r="EX374" s="19"/>
      <c r="EZ374" s="19"/>
      <c r="FA374" s="19"/>
      <c r="FB374" s="19"/>
      <c r="FC374" s="19"/>
      <c r="FD374" s="19"/>
      <c r="FE374" s="19"/>
      <c r="FF374" s="19"/>
      <c r="FG374" s="19"/>
      <c r="FH374" s="19"/>
      <c r="FI374" s="19"/>
      <c r="FJ374" s="19"/>
      <c r="FL374" s="19"/>
      <c r="FM374" s="19"/>
      <c r="FN374" s="19"/>
      <c r="FO374" s="19"/>
      <c r="FP374" s="19"/>
      <c r="FQ374" s="19"/>
      <c r="FR374" s="19"/>
      <c r="FS374" s="19"/>
      <c r="FT374" s="19"/>
      <c r="FU374" s="19"/>
      <c r="FV374" s="19"/>
      <c r="FX374" s="19"/>
      <c r="FY374" s="19"/>
      <c r="FZ374" s="19"/>
      <c r="GA374" s="19"/>
      <c r="GB374" s="19"/>
      <c r="GC374" s="19"/>
      <c r="GD374" s="19"/>
      <c r="GE374" s="19"/>
      <c r="GF374" s="19"/>
      <c r="GG374" s="19"/>
      <c r="GH374" s="19"/>
      <c r="GJ374" s="19"/>
      <c r="GK374" s="19"/>
      <c r="GL374" s="19"/>
      <c r="GM374" s="19"/>
      <c r="GN374" s="19"/>
      <c r="GO374" s="19"/>
      <c r="GP374" s="19"/>
      <c r="GQ374" s="19"/>
      <c r="GR374" s="19"/>
      <c r="GS374" s="19"/>
      <c r="GT374" s="19"/>
      <c r="GV374" s="19"/>
      <c r="GW374" s="19"/>
      <c r="GX374" s="19"/>
      <c r="GY374" s="19"/>
      <c r="GZ374" s="19"/>
      <c r="HA374" s="19"/>
      <c r="HB374" s="19"/>
      <c r="HC374" s="19"/>
      <c r="HD374" s="19"/>
      <c r="HE374" s="19"/>
      <c r="HF374" s="19"/>
      <c r="HH374" s="19"/>
      <c r="HI374" s="19"/>
      <c r="HJ374" s="19"/>
      <c r="HK374" s="19"/>
      <c r="HL374" s="19"/>
      <c r="HM374" s="19"/>
      <c r="HN374" s="19"/>
      <c r="HO374" s="19"/>
      <c r="HP374" s="19"/>
      <c r="HQ374" s="19"/>
    </row>
    <row r="375" spans="1:225" x14ac:dyDescent="0.25">
      <c r="A375" s="8" t="s">
        <v>1978</v>
      </c>
      <c r="B375" s="24" t="s">
        <v>1707</v>
      </c>
      <c r="C375" s="25" t="s">
        <v>3344</v>
      </c>
      <c r="E375" s="26" t="s">
        <v>1762</v>
      </c>
      <c r="F375" s="198" t="s">
        <v>1700</v>
      </c>
      <c r="G375" s="198" t="s">
        <v>1700</v>
      </c>
      <c r="H375" s="25" t="s">
        <v>1700</v>
      </c>
      <c r="I375" s="27" t="s">
        <v>3901</v>
      </c>
      <c r="J375" s="27" t="s">
        <v>866</v>
      </c>
      <c r="K375" s="28" t="s">
        <v>859</v>
      </c>
      <c r="R375" s="29" t="s">
        <v>859</v>
      </c>
      <c r="W375" s="93">
        <v>280</v>
      </c>
      <c r="X375" s="84" t="s">
        <v>1700</v>
      </c>
      <c r="Y375" s="84" t="s">
        <v>190</v>
      </c>
      <c r="AA375" s="84" t="s">
        <v>3345</v>
      </c>
      <c r="AB375" s="84" t="s">
        <v>126</v>
      </c>
      <c r="AC375" s="26">
        <v>42313</v>
      </c>
      <c r="AD375" s="26" t="s">
        <v>859</v>
      </c>
      <c r="AE375" s="8" t="s">
        <v>4099</v>
      </c>
      <c r="AF375" s="8">
        <v>624</v>
      </c>
      <c r="AG375" s="8">
        <v>280</v>
      </c>
      <c r="CB375" s="278">
        <v>41996</v>
      </c>
      <c r="CC375" s="278" t="s">
        <v>859</v>
      </c>
      <c r="CD375" s="8" t="s">
        <v>3343</v>
      </c>
      <c r="CE375" s="8">
        <v>744</v>
      </c>
      <c r="CF375" s="279">
        <v>280</v>
      </c>
      <c r="CG375" s="278"/>
      <c r="DZ375" s="19"/>
    </row>
    <row r="376" spans="1:225" x14ac:dyDescent="0.25">
      <c r="A376" s="8" t="s">
        <v>3107</v>
      </c>
      <c r="B376" s="24" t="s">
        <v>3108</v>
      </c>
      <c r="E376" s="26" t="s">
        <v>1762</v>
      </c>
      <c r="F376" s="198" t="s">
        <v>1700</v>
      </c>
      <c r="G376" s="198" t="s">
        <v>1700</v>
      </c>
      <c r="H376" s="25" t="s">
        <v>1700</v>
      </c>
      <c r="J376" s="27" t="s">
        <v>866</v>
      </c>
      <c r="R376" s="29" t="s">
        <v>1763</v>
      </c>
      <c r="CA376" s="19"/>
      <c r="CB376" s="278"/>
      <c r="CD376" s="257"/>
      <c r="CE376" s="19"/>
      <c r="CG376" s="278"/>
      <c r="CH376" s="278"/>
      <c r="CI376" s="257"/>
      <c r="CJ376" s="19"/>
      <c r="CK376" s="279"/>
      <c r="CL376" s="278"/>
      <c r="CM376" s="278"/>
      <c r="CN376" s="257"/>
      <c r="CO376" s="19"/>
      <c r="CP376" s="279"/>
      <c r="CQ376" s="278"/>
      <c r="CR376" s="257"/>
      <c r="CS376" s="257"/>
      <c r="CT376" s="19"/>
      <c r="CU376" s="257"/>
      <c r="CV376" s="278"/>
      <c r="CW376" s="257"/>
      <c r="CX376" s="257"/>
      <c r="CY376" s="19"/>
      <c r="CZ376" s="257"/>
      <c r="DA376" s="278"/>
      <c r="DB376" s="257"/>
      <c r="DC376" s="257"/>
      <c r="DD376" s="19"/>
      <c r="DE376" s="257"/>
      <c r="DF376" s="278"/>
      <c r="DG376" s="257"/>
      <c r="DH376" s="257"/>
      <c r="DI376" s="19"/>
      <c r="DJ376" s="257"/>
      <c r="DK376" s="278"/>
      <c r="DL376" s="257"/>
      <c r="DM376" s="257"/>
      <c r="DN376" s="19"/>
      <c r="DO376" s="257"/>
      <c r="DP376" s="278"/>
      <c r="DQ376" s="257"/>
      <c r="DR376" s="257"/>
      <c r="DS376" s="19"/>
      <c r="DT376" s="257"/>
      <c r="DU376" s="278"/>
      <c r="DV376" s="257"/>
      <c r="DW376" s="257"/>
      <c r="DX376" s="19"/>
      <c r="DY376" s="257"/>
    </row>
    <row r="377" spans="1:225" x14ac:dyDescent="0.25">
      <c r="A377" s="8" t="s">
        <v>3118</v>
      </c>
      <c r="B377" s="24" t="s">
        <v>973</v>
      </c>
      <c r="C377" s="25" t="s">
        <v>3117</v>
      </c>
      <c r="E377" s="26" t="s">
        <v>1762</v>
      </c>
      <c r="F377" s="198" t="s">
        <v>946</v>
      </c>
      <c r="G377" s="198" t="s">
        <v>2383</v>
      </c>
      <c r="H377" s="25" t="s">
        <v>3119</v>
      </c>
      <c r="I377" s="27" t="s">
        <v>3901</v>
      </c>
      <c r="J377" s="27" t="s">
        <v>866</v>
      </c>
      <c r="K377" s="28" t="s">
        <v>853</v>
      </c>
      <c r="R377" s="29" t="s">
        <v>853</v>
      </c>
      <c r="W377" s="93">
        <v>79</v>
      </c>
      <c r="X377" s="84" t="s">
        <v>1700</v>
      </c>
      <c r="Y377" s="84" t="s">
        <v>258</v>
      </c>
      <c r="AA377" s="84" t="s">
        <v>3120</v>
      </c>
      <c r="AB377" s="84" t="s">
        <v>1749</v>
      </c>
      <c r="AC377" s="26">
        <v>42299</v>
      </c>
      <c r="AD377" s="26" t="s">
        <v>853</v>
      </c>
      <c r="AE377" s="8" t="s">
        <v>3950</v>
      </c>
      <c r="AF377" s="8">
        <v>159.19999999999999</v>
      </c>
      <c r="AG377" s="8">
        <v>79</v>
      </c>
      <c r="CB377" s="278">
        <v>41977</v>
      </c>
      <c r="CC377" s="278" t="s">
        <v>853</v>
      </c>
      <c r="CD377" s="279" t="s">
        <v>3121</v>
      </c>
      <c r="CE377" s="8">
        <v>158.4</v>
      </c>
      <c r="CF377" s="279">
        <v>80</v>
      </c>
      <c r="CG377" s="278"/>
      <c r="CH377" s="278"/>
      <c r="CI377" s="279"/>
      <c r="CK377" s="279"/>
      <c r="CL377" s="278"/>
      <c r="CM377" s="278"/>
      <c r="CN377" s="279"/>
      <c r="CP377" s="279"/>
      <c r="CQ377" s="278"/>
      <c r="CR377" s="279"/>
      <c r="CS377" s="279"/>
      <c r="CU377" s="279"/>
      <c r="CV377" s="278"/>
      <c r="CW377" s="279"/>
      <c r="CX377" s="279"/>
      <c r="CZ377" s="279"/>
      <c r="DA377" s="278"/>
      <c r="DB377" s="279"/>
      <c r="DC377" s="279"/>
      <c r="DE377" s="279"/>
      <c r="DF377" s="278"/>
      <c r="DG377" s="279"/>
      <c r="DH377" s="279"/>
      <c r="DJ377" s="279"/>
      <c r="DK377" s="278"/>
      <c r="DL377" s="279"/>
      <c r="DM377" s="279"/>
      <c r="DO377" s="279"/>
      <c r="DP377" s="278"/>
      <c r="DQ377" s="279"/>
      <c r="DR377" s="279"/>
      <c r="DT377" s="279"/>
      <c r="DU377" s="278"/>
      <c r="DV377" s="279"/>
      <c r="DW377" s="279"/>
      <c r="DY377" s="279"/>
    </row>
    <row r="378" spans="1:225" x14ac:dyDescent="0.25">
      <c r="A378" s="8" t="s">
        <v>3101</v>
      </c>
      <c r="B378" s="24" t="s">
        <v>2184</v>
      </c>
      <c r="E378" s="26" t="s">
        <v>1762</v>
      </c>
      <c r="F378" s="198" t="s">
        <v>1700</v>
      </c>
      <c r="G378" s="198" t="s">
        <v>1700</v>
      </c>
      <c r="H378" s="25" t="s">
        <v>1700</v>
      </c>
      <c r="J378" s="27" t="s">
        <v>866</v>
      </c>
      <c r="R378" s="29" t="s">
        <v>1763</v>
      </c>
      <c r="CB378" s="26"/>
      <c r="CC378" s="26"/>
      <c r="CF378" s="8"/>
      <c r="CG378" s="26"/>
      <c r="CH378" s="8"/>
      <c r="CM378" s="8"/>
      <c r="CR378" s="8"/>
    </row>
    <row r="379" spans="1:225" x14ac:dyDescent="0.25">
      <c r="A379" s="8" t="s">
        <v>4354</v>
      </c>
      <c r="B379" s="24" t="s">
        <v>876</v>
      </c>
      <c r="C379" s="25" t="s">
        <v>4353</v>
      </c>
      <c r="E379" s="26" t="s">
        <v>1762</v>
      </c>
      <c r="F379" s="198" t="s">
        <v>138</v>
      </c>
      <c r="G379" s="198" t="s">
        <v>1700</v>
      </c>
      <c r="H379" s="25" t="s">
        <v>4355</v>
      </c>
      <c r="I379" s="27" t="s">
        <v>3903</v>
      </c>
      <c r="J379" s="27" t="s">
        <v>866</v>
      </c>
      <c r="K379" s="28" t="s">
        <v>853</v>
      </c>
      <c r="W379" s="93">
        <v>84</v>
      </c>
      <c r="X379" s="84" t="s">
        <v>1700</v>
      </c>
      <c r="Y379" s="84" t="s">
        <v>2499</v>
      </c>
      <c r="AA379" s="84" t="s">
        <v>4356</v>
      </c>
      <c r="AB379" s="84" t="s">
        <v>126</v>
      </c>
      <c r="AC379" s="26">
        <v>42352</v>
      </c>
      <c r="AD379" s="26" t="s">
        <v>853</v>
      </c>
      <c r="AE379" s="8" t="s">
        <v>4357</v>
      </c>
      <c r="AF379" s="8">
        <v>30.5</v>
      </c>
      <c r="AG379" s="8">
        <v>15</v>
      </c>
      <c r="AH379" s="26">
        <v>42360</v>
      </c>
      <c r="AI379" s="8" t="s">
        <v>853</v>
      </c>
      <c r="AJ379" s="8" t="s">
        <v>4527</v>
      </c>
      <c r="AK379" s="8">
        <v>42</v>
      </c>
      <c r="AL379" s="8">
        <v>21</v>
      </c>
      <c r="AM379" s="26">
        <v>42493</v>
      </c>
      <c r="AN379" s="8" t="s">
        <v>853</v>
      </c>
      <c r="AO379" s="8" t="s">
        <v>4799</v>
      </c>
      <c r="AP379" s="8">
        <v>30.5</v>
      </c>
      <c r="AQ379" s="8">
        <v>15</v>
      </c>
      <c r="AR379" s="26" t="s">
        <v>503</v>
      </c>
      <c r="AS379" s="8" t="s">
        <v>853</v>
      </c>
      <c r="AT379" s="8" t="s">
        <v>4527</v>
      </c>
      <c r="AU379" s="8">
        <v>36</v>
      </c>
      <c r="AV379" s="8">
        <v>18</v>
      </c>
      <c r="AW379" s="26" t="s">
        <v>503</v>
      </c>
      <c r="AX379" s="8" t="s">
        <v>853</v>
      </c>
      <c r="AY379" s="8" t="s">
        <v>4923</v>
      </c>
      <c r="AZ379" s="8">
        <v>30.5</v>
      </c>
      <c r="BA379" s="8">
        <v>15</v>
      </c>
      <c r="CB379" s="278"/>
      <c r="CG379" s="278"/>
    </row>
    <row r="380" spans="1:225" x14ac:dyDescent="0.25">
      <c r="A380" s="8" t="s">
        <v>2278</v>
      </c>
      <c r="B380" s="24" t="s">
        <v>875</v>
      </c>
      <c r="C380" s="25" t="s">
        <v>2279</v>
      </c>
      <c r="F380" s="198" t="s">
        <v>1700</v>
      </c>
      <c r="G380" s="198" t="s">
        <v>1700</v>
      </c>
      <c r="H380" s="25" t="s">
        <v>1700</v>
      </c>
      <c r="J380" s="27" t="s">
        <v>866</v>
      </c>
      <c r="CB380" s="26"/>
      <c r="CC380" s="26"/>
      <c r="CF380" s="8"/>
      <c r="CG380" s="26"/>
      <c r="CH380" s="8"/>
      <c r="CM380" s="8"/>
      <c r="CR380" s="8"/>
    </row>
    <row r="381" spans="1:225" x14ac:dyDescent="0.25">
      <c r="A381" s="8" t="s">
        <v>13</v>
      </c>
      <c r="B381" s="24" t="s">
        <v>14</v>
      </c>
      <c r="E381" s="26" t="s">
        <v>1762</v>
      </c>
      <c r="F381" s="198" t="s">
        <v>354</v>
      </c>
      <c r="G381" s="198" t="s">
        <v>1700</v>
      </c>
      <c r="H381" s="25" t="s">
        <v>1700</v>
      </c>
      <c r="J381" s="27" t="s">
        <v>866</v>
      </c>
      <c r="R381" s="29" t="s">
        <v>889</v>
      </c>
      <c r="CB381" s="26"/>
      <c r="CC381" s="26"/>
      <c r="CF381" s="8"/>
      <c r="CG381" s="26"/>
      <c r="CH381" s="8"/>
      <c r="CM381" s="8"/>
      <c r="CR381" s="8"/>
      <c r="EB381" s="19"/>
      <c r="EC381" s="19"/>
      <c r="ED381" s="19"/>
      <c r="EE381" s="19"/>
      <c r="EF381" s="19"/>
      <c r="EG381" s="19"/>
      <c r="EH381" s="19"/>
      <c r="EI381" s="19"/>
      <c r="EJ381" s="19"/>
      <c r="EK381" s="19"/>
      <c r="EL381" s="19"/>
      <c r="EN381" s="19"/>
      <c r="EO381" s="19"/>
      <c r="EP381" s="19"/>
      <c r="EQ381" s="19"/>
      <c r="ER381" s="19"/>
      <c r="ES381" s="19"/>
      <c r="ET381" s="19"/>
      <c r="EU381" s="19"/>
      <c r="EV381" s="19"/>
      <c r="EW381" s="19"/>
      <c r="EX381" s="19"/>
      <c r="EZ381" s="19"/>
      <c r="FA381" s="19"/>
      <c r="FB381" s="19"/>
      <c r="FC381" s="19"/>
      <c r="FD381" s="19"/>
      <c r="FE381" s="19"/>
      <c r="FF381" s="19"/>
      <c r="FG381" s="19"/>
      <c r="FH381" s="19"/>
      <c r="FI381" s="19"/>
      <c r="FJ381" s="19"/>
      <c r="FL381" s="19"/>
      <c r="FM381" s="19"/>
      <c r="FN381" s="19"/>
      <c r="FO381" s="19"/>
      <c r="FP381" s="19"/>
      <c r="FQ381" s="19"/>
      <c r="FR381" s="19"/>
      <c r="FS381" s="19"/>
      <c r="FT381" s="19"/>
      <c r="FU381" s="19"/>
      <c r="FV381" s="19"/>
      <c r="FX381" s="19"/>
      <c r="FY381" s="19"/>
      <c r="FZ381" s="19"/>
      <c r="GA381" s="19"/>
      <c r="GB381" s="19"/>
      <c r="GC381" s="19"/>
      <c r="GD381" s="19"/>
      <c r="GE381" s="19"/>
      <c r="GF381" s="19"/>
      <c r="GG381" s="19"/>
      <c r="GH381" s="19"/>
      <c r="GJ381" s="19"/>
      <c r="GK381" s="19"/>
      <c r="GL381" s="19"/>
      <c r="GM381" s="19"/>
      <c r="GN381" s="19"/>
      <c r="GO381" s="19"/>
      <c r="GP381" s="19"/>
      <c r="GQ381" s="19"/>
      <c r="GR381" s="19"/>
      <c r="GS381" s="19"/>
      <c r="GT381" s="19"/>
      <c r="GV381" s="19"/>
      <c r="GW381" s="19"/>
      <c r="GX381" s="19"/>
      <c r="GY381" s="19"/>
      <c r="GZ381" s="19"/>
      <c r="HA381" s="19"/>
      <c r="HB381" s="19"/>
      <c r="HC381" s="19"/>
      <c r="HD381" s="19"/>
      <c r="HE381" s="19"/>
      <c r="HF381" s="19"/>
      <c r="HH381" s="19"/>
      <c r="HI381" s="19"/>
      <c r="HJ381" s="19"/>
      <c r="HK381" s="19"/>
      <c r="HL381" s="19"/>
      <c r="HM381" s="19"/>
      <c r="HN381" s="19"/>
      <c r="HO381" s="19"/>
      <c r="HP381" s="19"/>
      <c r="HQ381" s="19"/>
    </row>
    <row r="382" spans="1:225" x14ac:dyDescent="0.25">
      <c r="A382" s="8" t="s">
        <v>4252</v>
      </c>
      <c r="B382" s="24" t="s">
        <v>4253</v>
      </c>
      <c r="C382" s="25" t="s">
        <v>4251</v>
      </c>
      <c r="E382" s="26" t="s">
        <v>1762</v>
      </c>
      <c r="F382" s="198" t="s">
        <v>367</v>
      </c>
      <c r="G382" s="198" t="s">
        <v>1700</v>
      </c>
      <c r="H382" s="25" t="s">
        <v>4254</v>
      </c>
      <c r="I382" s="27" t="s">
        <v>3902</v>
      </c>
      <c r="J382" s="27" t="s">
        <v>866</v>
      </c>
      <c r="K382" s="28" t="s">
        <v>853</v>
      </c>
      <c r="W382" s="93">
        <v>160</v>
      </c>
      <c r="X382" s="84" t="s">
        <v>1700</v>
      </c>
      <c r="Y382" s="84" t="s">
        <v>4255</v>
      </c>
      <c r="AA382" s="84" t="s">
        <v>4256</v>
      </c>
      <c r="AB382" s="84" t="s">
        <v>2263</v>
      </c>
      <c r="AC382" s="26">
        <v>42313</v>
      </c>
      <c r="AD382" s="26" t="s">
        <v>853</v>
      </c>
      <c r="AE382" s="8" t="s">
        <v>4088</v>
      </c>
      <c r="AF382" s="8">
        <v>360</v>
      </c>
      <c r="AG382" s="8">
        <v>160</v>
      </c>
      <c r="CB382" s="278"/>
      <c r="CG382" s="278"/>
    </row>
    <row r="383" spans="1:225" x14ac:dyDescent="0.25">
      <c r="A383" s="8" t="s">
        <v>1740</v>
      </c>
      <c r="B383" s="24" t="s">
        <v>253</v>
      </c>
      <c r="C383" s="25" t="s">
        <v>1741</v>
      </c>
      <c r="E383" s="26" t="s">
        <v>1762</v>
      </c>
      <c r="F383" s="198" t="s">
        <v>874</v>
      </c>
      <c r="G383" s="198" t="s">
        <v>1700</v>
      </c>
      <c r="H383" s="25" t="s">
        <v>1700</v>
      </c>
      <c r="J383" s="27" t="s">
        <v>866</v>
      </c>
      <c r="X383" s="84" t="s">
        <v>1700</v>
      </c>
      <c r="Y383" s="84" t="s">
        <v>791</v>
      </c>
      <c r="AA383" s="84" t="s">
        <v>1742</v>
      </c>
      <c r="AB383" s="84" t="s">
        <v>126</v>
      </c>
      <c r="CB383" s="26"/>
      <c r="CC383" s="26"/>
      <c r="CF383" s="8"/>
      <c r="CG383" s="26"/>
      <c r="CH383" s="8"/>
      <c r="CM383" s="8"/>
      <c r="CR383" s="8"/>
      <c r="DZ383" s="279"/>
    </row>
    <row r="384" spans="1:225" ht="13.5" x14ac:dyDescent="0.25">
      <c r="A384" s="8" t="s">
        <v>243</v>
      </c>
      <c r="B384" s="24" t="s">
        <v>244</v>
      </c>
      <c r="C384" s="25" t="s">
        <v>242</v>
      </c>
      <c r="E384" s="26" t="s">
        <v>1762</v>
      </c>
      <c r="F384" s="198" t="s">
        <v>245</v>
      </c>
      <c r="G384" s="198" t="s">
        <v>1700</v>
      </c>
      <c r="H384" s="25" t="s">
        <v>2293</v>
      </c>
      <c r="J384" s="27" t="s">
        <v>866</v>
      </c>
      <c r="Q384" s="95"/>
      <c r="R384" s="17"/>
      <c r="S384" s="13"/>
      <c r="T384" s="13"/>
      <c r="U384" s="21"/>
      <c r="V384" s="21"/>
      <c r="X384" s="84" t="s">
        <v>1700</v>
      </c>
      <c r="Y384" s="84" t="s">
        <v>246</v>
      </c>
      <c r="AA384" s="86" t="s">
        <v>1057</v>
      </c>
      <c r="AB384" s="84" t="s">
        <v>126</v>
      </c>
      <c r="CB384" s="26"/>
      <c r="CC384" s="26"/>
      <c r="CF384" s="8"/>
      <c r="CG384" s="26"/>
      <c r="CH384" s="8"/>
      <c r="CM384" s="8"/>
      <c r="CR384" s="8"/>
      <c r="DZ384"/>
    </row>
    <row r="385" spans="1:225" x14ac:dyDescent="0.25">
      <c r="A385" s="8" t="s">
        <v>344</v>
      </c>
      <c r="B385" s="24" t="s">
        <v>345</v>
      </c>
      <c r="C385" s="25" t="s">
        <v>346</v>
      </c>
      <c r="E385" s="26" t="s">
        <v>1762</v>
      </c>
      <c r="F385" s="198" t="s">
        <v>405</v>
      </c>
      <c r="G385" s="198" t="s">
        <v>1700</v>
      </c>
      <c r="H385" s="25" t="s">
        <v>2379</v>
      </c>
      <c r="J385" s="27" t="s">
        <v>866</v>
      </c>
      <c r="X385" s="84" t="s">
        <v>1700</v>
      </c>
      <c r="Y385" s="84" t="s">
        <v>2377</v>
      </c>
      <c r="AA385" s="84" t="s">
        <v>2378</v>
      </c>
      <c r="AB385" s="84" t="s">
        <v>126</v>
      </c>
      <c r="CB385" s="26"/>
      <c r="CC385" s="26"/>
      <c r="CF385" s="8"/>
      <c r="CG385" s="26"/>
      <c r="CH385" s="8"/>
      <c r="CM385" s="8"/>
      <c r="CR385" s="8"/>
    </row>
    <row r="386" spans="1:225" x14ac:dyDescent="0.25">
      <c r="A386" s="8" t="s">
        <v>1254</v>
      </c>
      <c r="B386" s="24" t="s">
        <v>1255</v>
      </c>
      <c r="C386" s="25" t="s">
        <v>1256</v>
      </c>
      <c r="E386" s="26" t="s">
        <v>1762</v>
      </c>
      <c r="F386" s="198" t="s">
        <v>733</v>
      </c>
      <c r="G386" s="198" t="s">
        <v>1700</v>
      </c>
      <c r="H386" s="25" t="s">
        <v>3382</v>
      </c>
      <c r="I386" s="27" t="s">
        <v>3903</v>
      </c>
      <c r="J386" s="27" t="s">
        <v>866</v>
      </c>
      <c r="K386" s="28" t="s">
        <v>853</v>
      </c>
      <c r="R386" s="29" t="s">
        <v>853</v>
      </c>
      <c r="W386" s="93">
        <v>160</v>
      </c>
      <c r="X386" s="84" t="s">
        <v>1700</v>
      </c>
      <c r="Y386" s="84" t="s">
        <v>195</v>
      </c>
      <c r="AA386" s="84" t="s">
        <v>1257</v>
      </c>
      <c r="AB386" s="84" t="s">
        <v>1462</v>
      </c>
      <c r="AC386" s="26">
        <v>42352</v>
      </c>
      <c r="AD386" s="26" t="s">
        <v>853</v>
      </c>
      <c r="AE386" s="8" t="s">
        <v>4362</v>
      </c>
      <c r="AF386" s="8">
        <v>348</v>
      </c>
      <c r="AG386" s="8">
        <v>160</v>
      </c>
      <c r="CB386" s="26">
        <v>42011</v>
      </c>
      <c r="CC386" s="26" t="s">
        <v>853</v>
      </c>
      <c r="CD386" s="8" t="s">
        <v>3383</v>
      </c>
      <c r="CE386" s="8">
        <v>446</v>
      </c>
      <c r="CF386" s="8">
        <v>160</v>
      </c>
      <c r="CG386" s="26"/>
      <c r="CH386" s="8"/>
      <c r="CM386" s="8"/>
      <c r="CR386" s="8"/>
    </row>
    <row r="387" spans="1:225" x14ac:dyDescent="0.25">
      <c r="A387" s="8" t="s">
        <v>3314</v>
      </c>
      <c r="B387" s="24" t="s">
        <v>3315</v>
      </c>
      <c r="C387" s="25" t="s">
        <v>3313</v>
      </c>
      <c r="E387" s="26" t="s">
        <v>1762</v>
      </c>
      <c r="F387" s="198" t="s">
        <v>3317</v>
      </c>
      <c r="G387" s="198" t="s">
        <v>1700</v>
      </c>
      <c r="H387" s="25" t="s">
        <v>3316</v>
      </c>
      <c r="I387" s="27" t="s">
        <v>3903</v>
      </c>
      <c r="J387" s="27" t="s">
        <v>866</v>
      </c>
      <c r="K387" s="28" t="s">
        <v>853</v>
      </c>
      <c r="R387" s="29" t="s">
        <v>853</v>
      </c>
      <c r="W387" s="93">
        <v>160</v>
      </c>
      <c r="X387" s="84" t="s">
        <v>1700</v>
      </c>
      <c r="Y387" s="84" t="s">
        <v>762</v>
      </c>
      <c r="AA387" s="84" t="s">
        <v>3318</v>
      </c>
      <c r="AB387" s="84" t="s">
        <v>2047</v>
      </c>
      <c r="AC387" s="26">
        <v>42360</v>
      </c>
      <c r="AD387" s="26" t="s">
        <v>853</v>
      </c>
      <c r="AE387" s="8" t="s">
        <v>4525</v>
      </c>
      <c r="AF387" s="8">
        <v>999</v>
      </c>
      <c r="AG387" s="8">
        <v>160</v>
      </c>
      <c r="CB387" s="278">
        <v>41996</v>
      </c>
      <c r="CC387" s="278" t="s">
        <v>853</v>
      </c>
      <c r="CD387" s="8" t="s">
        <v>3319</v>
      </c>
      <c r="CE387" s="8">
        <v>400</v>
      </c>
      <c r="CF387" s="279">
        <v>160</v>
      </c>
      <c r="CG387" s="278"/>
      <c r="CH387" s="278"/>
      <c r="CK387" s="279"/>
      <c r="CL387" s="278"/>
      <c r="CM387" s="278"/>
      <c r="CP387" s="279"/>
    </row>
    <row r="388" spans="1:225" ht="13.5" x14ac:dyDescent="0.25">
      <c r="A388" s="8" t="s">
        <v>1007</v>
      </c>
      <c r="B388" s="24" t="s">
        <v>937</v>
      </c>
      <c r="F388" s="198" t="s">
        <v>1700</v>
      </c>
      <c r="G388" s="198" t="s">
        <v>1700</v>
      </c>
      <c r="H388" s="25" t="s">
        <v>1700</v>
      </c>
      <c r="J388" s="27" t="s">
        <v>866</v>
      </c>
      <c r="CB388" s="278"/>
      <c r="CD388"/>
      <c r="CG388" s="278"/>
      <c r="CH388" s="278"/>
      <c r="CI388"/>
      <c r="CK388" s="279"/>
      <c r="CL388" s="278"/>
      <c r="CM388" s="278"/>
      <c r="CN388"/>
      <c r="CP388" s="279"/>
      <c r="CQ388"/>
      <c r="CR388"/>
      <c r="CS388"/>
      <c r="CU388"/>
      <c r="CV388"/>
      <c r="CW388"/>
      <c r="CX388"/>
      <c r="CZ388"/>
      <c r="DA388"/>
      <c r="DB388"/>
      <c r="DC388"/>
      <c r="DE388"/>
      <c r="DF388"/>
      <c r="DG388"/>
      <c r="DH388"/>
      <c r="DJ388"/>
      <c r="DK388"/>
      <c r="DL388"/>
      <c r="DM388"/>
      <c r="DO388"/>
      <c r="DP388"/>
      <c r="DQ388"/>
      <c r="DR388"/>
      <c r="DT388"/>
      <c r="DU388"/>
      <c r="DV388"/>
      <c r="DW388"/>
      <c r="DY388"/>
    </row>
    <row r="389" spans="1:225" x14ac:dyDescent="0.25">
      <c r="A389" s="19" t="s">
        <v>1696</v>
      </c>
      <c r="B389" s="12" t="s">
        <v>1420</v>
      </c>
      <c r="C389" s="13"/>
      <c r="D389" s="14"/>
      <c r="E389" s="14" t="s">
        <v>877</v>
      </c>
      <c r="F389" s="199" t="s">
        <v>1696</v>
      </c>
      <c r="G389" s="199" t="s">
        <v>872</v>
      </c>
      <c r="H389" s="13" t="s">
        <v>1700</v>
      </c>
      <c r="I389" s="15" t="s">
        <v>3903</v>
      </c>
      <c r="J389" s="15" t="s">
        <v>866</v>
      </c>
      <c r="K389" s="16" t="s">
        <v>385</v>
      </c>
      <c r="L389" s="13" t="s">
        <v>816</v>
      </c>
      <c r="M389" s="13"/>
      <c r="N389" s="21"/>
      <c r="O389" s="21"/>
      <c r="Q389" s="95"/>
      <c r="R389" s="16" t="s">
        <v>816</v>
      </c>
      <c r="S389" s="21"/>
      <c r="T389" s="21"/>
      <c r="U389" s="21"/>
      <c r="V389" s="21"/>
      <c r="W389" s="95"/>
      <c r="X389" s="86"/>
      <c r="Y389" s="86"/>
      <c r="Z389" s="86"/>
      <c r="AA389" s="86"/>
      <c r="AB389" s="86"/>
      <c r="AE389" s="19"/>
      <c r="AF389" s="19"/>
      <c r="AG389" s="19"/>
      <c r="AI389" s="19"/>
      <c r="AJ389" s="19"/>
      <c r="AK389" s="19"/>
      <c r="AL389" s="19"/>
      <c r="AN389" s="19"/>
      <c r="AO389" s="19"/>
      <c r="AP389" s="19"/>
      <c r="AQ389" s="19"/>
      <c r="AS389" s="19"/>
      <c r="AT389" s="19"/>
      <c r="AU389" s="19"/>
      <c r="AV389" s="19"/>
      <c r="AX389" s="19"/>
      <c r="AY389" s="19"/>
      <c r="AZ389" s="19"/>
      <c r="BA389" s="19"/>
      <c r="BC389" s="19"/>
      <c r="BD389" s="19"/>
      <c r="BE389" s="19"/>
      <c r="BF389" s="19"/>
      <c r="BH389" s="19"/>
      <c r="BI389" s="19"/>
      <c r="BJ389" s="19"/>
      <c r="BK389" s="19"/>
      <c r="BM389" s="19"/>
      <c r="BN389" s="19"/>
      <c r="BO389" s="19"/>
      <c r="BP389" s="19"/>
      <c r="BR389" s="19"/>
      <c r="BS389" s="19"/>
      <c r="BT389" s="19"/>
      <c r="BU389" s="19"/>
      <c r="BW389" s="19"/>
      <c r="BX389" s="19"/>
      <c r="BY389" s="19"/>
      <c r="BZ389" s="19"/>
      <c r="CB389" s="26"/>
      <c r="CC389" s="26"/>
      <c r="CF389" s="8"/>
      <c r="CG389" s="26"/>
      <c r="CH389" s="8"/>
      <c r="CM389" s="8"/>
      <c r="CR389" s="8"/>
    </row>
    <row r="390" spans="1:225" x14ac:dyDescent="0.25">
      <c r="A390" s="19" t="s">
        <v>1696</v>
      </c>
      <c r="B390" s="12" t="s">
        <v>872</v>
      </c>
      <c r="C390" s="13" t="s">
        <v>1518</v>
      </c>
      <c r="D390" s="14">
        <v>23548</v>
      </c>
      <c r="E390" s="14" t="s">
        <v>1762</v>
      </c>
      <c r="F390" s="199" t="s">
        <v>354</v>
      </c>
      <c r="G390" s="199" t="s">
        <v>1779</v>
      </c>
      <c r="H390" s="13" t="s">
        <v>1700</v>
      </c>
      <c r="I390" s="20" t="s">
        <v>3902</v>
      </c>
      <c r="J390" s="20" t="s">
        <v>866</v>
      </c>
      <c r="K390" s="17" t="s">
        <v>854</v>
      </c>
      <c r="L390" s="21" t="s">
        <v>385</v>
      </c>
      <c r="M390" s="21" t="s">
        <v>816</v>
      </c>
      <c r="N390" s="21" t="s">
        <v>858</v>
      </c>
      <c r="O390" s="21"/>
      <c r="Q390" s="95"/>
      <c r="R390" s="17" t="s">
        <v>1972</v>
      </c>
      <c r="S390" s="29" t="s">
        <v>858</v>
      </c>
      <c r="T390" s="29" t="s">
        <v>1416</v>
      </c>
      <c r="U390" s="29" t="s">
        <v>854</v>
      </c>
      <c r="V390" s="29" t="s">
        <v>816</v>
      </c>
      <c r="W390" s="95"/>
      <c r="X390" s="86" t="s">
        <v>1700</v>
      </c>
      <c r="Y390" s="86" t="s">
        <v>190</v>
      </c>
      <c r="Z390" s="86"/>
      <c r="AA390" s="84" t="s">
        <v>1519</v>
      </c>
      <c r="AB390" s="84" t="s">
        <v>126</v>
      </c>
      <c r="AD390" s="19"/>
      <c r="AE390" s="19"/>
      <c r="AF390" s="19"/>
      <c r="AG390" s="19"/>
      <c r="AI390" s="19"/>
      <c r="AJ390" s="19"/>
      <c r="AK390" s="19"/>
      <c r="AL390" s="19"/>
      <c r="AN390" s="19"/>
      <c r="AO390" s="19"/>
      <c r="AP390" s="19"/>
      <c r="AQ390" s="19"/>
      <c r="AS390" s="19"/>
      <c r="AT390" s="19"/>
      <c r="AU390" s="19"/>
      <c r="AV390" s="19"/>
      <c r="AX390" s="19"/>
      <c r="AY390" s="19"/>
      <c r="AZ390" s="19"/>
      <c r="BA390" s="19"/>
      <c r="BC390" s="19"/>
      <c r="BD390" s="19"/>
      <c r="BE390" s="19"/>
      <c r="BF390" s="19"/>
      <c r="BH390" s="19"/>
      <c r="BI390" s="19"/>
      <c r="BJ390" s="19"/>
      <c r="BK390" s="19"/>
      <c r="BM390" s="19"/>
      <c r="BN390" s="19"/>
      <c r="BO390" s="19"/>
      <c r="BP390" s="19"/>
      <c r="BR390" s="19"/>
      <c r="BS390" s="19"/>
      <c r="BT390" s="19"/>
      <c r="BU390" s="19"/>
      <c r="BV390" s="8"/>
      <c r="BY390" s="19"/>
      <c r="CB390" s="26"/>
      <c r="CC390" s="19"/>
      <c r="CD390" s="19"/>
      <c r="CE390" s="19"/>
      <c r="CF390" s="19"/>
      <c r="CG390" s="26"/>
      <c r="CH390" s="19"/>
      <c r="CI390" s="19"/>
      <c r="CJ390" s="19"/>
      <c r="CK390" s="19"/>
      <c r="CM390" s="19"/>
      <c r="CN390" s="19"/>
      <c r="CO390" s="19"/>
      <c r="CP390" s="19"/>
      <c r="CR390" s="19"/>
      <c r="CS390" s="19"/>
      <c r="CT390" s="19"/>
      <c r="CU390" s="19"/>
      <c r="CW390" s="19"/>
      <c r="CX390" s="19"/>
      <c r="CY390" s="19"/>
      <c r="CZ390" s="19"/>
      <c r="DB390" s="19"/>
      <c r="DC390" s="19"/>
      <c r="DD390" s="19"/>
      <c r="DE390" s="19"/>
      <c r="DG390" s="19"/>
      <c r="DH390" s="19"/>
      <c r="DI390" s="19"/>
      <c r="DJ390" s="19"/>
      <c r="DL390" s="19"/>
      <c r="DM390" s="19"/>
      <c r="DN390" s="19"/>
      <c r="DO390" s="19"/>
      <c r="DQ390" s="19"/>
      <c r="DR390" s="19"/>
      <c r="DS390" s="19"/>
      <c r="DT390" s="19"/>
      <c r="DU390" s="8"/>
      <c r="EB390" s="19"/>
      <c r="EC390" s="19"/>
      <c r="ED390" s="19"/>
      <c r="EE390" s="19"/>
      <c r="EF390" s="19"/>
      <c r="EG390" s="19"/>
      <c r="EH390" s="19"/>
      <c r="EI390" s="19"/>
      <c r="EJ390" s="19"/>
      <c r="EK390" s="19"/>
      <c r="EL390" s="19"/>
      <c r="EN390" s="19"/>
      <c r="EO390" s="19"/>
      <c r="EP390" s="19"/>
      <c r="EQ390" s="19"/>
      <c r="ER390" s="19"/>
      <c r="ES390" s="19"/>
      <c r="ET390" s="19"/>
      <c r="EU390" s="19"/>
      <c r="EV390" s="19"/>
      <c r="EW390" s="19"/>
      <c r="EX390" s="19"/>
      <c r="EZ390" s="19"/>
      <c r="FA390" s="19"/>
      <c r="FB390" s="19"/>
      <c r="FC390" s="19"/>
      <c r="FD390" s="19"/>
      <c r="FE390" s="19"/>
      <c r="FF390" s="19"/>
      <c r="FG390" s="19"/>
      <c r="FH390" s="19"/>
      <c r="FI390" s="19"/>
      <c r="FJ390" s="19"/>
      <c r="FL390" s="19"/>
      <c r="FM390" s="19"/>
      <c r="FN390" s="19"/>
      <c r="FO390" s="19"/>
      <c r="FP390" s="19"/>
      <c r="FQ390" s="19"/>
      <c r="FR390" s="19"/>
      <c r="FS390" s="19"/>
      <c r="FT390" s="19"/>
      <c r="FU390" s="19"/>
      <c r="FV390" s="19"/>
      <c r="FX390" s="19"/>
      <c r="FY390" s="19"/>
      <c r="FZ390" s="19"/>
      <c r="GA390" s="19"/>
      <c r="GB390" s="19"/>
      <c r="GC390" s="19"/>
      <c r="GD390" s="19"/>
      <c r="GE390" s="19"/>
      <c r="GF390" s="19"/>
      <c r="GG390" s="19"/>
      <c r="GH390" s="19"/>
      <c r="GJ390" s="19"/>
      <c r="GK390" s="19"/>
      <c r="GL390" s="19"/>
      <c r="GM390" s="19"/>
      <c r="GN390" s="19"/>
      <c r="GO390" s="19"/>
      <c r="GP390" s="19"/>
      <c r="GQ390" s="19"/>
      <c r="GR390" s="19"/>
      <c r="GS390" s="19"/>
      <c r="GT390" s="19"/>
      <c r="GV390" s="19"/>
      <c r="GW390" s="19"/>
      <c r="GX390" s="19"/>
      <c r="GY390" s="19"/>
      <c r="GZ390" s="19"/>
      <c r="HA390" s="19"/>
      <c r="HB390" s="19"/>
      <c r="HC390" s="19"/>
      <c r="HD390" s="19"/>
      <c r="HE390" s="19"/>
      <c r="HF390" s="19"/>
      <c r="HH390" s="19"/>
      <c r="HI390" s="19"/>
      <c r="HJ390" s="19"/>
      <c r="HK390" s="19"/>
      <c r="HL390" s="19"/>
      <c r="HM390" s="19"/>
      <c r="HN390" s="19"/>
      <c r="HO390" s="19"/>
      <c r="HP390" s="19"/>
      <c r="HQ390" s="19"/>
    </row>
    <row r="391" spans="1:225" x14ac:dyDescent="0.25">
      <c r="A391" s="8" t="s">
        <v>3508</v>
      </c>
      <c r="B391" s="24" t="s">
        <v>966</v>
      </c>
      <c r="F391" s="198" t="s">
        <v>1715</v>
      </c>
      <c r="G391" s="198" t="s">
        <v>1700</v>
      </c>
      <c r="H391" s="25" t="s">
        <v>1700</v>
      </c>
      <c r="J391" s="27" t="s">
        <v>866</v>
      </c>
      <c r="R391" s="29" t="s">
        <v>854</v>
      </c>
      <c r="CB391" s="278"/>
      <c r="CG391" s="278"/>
      <c r="DZ391" s="19"/>
    </row>
    <row r="392" spans="1:225" x14ac:dyDescent="0.25">
      <c r="A392" s="8" t="s">
        <v>2265</v>
      </c>
      <c r="F392" s="198" t="s">
        <v>1700</v>
      </c>
      <c r="G392" s="198" t="s">
        <v>1700</v>
      </c>
      <c r="H392" s="25" t="s">
        <v>1700</v>
      </c>
      <c r="J392" s="27" t="s">
        <v>866</v>
      </c>
      <c r="CA392" s="19"/>
      <c r="CB392" s="278"/>
      <c r="CD392" s="257"/>
      <c r="CG392" s="278"/>
      <c r="CH392" s="278"/>
      <c r="CI392" s="257"/>
      <c r="CK392" s="279"/>
      <c r="CL392" s="278"/>
      <c r="CM392" s="278"/>
      <c r="CN392" s="257"/>
      <c r="CP392" s="279"/>
      <c r="CQ392" s="278"/>
      <c r="CR392" s="257"/>
      <c r="CS392" s="257"/>
      <c r="CU392" s="257"/>
      <c r="CV392" s="278"/>
      <c r="CW392" s="257"/>
      <c r="CX392" s="257"/>
      <c r="CZ392" s="257"/>
      <c r="DA392" s="278"/>
      <c r="DB392" s="257"/>
      <c r="DC392" s="257"/>
      <c r="DE392" s="257"/>
      <c r="DF392" s="278"/>
      <c r="DG392" s="257"/>
      <c r="DH392" s="257"/>
      <c r="DJ392" s="257"/>
      <c r="DK392" s="278"/>
      <c r="DL392" s="257"/>
      <c r="DM392" s="257"/>
      <c r="DO392" s="257"/>
      <c r="DP392" s="278"/>
      <c r="DQ392" s="257"/>
      <c r="DR392" s="257"/>
      <c r="DT392" s="257"/>
      <c r="DU392" s="278"/>
      <c r="DV392" s="257"/>
      <c r="DW392" s="257"/>
      <c r="DY392" s="257"/>
    </row>
    <row r="393" spans="1:225" x14ac:dyDescent="0.25">
      <c r="A393" s="8" t="s">
        <v>4781</v>
      </c>
      <c r="B393" s="24" t="s">
        <v>4782</v>
      </c>
      <c r="F393" s="198" t="s">
        <v>1700</v>
      </c>
      <c r="G393" s="198" t="s">
        <v>1700</v>
      </c>
      <c r="H393" s="25" t="s">
        <v>1700</v>
      </c>
      <c r="I393" s="27" t="s">
        <v>3895</v>
      </c>
      <c r="J393" s="27" t="s">
        <v>866</v>
      </c>
      <c r="K393" s="28" t="s">
        <v>858</v>
      </c>
      <c r="CB393" s="278"/>
      <c r="CG393" s="278"/>
    </row>
    <row r="394" spans="1:225" x14ac:dyDescent="0.25">
      <c r="A394" s="8" t="s">
        <v>4135</v>
      </c>
      <c r="B394" s="24" t="s">
        <v>2012</v>
      </c>
      <c r="C394" s="25" t="s">
        <v>4134</v>
      </c>
      <c r="E394" s="26" t="s">
        <v>1762</v>
      </c>
      <c r="F394" s="198" t="s">
        <v>4137</v>
      </c>
      <c r="G394" s="198" t="s">
        <v>1700</v>
      </c>
      <c r="H394" s="25" t="s">
        <v>4136</v>
      </c>
      <c r="I394" s="27" t="s">
        <v>3901</v>
      </c>
      <c r="J394" s="27" t="s">
        <v>866</v>
      </c>
      <c r="K394" s="28" t="s">
        <v>853</v>
      </c>
      <c r="W394" s="93">
        <v>132</v>
      </c>
      <c r="X394" s="84" t="s">
        <v>1700</v>
      </c>
      <c r="Y394" s="84" t="s">
        <v>2499</v>
      </c>
      <c r="AA394" s="84" t="s">
        <v>4138</v>
      </c>
      <c r="AB394" s="84" t="s">
        <v>126</v>
      </c>
      <c r="AC394" s="26">
        <v>42311</v>
      </c>
      <c r="AD394" s="26" t="s">
        <v>853</v>
      </c>
      <c r="AE394" s="8" t="s">
        <v>4139</v>
      </c>
      <c r="AF394" s="8">
        <v>265</v>
      </c>
      <c r="AG394" s="8">
        <v>132</v>
      </c>
      <c r="CB394" s="278"/>
      <c r="CG394" s="278"/>
    </row>
    <row r="395" spans="1:225" x14ac:dyDescent="0.25">
      <c r="A395" s="8" t="s">
        <v>1666</v>
      </c>
      <c r="B395" s="24" t="s">
        <v>1433</v>
      </c>
      <c r="C395" s="25" t="s">
        <v>2308</v>
      </c>
      <c r="D395" s="26">
        <v>24738</v>
      </c>
      <c r="E395" s="26" t="s">
        <v>1762</v>
      </c>
      <c r="F395" s="198" t="s">
        <v>2142</v>
      </c>
      <c r="G395" s="198" t="s">
        <v>1554</v>
      </c>
      <c r="H395" s="25" t="s">
        <v>2538</v>
      </c>
      <c r="J395" s="27" t="s">
        <v>866</v>
      </c>
      <c r="X395" s="84" t="s">
        <v>1700</v>
      </c>
      <c r="Y395" s="84" t="s">
        <v>2309</v>
      </c>
      <c r="AA395" s="84" t="s">
        <v>2310</v>
      </c>
      <c r="AB395" s="84" t="s">
        <v>126</v>
      </c>
      <c r="CA395" s="19"/>
      <c r="CB395" s="26"/>
      <c r="CC395" s="26"/>
      <c r="CF395" s="8"/>
      <c r="CG395" s="26"/>
      <c r="CH395" s="8"/>
      <c r="CM395" s="8"/>
      <c r="CR395" s="8"/>
      <c r="DZ395" s="19"/>
    </row>
    <row r="396" spans="1:225" x14ac:dyDescent="0.25">
      <c r="A396" s="8" t="s">
        <v>1666</v>
      </c>
      <c r="B396" s="24" t="s">
        <v>903</v>
      </c>
      <c r="E396" s="26" t="s">
        <v>877</v>
      </c>
      <c r="F396" s="198" t="s">
        <v>1666</v>
      </c>
      <c r="G396" s="198" t="s">
        <v>1667</v>
      </c>
      <c r="H396" s="25" t="s">
        <v>1700</v>
      </c>
      <c r="J396" s="27" t="s">
        <v>866</v>
      </c>
      <c r="CB396" s="26"/>
      <c r="CC396" s="26"/>
      <c r="CF396" s="8"/>
      <c r="CG396" s="26"/>
      <c r="CH396" s="8"/>
      <c r="CM396" s="8"/>
      <c r="CR396" s="8"/>
      <c r="DZ396" s="279"/>
    </row>
    <row r="397" spans="1:225" x14ac:dyDescent="0.25">
      <c r="A397" s="8" t="s">
        <v>1929</v>
      </c>
      <c r="B397" s="24" t="s">
        <v>1415</v>
      </c>
      <c r="C397" s="25" t="s">
        <v>1930</v>
      </c>
      <c r="E397" s="26" t="s">
        <v>1762</v>
      </c>
      <c r="F397" s="198" t="s">
        <v>1977</v>
      </c>
      <c r="G397" s="198" t="s">
        <v>1700</v>
      </c>
      <c r="H397" s="25" t="s">
        <v>3498</v>
      </c>
      <c r="I397" s="27" t="s">
        <v>3903</v>
      </c>
      <c r="J397" s="27" t="s">
        <v>866</v>
      </c>
      <c r="K397" s="28" t="s">
        <v>853</v>
      </c>
      <c r="R397" s="29" t="s">
        <v>853</v>
      </c>
      <c r="W397" s="93">
        <v>160</v>
      </c>
      <c r="X397" s="84" t="s">
        <v>1700</v>
      </c>
      <c r="Y397" s="84" t="s">
        <v>791</v>
      </c>
      <c r="AA397" s="84" t="s">
        <v>1931</v>
      </c>
      <c r="AB397" s="84" t="s">
        <v>126</v>
      </c>
      <c r="AC397" s="26">
        <v>42360</v>
      </c>
      <c r="AD397" s="26" t="s">
        <v>853</v>
      </c>
      <c r="AE397" s="8" t="s">
        <v>4277</v>
      </c>
      <c r="AF397" s="8">
        <v>359</v>
      </c>
      <c r="AG397" s="8">
        <v>160</v>
      </c>
      <c r="CB397" s="26">
        <v>42032</v>
      </c>
      <c r="CC397" s="26" t="s">
        <v>853</v>
      </c>
      <c r="CD397" s="8" t="s">
        <v>3499</v>
      </c>
      <c r="CE397" s="8">
        <v>358.8</v>
      </c>
      <c r="CF397" s="8">
        <v>160</v>
      </c>
      <c r="CG397" s="26"/>
      <c r="CH397" s="8"/>
      <c r="CM397" s="8"/>
      <c r="CR397" s="8"/>
    </row>
    <row r="398" spans="1:225" x14ac:dyDescent="0.25">
      <c r="A398" s="8" t="s">
        <v>2294</v>
      </c>
      <c r="B398" s="24" t="s">
        <v>1882</v>
      </c>
      <c r="E398" s="26" t="s">
        <v>877</v>
      </c>
      <c r="F398" s="198" t="s">
        <v>310</v>
      </c>
      <c r="G398" s="198" t="s">
        <v>2151</v>
      </c>
      <c r="H398" s="25" t="s">
        <v>1700</v>
      </c>
      <c r="J398" s="27" t="s">
        <v>866</v>
      </c>
      <c r="CA398" s="19"/>
      <c r="CB398" s="26"/>
      <c r="CC398" s="26"/>
      <c r="CF398" s="8"/>
      <c r="CG398" s="26"/>
      <c r="CH398" s="8"/>
      <c r="CM398" s="8"/>
      <c r="CR398" s="8"/>
    </row>
    <row r="399" spans="1:225" x14ac:dyDescent="0.25">
      <c r="A399" s="8" t="s">
        <v>397</v>
      </c>
      <c r="B399" s="24" t="s">
        <v>880</v>
      </c>
      <c r="C399" s="25" t="s">
        <v>379</v>
      </c>
      <c r="E399" s="26" t="s">
        <v>1762</v>
      </c>
      <c r="F399" s="198" t="s">
        <v>398</v>
      </c>
      <c r="G399" s="198" t="s">
        <v>1700</v>
      </c>
      <c r="H399" s="25" t="s">
        <v>3055</v>
      </c>
      <c r="I399" s="27" t="s">
        <v>3893</v>
      </c>
      <c r="J399" s="27" t="s">
        <v>866</v>
      </c>
      <c r="K399" s="28" t="s">
        <v>853</v>
      </c>
      <c r="Q399" s="95"/>
      <c r="R399" s="17" t="s">
        <v>853</v>
      </c>
      <c r="S399" s="29"/>
      <c r="T399" s="29"/>
      <c r="U399" s="29"/>
      <c r="V399" s="29"/>
      <c r="W399" s="93">
        <v>100</v>
      </c>
      <c r="X399" s="84" t="s">
        <v>1700</v>
      </c>
      <c r="Y399" s="84" t="s">
        <v>2499</v>
      </c>
      <c r="AA399" s="86" t="s">
        <v>1058</v>
      </c>
      <c r="AB399" s="84" t="s">
        <v>126</v>
      </c>
      <c r="AC399" s="26">
        <v>42416</v>
      </c>
      <c r="AD399" s="26" t="s">
        <v>853</v>
      </c>
      <c r="AE399" s="8" t="s">
        <v>4683</v>
      </c>
      <c r="AF399" s="8">
        <v>200</v>
      </c>
      <c r="AG399" s="8">
        <v>100</v>
      </c>
      <c r="BQ399" s="8"/>
      <c r="BV399" s="8"/>
      <c r="CA399" s="19"/>
      <c r="CB399" s="26">
        <v>41943</v>
      </c>
      <c r="CC399" s="26" t="s">
        <v>853</v>
      </c>
      <c r="CD399" s="8" t="s">
        <v>3056</v>
      </c>
      <c r="CE399" s="8">
        <v>384</v>
      </c>
      <c r="CF399" s="8">
        <v>160</v>
      </c>
      <c r="CG399" s="26"/>
      <c r="CH399" s="8"/>
      <c r="CM399" s="8"/>
      <c r="CR399" s="8"/>
      <c r="DP399" s="8"/>
      <c r="DU399" s="8"/>
    </row>
    <row r="400" spans="1:225" x14ac:dyDescent="0.25">
      <c r="A400" s="8" t="s">
        <v>1996</v>
      </c>
      <c r="B400" s="24" t="s">
        <v>897</v>
      </c>
      <c r="C400" s="25" t="s">
        <v>1995</v>
      </c>
      <c r="E400" s="26" t="s">
        <v>1762</v>
      </c>
      <c r="F400" s="198" t="s">
        <v>367</v>
      </c>
      <c r="G400" s="198" t="s">
        <v>1700</v>
      </c>
      <c r="H400" s="25" t="s">
        <v>2945</v>
      </c>
      <c r="I400" s="27" t="s">
        <v>3901</v>
      </c>
      <c r="J400" s="27" t="s">
        <v>866</v>
      </c>
      <c r="K400" s="28" t="s">
        <v>853</v>
      </c>
      <c r="R400" s="29" t="s">
        <v>853</v>
      </c>
      <c r="W400" s="93">
        <v>160</v>
      </c>
      <c r="X400" s="84" t="s">
        <v>1700</v>
      </c>
      <c r="Y400" s="84" t="s">
        <v>246</v>
      </c>
      <c r="AA400" s="84" t="s">
        <v>1061</v>
      </c>
      <c r="AB400" s="84" t="s">
        <v>126</v>
      </c>
      <c r="AC400" s="26">
        <v>42311</v>
      </c>
      <c r="AD400" s="26" t="s">
        <v>853</v>
      </c>
      <c r="AE400" s="8" t="s">
        <v>4059</v>
      </c>
      <c r="AF400" s="8">
        <v>348</v>
      </c>
      <c r="AG400" s="8">
        <v>160</v>
      </c>
      <c r="CB400" s="26">
        <v>41934</v>
      </c>
      <c r="CC400" s="26" t="s">
        <v>853</v>
      </c>
      <c r="CD400" s="8" t="s">
        <v>2946</v>
      </c>
      <c r="CE400" s="8">
        <v>348</v>
      </c>
      <c r="CF400" s="8">
        <v>160</v>
      </c>
      <c r="CG400" s="26"/>
      <c r="CH400" s="8"/>
      <c r="CM400" s="8"/>
      <c r="CR400" s="8"/>
      <c r="EB400" s="19"/>
      <c r="EC400" s="19"/>
      <c r="ED400" s="19"/>
      <c r="EE400" s="19"/>
      <c r="EF400" s="19"/>
      <c r="EG400" s="19"/>
      <c r="EH400" s="19"/>
      <c r="EI400" s="19"/>
      <c r="EJ400" s="19"/>
      <c r="EK400" s="19"/>
      <c r="EL400" s="19"/>
      <c r="EN400" s="19"/>
      <c r="EO400" s="19"/>
      <c r="EP400" s="19"/>
      <c r="EQ400" s="19"/>
      <c r="ER400" s="19"/>
      <c r="ES400" s="19"/>
      <c r="ET400" s="19"/>
      <c r="EU400" s="19"/>
      <c r="EV400" s="19"/>
      <c r="EW400" s="19"/>
      <c r="EX400" s="19"/>
      <c r="EZ400" s="19"/>
      <c r="FA400" s="19"/>
      <c r="FB400" s="19"/>
      <c r="FC400" s="19"/>
      <c r="FD400" s="19"/>
      <c r="FE400" s="19"/>
      <c r="FF400" s="19"/>
      <c r="FG400" s="19"/>
      <c r="FH400" s="19"/>
      <c r="FI400" s="19"/>
      <c r="FJ400" s="19"/>
      <c r="FL400" s="19"/>
      <c r="FM400" s="19"/>
      <c r="FN400" s="19"/>
      <c r="FO400" s="19"/>
      <c r="FP400" s="19"/>
      <c r="FQ400" s="19"/>
      <c r="FR400" s="19"/>
      <c r="FS400" s="19"/>
      <c r="FT400" s="19"/>
      <c r="FU400" s="19"/>
      <c r="FV400" s="19"/>
      <c r="FX400" s="19"/>
      <c r="FY400" s="19"/>
      <c r="FZ400" s="19"/>
      <c r="GA400" s="19"/>
      <c r="GB400" s="19"/>
      <c r="GC400" s="19"/>
      <c r="GD400" s="19"/>
      <c r="GE400" s="19"/>
      <c r="GF400" s="19"/>
      <c r="GG400" s="19"/>
      <c r="GH400" s="19"/>
      <c r="GJ400" s="19"/>
      <c r="GK400" s="19"/>
      <c r="GL400" s="19"/>
      <c r="GM400" s="19"/>
      <c r="GN400" s="19"/>
      <c r="GO400" s="19"/>
      <c r="GP400" s="19"/>
      <c r="GQ400" s="19"/>
      <c r="GR400" s="19"/>
      <c r="GS400" s="19"/>
      <c r="GT400" s="19"/>
      <c r="GV400" s="19"/>
      <c r="GW400" s="19"/>
      <c r="GX400" s="19"/>
      <c r="GY400" s="19"/>
      <c r="GZ400" s="19"/>
      <c r="HA400" s="19"/>
      <c r="HB400" s="19"/>
      <c r="HC400" s="19"/>
      <c r="HD400" s="19"/>
      <c r="HE400" s="19"/>
      <c r="HF400" s="19"/>
      <c r="HH400" s="19"/>
      <c r="HI400" s="19"/>
      <c r="HJ400" s="19"/>
      <c r="HK400" s="19"/>
      <c r="HL400" s="19"/>
      <c r="HM400" s="19"/>
      <c r="HN400" s="19"/>
      <c r="HO400" s="19"/>
      <c r="HP400" s="19"/>
      <c r="HQ400" s="19"/>
    </row>
    <row r="401" spans="1:225" x14ac:dyDescent="0.25">
      <c r="A401" s="8" t="s">
        <v>1799</v>
      </c>
      <c r="B401" s="24" t="s">
        <v>894</v>
      </c>
      <c r="C401" s="25" t="s">
        <v>1800</v>
      </c>
      <c r="E401" s="26" t="s">
        <v>1764</v>
      </c>
      <c r="F401" s="198" t="s">
        <v>1801</v>
      </c>
      <c r="G401" s="198" t="s">
        <v>1700</v>
      </c>
      <c r="H401" s="25" t="s">
        <v>1700</v>
      </c>
      <c r="J401" s="27" t="s">
        <v>866</v>
      </c>
      <c r="X401" s="84" t="s">
        <v>1700</v>
      </c>
      <c r="Y401" s="84" t="s">
        <v>195</v>
      </c>
      <c r="AA401" s="84" t="s">
        <v>1802</v>
      </c>
      <c r="AB401" s="84" t="s">
        <v>1957</v>
      </c>
      <c r="CB401" s="26"/>
      <c r="CC401" s="26"/>
      <c r="CF401" s="8"/>
      <c r="CG401" s="26"/>
      <c r="CH401" s="8"/>
      <c r="CM401" s="8"/>
      <c r="CR401" s="8"/>
      <c r="DZ401" s="19"/>
    </row>
    <row r="402" spans="1:225" x14ac:dyDescent="0.25">
      <c r="A402" s="8" t="s">
        <v>1127</v>
      </c>
      <c r="B402" s="24" t="s">
        <v>953</v>
      </c>
      <c r="E402" s="26" t="s">
        <v>877</v>
      </c>
      <c r="F402" s="198" t="s">
        <v>1700</v>
      </c>
      <c r="G402" s="198" t="s">
        <v>1700</v>
      </c>
      <c r="H402" s="25" t="s">
        <v>1700</v>
      </c>
      <c r="J402" s="27" t="s">
        <v>866</v>
      </c>
      <c r="CB402" s="26"/>
      <c r="CC402" s="26"/>
      <c r="CF402" s="8"/>
      <c r="CG402" s="26"/>
      <c r="CH402" s="8"/>
      <c r="CM402" s="8"/>
      <c r="CR402" s="8"/>
      <c r="DZ402" s="279"/>
    </row>
    <row r="403" spans="1:225" x14ac:dyDescent="0.25">
      <c r="A403" s="8" t="s">
        <v>1906</v>
      </c>
      <c r="B403" s="24" t="s">
        <v>905</v>
      </c>
      <c r="D403" s="26">
        <v>24094</v>
      </c>
      <c r="E403" s="26" t="s">
        <v>1762</v>
      </c>
      <c r="F403" s="198" t="s">
        <v>898</v>
      </c>
      <c r="G403" s="198" t="s">
        <v>1700</v>
      </c>
      <c r="H403" s="25" t="s">
        <v>1700</v>
      </c>
      <c r="J403" s="27" t="s">
        <v>866</v>
      </c>
      <c r="R403" s="29" t="s">
        <v>855</v>
      </c>
      <c r="CB403" s="278"/>
      <c r="CD403" s="257"/>
      <c r="CE403" s="19"/>
      <c r="CG403" s="278"/>
      <c r="CH403" s="278"/>
      <c r="CI403" s="279"/>
      <c r="CJ403" s="19"/>
      <c r="CK403" s="279"/>
      <c r="CL403" s="278"/>
      <c r="CM403" s="278"/>
      <c r="CN403" s="257"/>
      <c r="CO403" s="19"/>
      <c r="CP403" s="279"/>
      <c r="CQ403" s="278"/>
      <c r="CR403" s="257"/>
      <c r="CS403" s="257"/>
      <c r="CT403" s="19"/>
      <c r="CU403" s="257"/>
      <c r="CV403" s="278"/>
      <c r="CW403" s="257"/>
      <c r="CX403" s="257"/>
      <c r="CY403" s="19"/>
      <c r="CZ403" s="257"/>
      <c r="DA403" s="278"/>
      <c r="DB403" s="257"/>
      <c r="DC403" s="257"/>
      <c r="DD403" s="19"/>
      <c r="DE403" s="257"/>
      <c r="DF403" s="278"/>
      <c r="DG403" s="257"/>
      <c r="DH403" s="257"/>
      <c r="DI403" s="19"/>
      <c r="DJ403" s="257"/>
      <c r="DK403" s="278"/>
      <c r="DL403" s="279"/>
      <c r="DM403" s="279"/>
      <c r="DN403" s="19"/>
      <c r="DO403" s="279"/>
      <c r="DP403" s="279"/>
      <c r="DQ403" s="279"/>
      <c r="DR403" s="279"/>
      <c r="DS403" s="19"/>
      <c r="DT403" s="279"/>
      <c r="DU403" s="279"/>
      <c r="DV403" s="279"/>
      <c r="DW403" s="279"/>
      <c r="DX403" s="19"/>
      <c r="DY403" s="279"/>
    </row>
    <row r="404" spans="1:225" x14ac:dyDescent="0.25">
      <c r="A404" s="8" t="s">
        <v>4029</v>
      </c>
      <c r="B404" s="24" t="s">
        <v>275</v>
      </c>
      <c r="D404" s="26">
        <v>29618</v>
      </c>
      <c r="E404" s="26" t="s">
        <v>877</v>
      </c>
      <c r="F404" s="198" t="s">
        <v>1700</v>
      </c>
      <c r="G404" s="198" t="s">
        <v>1700</v>
      </c>
      <c r="H404" s="25" t="s">
        <v>1700</v>
      </c>
      <c r="I404" s="27" t="s">
        <v>3902</v>
      </c>
      <c r="J404" s="27" t="s">
        <v>866</v>
      </c>
      <c r="K404" s="28" t="s">
        <v>817</v>
      </c>
      <c r="CB404" s="278"/>
      <c r="CG404" s="278"/>
    </row>
    <row r="405" spans="1:225" x14ac:dyDescent="0.25">
      <c r="A405" s="8" t="s">
        <v>1830</v>
      </c>
      <c r="B405" s="24" t="s">
        <v>876</v>
      </c>
      <c r="C405" s="25" t="s">
        <v>2040</v>
      </c>
      <c r="E405" s="26" t="s">
        <v>1762</v>
      </c>
      <c r="F405" s="198" t="s">
        <v>867</v>
      </c>
      <c r="G405" s="198" t="s">
        <v>2719</v>
      </c>
      <c r="H405" s="25" t="s">
        <v>2718</v>
      </c>
      <c r="I405" s="27" t="s">
        <v>3901</v>
      </c>
      <c r="J405" s="27" t="s">
        <v>866</v>
      </c>
      <c r="K405" s="28" t="s">
        <v>853</v>
      </c>
      <c r="R405" s="29" t="s">
        <v>853</v>
      </c>
      <c r="W405" s="93">
        <v>160</v>
      </c>
      <c r="X405" s="84" t="s">
        <v>1700</v>
      </c>
      <c r="Y405" s="84" t="s">
        <v>246</v>
      </c>
      <c r="AA405" s="84" t="s">
        <v>1134</v>
      </c>
      <c r="AB405" s="84" t="s">
        <v>126</v>
      </c>
      <c r="AC405" s="26">
        <v>42311</v>
      </c>
      <c r="AD405" s="26" t="s">
        <v>853</v>
      </c>
      <c r="AE405" s="8" t="s">
        <v>4094</v>
      </c>
      <c r="AF405" s="8">
        <v>496.99</v>
      </c>
      <c r="AG405" s="8">
        <v>160</v>
      </c>
      <c r="CB405" s="26">
        <v>41921</v>
      </c>
      <c r="CC405" s="26" t="s">
        <v>853</v>
      </c>
      <c r="CD405" s="8" t="s">
        <v>2720</v>
      </c>
      <c r="CE405" s="8">
        <v>445.01</v>
      </c>
      <c r="CF405" s="8">
        <v>160</v>
      </c>
      <c r="CG405" s="26"/>
      <c r="CH405" s="8"/>
      <c r="CM405" s="8"/>
      <c r="CR405" s="8"/>
    </row>
    <row r="406" spans="1:225" x14ac:dyDescent="0.25">
      <c r="A406" s="8" t="s">
        <v>2171</v>
      </c>
      <c r="B406" s="24" t="s">
        <v>1417</v>
      </c>
      <c r="E406" s="26" t="s">
        <v>1846</v>
      </c>
      <c r="F406" s="198" t="s">
        <v>852</v>
      </c>
      <c r="G406" s="198" t="s">
        <v>1700</v>
      </c>
      <c r="H406" s="25" t="s">
        <v>1700</v>
      </c>
      <c r="J406" s="27" t="s">
        <v>866</v>
      </c>
      <c r="Q406" s="93"/>
      <c r="R406" s="28"/>
      <c r="S406" s="21"/>
      <c r="T406" s="21"/>
      <c r="U406" s="21"/>
      <c r="V406" s="21"/>
      <c r="X406" s="86"/>
      <c r="Y406" s="86"/>
      <c r="Z406" s="86"/>
      <c r="CB406" s="278"/>
      <c r="CD406" s="279"/>
      <c r="CG406" s="278"/>
      <c r="CH406" s="278"/>
      <c r="CI406" s="279"/>
      <c r="CK406" s="279"/>
      <c r="CL406" s="278"/>
      <c r="CM406" s="278"/>
      <c r="CN406" s="279"/>
      <c r="CP406" s="279"/>
      <c r="CQ406" s="278"/>
      <c r="CR406" s="279"/>
      <c r="CS406" s="279"/>
      <c r="CU406" s="279"/>
      <c r="CV406" s="278"/>
      <c r="CW406" s="279"/>
      <c r="CX406" s="279"/>
      <c r="CZ406" s="279"/>
      <c r="DA406" s="278"/>
      <c r="DB406" s="279"/>
      <c r="DC406" s="279"/>
      <c r="DE406" s="279"/>
      <c r="DF406" s="278"/>
      <c r="DG406" s="279"/>
      <c r="DH406" s="279"/>
      <c r="DJ406" s="279"/>
      <c r="DK406" s="278"/>
      <c r="DL406" s="279"/>
      <c r="DM406" s="279"/>
      <c r="DO406" s="279"/>
      <c r="DP406" s="278"/>
      <c r="DQ406" s="279"/>
      <c r="DR406" s="279"/>
      <c r="DT406" s="279"/>
      <c r="DU406" s="278"/>
      <c r="DV406" s="279"/>
      <c r="DW406" s="279"/>
      <c r="DY406" s="279"/>
    </row>
    <row r="407" spans="1:225" x14ac:dyDescent="0.25">
      <c r="A407" s="8" t="s">
        <v>1527</v>
      </c>
      <c r="B407" s="24" t="s">
        <v>1949</v>
      </c>
      <c r="C407" s="25" t="s">
        <v>1528</v>
      </c>
      <c r="E407" s="26" t="s">
        <v>1762</v>
      </c>
      <c r="F407" s="198" t="s">
        <v>922</v>
      </c>
      <c r="G407" s="198" t="s">
        <v>1700</v>
      </c>
      <c r="H407" s="25" t="s">
        <v>3031</v>
      </c>
      <c r="I407" s="27" t="s">
        <v>3902</v>
      </c>
      <c r="J407" s="27" t="s">
        <v>866</v>
      </c>
      <c r="K407" s="28" t="s">
        <v>853</v>
      </c>
      <c r="R407" s="29" t="s">
        <v>853</v>
      </c>
      <c r="W407" s="93">
        <v>71</v>
      </c>
      <c r="X407" s="84" t="s">
        <v>1700</v>
      </c>
      <c r="Y407" s="84" t="s">
        <v>2499</v>
      </c>
      <c r="AA407" s="84" t="s">
        <v>1529</v>
      </c>
      <c r="AB407" s="84" t="s">
        <v>126</v>
      </c>
      <c r="AC407" s="26">
        <v>42313</v>
      </c>
      <c r="AD407" s="26" t="s">
        <v>853</v>
      </c>
      <c r="AE407" s="8" t="s">
        <v>4224</v>
      </c>
      <c r="AF407" s="8">
        <v>142</v>
      </c>
      <c r="AG407" s="8">
        <v>71</v>
      </c>
      <c r="CB407" s="26">
        <v>41943</v>
      </c>
      <c r="CC407" s="26" t="s">
        <v>853</v>
      </c>
      <c r="CD407" s="8" t="s">
        <v>3032</v>
      </c>
      <c r="CE407" s="8">
        <v>142</v>
      </c>
      <c r="CF407" s="8">
        <v>71</v>
      </c>
      <c r="CG407" s="26"/>
      <c r="CH407" s="8"/>
      <c r="CM407" s="8"/>
      <c r="CR407" s="8"/>
    </row>
    <row r="408" spans="1:225" x14ac:dyDescent="0.25">
      <c r="A408" s="8" t="s">
        <v>2221</v>
      </c>
      <c r="B408" s="24" t="s">
        <v>2222</v>
      </c>
      <c r="C408" s="25" t="s">
        <v>2223</v>
      </c>
      <c r="E408" s="26" t="s">
        <v>1764</v>
      </c>
      <c r="F408" s="198" t="s">
        <v>1396</v>
      </c>
      <c r="G408" s="198" t="s">
        <v>1700</v>
      </c>
      <c r="H408" s="25" t="s">
        <v>3310</v>
      </c>
      <c r="J408" s="27" t="s">
        <v>866</v>
      </c>
      <c r="R408" s="29" t="s">
        <v>853</v>
      </c>
      <c r="X408" s="84" t="s">
        <v>1700</v>
      </c>
      <c r="Y408" s="84" t="s">
        <v>195</v>
      </c>
      <c r="AA408" s="84" t="s">
        <v>2224</v>
      </c>
      <c r="AB408" s="84" t="s">
        <v>1575</v>
      </c>
      <c r="CB408" s="26">
        <v>41977</v>
      </c>
      <c r="CC408" s="26" t="s">
        <v>853</v>
      </c>
      <c r="CD408" s="8" t="s">
        <v>3311</v>
      </c>
      <c r="CE408" s="8">
        <v>153</v>
      </c>
      <c r="CF408" s="8">
        <v>77</v>
      </c>
      <c r="CG408" s="26"/>
      <c r="CH408" s="8"/>
      <c r="CM408" s="8"/>
      <c r="CR408" s="8"/>
      <c r="EB408" s="19"/>
      <c r="EC408" s="19"/>
      <c r="ED408" s="19"/>
      <c r="EE408" s="19"/>
      <c r="EF408" s="19"/>
      <c r="EG408" s="19"/>
      <c r="EH408" s="19"/>
      <c r="EI408" s="19"/>
      <c r="EJ408" s="19"/>
      <c r="EK408" s="19"/>
      <c r="EL408" s="19"/>
      <c r="EN408" s="19"/>
      <c r="EO408" s="19"/>
      <c r="EP408" s="19"/>
      <c r="EQ408" s="19"/>
      <c r="ER408" s="19"/>
      <c r="ES408" s="19"/>
      <c r="ET408" s="19"/>
      <c r="EU408" s="19"/>
      <c r="EV408" s="19"/>
      <c r="EW408" s="19"/>
      <c r="EX408" s="19"/>
      <c r="EZ408" s="19"/>
      <c r="FA408" s="19"/>
      <c r="FB408" s="19"/>
      <c r="FC408" s="19"/>
      <c r="FD408" s="19"/>
      <c r="FE408" s="19"/>
      <c r="FF408" s="19"/>
      <c r="FG408" s="19"/>
      <c r="FH408" s="19"/>
      <c r="FI408" s="19"/>
      <c r="FJ408" s="19"/>
      <c r="FL408" s="19"/>
      <c r="FM408" s="19"/>
      <c r="FN408" s="19"/>
      <c r="FO408" s="19"/>
      <c r="FP408" s="19"/>
      <c r="FQ408" s="19"/>
      <c r="FR408" s="19"/>
      <c r="FS408" s="19"/>
      <c r="FT408" s="19"/>
      <c r="FU408" s="19"/>
      <c r="FV408" s="19"/>
      <c r="FX408" s="19"/>
      <c r="FY408" s="19"/>
      <c r="FZ408" s="19"/>
      <c r="GA408" s="19"/>
      <c r="GB408" s="19"/>
      <c r="GC408" s="19"/>
      <c r="GD408" s="19"/>
      <c r="GE408" s="19"/>
      <c r="GF408" s="19"/>
      <c r="GG408" s="19"/>
      <c r="GH408" s="19"/>
      <c r="GJ408" s="19"/>
      <c r="GK408" s="19"/>
      <c r="GL408" s="19"/>
      <c r="GM408" s="19"/>
      <c r="GN408" s="19"/>
      <c r="GO408" s="19"/>
      <c r="GP408" s="19"/>
      <c r="GQ408" s="19"/>
      <c r="GR408" s="19"/>
      <c r="GS408" s="19"/>
      <c r="GT408" s="19"/>
      <c r="GV408" s="19"/>
      <c r="GW408" s="19"/>
      <c r="GX408" s="19"/>
      <c r="GY408" s="19"/>
      <c r="GZ408" s="19"/>
      <c r="HA408" s="19"/>
      <c r="HB408" s="19"/>
      <c r="HC408" s="19"/>
      <c r="HD408" s="19"/>
      <c r="HE408" s="19"/>
      <c r="HF408" s="19"/>
      <c r="HH408" s="19"/>
      <c r="HI408" s="19"/>
      <c r="HJ408" s="19"/>
      <c r="HK408" s="19"/>
      <c r="HL408" s="19"/>
      <c r="HM408" s="19"/>
      <c r="HN408" s="19"/>
      <c r="HO408" s="19"/>
      <c r="HP408" s="19"/>
      <c r="HQ408" s="19"/>
    </row>
    <row r="409" spans="1:225" x14ac:dyDescent="0.25">
      <c r="A409" s="8" t="s">
        <v>3989</v>
      </c>
      <c r="B409" s="24" t="s">
        <v>3630</v>
      </c>
      <c r="C409" s="25" t="s">
        <v>3988</v>
      </c>
      <c r="E409" s="26" t="s">
        <v>1762</v>
      </c>
      <c r="F409" s="198" t="s">
        <v>1892</v>
      </c>
      <c r="G409" s="198" t="s">
        <v>1700</v>
      </c>
      <c r="H409" s="25" t="s">
        <v>3990</v>
      </c>
      <c r="I409" s="27" t="s">
        <v>3901</v>
      </c>
      <c r="J409" s="27" t="s">
        <v>866</v>
      </c>
      <c r="K409" s="28" t="s">
        <v>853</v>
      </c>
      <c r="W409" s="93">
        <v>160</v>
      </c>
      <c r="X409" s="84" t="s">
        <v>1700</v>
      </c>
      <c r="Y409" s="84" t="s">
        <v>2499</v>
      </c>
      <c r="AA409" s="84" t="s">
        <v>3991</v>
      </c>
      <c r="AB409" s="84" t="s">
        <v>126</v>
      </c>
      <c r="AC409" s="26">
        <v>42299</v>
      </c>
      <c r="AD409" s="26" t="s">
        <v>853</v>
      </c>
      <c r="AE409" s="8" t="s">
        <v>3992</v>
      </c>
      <c r="AF409" s="8">
        <v>500</v>
      </c>
      <c r="AG409" s="8">
        <v>160</v>
      </c>
      <c r="CB409" s="278"/>
      <c r="CG409" s="278"/>
    </row>
    <row r="410" spans="1:225" x14ac:dyDescent="0.25">
      <c r="A410" s="8" t="s">
        <v>3866</v>
      </c>
      <c r="B410" s="24" t="s">
        <v>1589</v>
      </c>
      <c r="D410" s="26">
        <v>17063</v>
      </c>
      <c r="E410" s="26" t="s">
        <v>1846</v>
      </c>
      <c r="F410" s="198" t="s">
        <v>1700</v>
      </c>
      <c r="G410" s="198" t="s">
        <v>1700</v>
      </c>
      <c r="H410" s="25" t="s">
        <v>1700</v>
      </c>
      <c r="I410" s="27" t="s">
        <v>3904</v>
      </c>
      <c r="J410" s="27" t="s">
        <v>866</v>
      </c>
      <c r="K410" s="28" t="s">
        <v>1416</v>
      </c>
      <c r="R410" s="29" t="s">
        <v>1416</v>
      </c>
      <c r="CB410" s="278"/>
      <c r="CG410" s="278"/>
    </row>
    <row r="411" spans="1:225" x14ac:dyDescent="0.25">
      <c r="A411" s="8" t="s">
        <v>3866</v>
      </c>
      <c r="B411" s="24" t="s">
        <v>4590</v>
      </c>
      <c r="E411" s="26" t="s">
        <v>1846</v>
      </c>
      <c r="F411" s="198" t="s">
        <v>1700</v>
      </c>
      <c r="G411" s="198" t="s">
        <v>1700</v>
      </c>
      <c r="H411" s="25" t="s">
        <v>1700</v>
      </c>
      <c r="I411" s="27" t="s">
        <v>3904</v>
      </c>
      <c r="J411" s="27" t="s">
        <v>866</v>
      </c>
      <c r="K411" s="28" t="s">
        <v>1416</v>
      </c>
      <c r="CB411" s="278"/>
      <c r="CG411" s="278"/>
    </row>
    <row r="412" spans="1:225" x14ac:dyDescent="0.25">
      <c r="A412" s="8" t="s">
        <v>3694</v>
      </c>
      <c r="B412" s="24" t="s">
        <v>1961</v>
      </c>
      <c r="F412" s="198" t="s">
        <v>1700</v>
      </c>
      <c r="G412" s="198" t="s">
        <v>1700</v>
      </c>
      <c r="H412" s="25" t="s">
        <v>1700</v>
      </c>
      <c r="J412" s="27" t="s">
        <v>866</v>
      </c>
      <c r="R412" s="29" t="s">
        <v>816</v>
      </c>
      <c r="CB412" s="278"/>
      <c r="CG412" s="278"/>
      <c r="DZ412" s="19"/>
    </row>
    <row r="413" spans="1:225" x14ac:dyDescent="0.25">
      <c r="A413" s="8" t="s">
        <v>3360</v>
      </c>
      <c r="B413" s="24" t="s">
        <v>3361</v>
      </c>
      <c r="C413" s="25" t="s">
        <v>3362</v>
      </c>
      <c r="E413" s="26" t="s">
        <v>1764</v>
      </c>
      <c r="F413" s="198" t="s">
        <v>1879</v>
      </c>
      <c r="G413" s="198" t="s">
        <v>1700</v>
      </c>
      <c r="H413" s="25" t="s">
        <v>3363</v>
      </c>
      <c r="J413" s="27" t="s">
        <v>866</v>
      </c>
      <c r="R413" s="29" t="s">
        <v>853</v>
      </c>
      <c r="X413" s="84" t="s">
        <v>1700</v>
      </c>
      <c r="Y413" s="84" t="s">
        <v>762</v>
      </c>
      <c r="AA413" s="84" t="s">
        <v>3365</v>
      </c>
      <c r="AB413" s="84" t="s">
        <v>2453</v>
      </c>
      <c r="CB413" s="278">
        <v>42011</v>
      </c>
      <c r="CC413" s="278" t="s">
        <v>853</v>
      </c>
      <c r="CD413" s="8" t="s">
        <v>3364</v>
      </c>
      <c r="CE413" s="8">
        <v>250</v>
      </c>
      <c r="CF413" s="279">
        <v>125</v>
      </c>
      <c r="CG413" s="278"/>
    </row>
    <row r="414" spans="1:225" x14ac:dyDescent="0.25">
      <c r="A414" s="19" t="s">
        <v>1418</v>
      </c>
      <c r="B414" s="12" t="s">
        <v>1853</v>
      </c>
      <c r="C414" s="13" t="s">
        <v>1419</v>
      </c>
      <c r="D414" s="14">
        <v>24317</v>
      </c>
      <c r="E414" s="14" t="s">
        <v>1762</v>
      </c>
      <c r="F414" s="199" t="s">
        <v>927</v>
      </c>
      <c r="G414" s="199" t="s">
        <v>0</v>
      </c>
      <c r="H414" s="13" t="s">
        <v>1</v>
      </c>
      <c r="I414" s="20" t="s">
        <v>3902</v>
      </c>
      <c r="J414" s="20" t="s">
        <v>866</v>
      </c>
      <c r="K414" s="17" t="s">
        <v>3907</v>
      </c>
      <c r="L414" s="21"/>
      <c r="M414" s="21"/>
      <c r="N414" s="21"/>
      <c r="O414" s="21"/>
      <c r="P414" s="17">
        <v>1</v>
      </c>
      <c r="Q414" s="95"/>
      <c r="R414" s="17" t="s">
        <v>1763</v>
      </c>
      <c r="S414" s="21" t="s">
        <v>855</v>
      </c>
      <c r="T414" s="21" t="s">
        <v>1416</v>
      </c>
      <c r="U414" s="29"/>
      <c r="V414" s="29"/>
      <c r="W414" s="95"/>
      <c r="X414" s="86"/>
      <c r="Y414" s="86"/>
      <c r="Z414" s="86"/>
      <c r="AA414" s="86"/>
      <c r="AB414" s="86"/>
      <c r="AE414" s="19"/>
      <c r="AF414" s="19"/>
      <c r="AG414" s="19"/>
      <c r="AI414" s="19"/>
      <c r="AJ414" s="19"/>
      <c r="AK414" s="19"/>
      <c r="AL414" s="19"/>
      <c r="AN414" s="19"/>
      <c r="AO414" s="19"/>
      <c r="AP414" s="19"/>
      <c r="AQ414" s="19"/>
      <c r="AS414" s="19"/>
      <c r="AT414" s="19"/>
      <c r="AU414" s="19"/>
      <c r="AV414" s="19"/>
      <c r="AX414" s="19"/>
      <c r="AY414" s="19"/>
      <c r="AZ414" s="19"/>
      <c r="BA414" s="19"/>
      <c r="BC414" s="19"/>
      <c r="BD414" s="19"/>
      <c r="BE414" s="19"/>
      <c r="BF414" s="19"/>
      <c r="BH414" s="19"/>
      <c r="BI414" s="19"/>
      <c r="BJ414" s="19"/>
      <c r="BK414" s="19"/>
      <c r="BM414" s="19"/>
      <c r="BN414" s="19"/>
      <c r="BO414" s="19"/>
      <c r="BP414" s="19"/>
      <c r="BR414" s="19"/>
      <c r="BS414" s="19"/>
      <c r="BT414" s="19"/>
      <c r="BU414" s="19"/>
      <c r="BW414" s="19"/>
      <c r="BX414" s="19"/>
      <c r="BY414" s="19"/>
      <c r="BZ414" s="19"/>
      <c r="CB414" s="26"/>
      <c r="CC414" s="26"/>
      <c r="CD414" s="19"/>
      <c r="CE414" s="19"/>
      <c r="CF414" s="19"/>
      <c r="CG414" s="26"/>
      <c r="CH414" s="19"/>
      <c r="CI414" s="19"/>
      <c r="CJ414" s="19"/>
      <c r="CK414" s="19"/>
      <c r="CM414" s="19"/>
      <c r="CN414" s="19"/>
      <c r="CO414" s="19"/>
      <c r="CP414" s="19"/>
      <c r="CR414" s="19"/>
      <c r="CS414" s="19"/>
      <c r="CT414" s="19"/>
      <c r="CU414" s="19"/>
      <c r="CW414" s="19"/>
      <c r="CX414" s="19"/>
      <c r="CY414" s="19"/>
      <c r="CZ414" s="19"/>
      <c r="DB414" s="19"/>
      <c r="DC414" s="19"/>
      <c r="DD414" s="19"/>
      <c r="DE414" s="19"/>
      <c r="DG414" s="19"/>
      <c r="DH414" s="19"/>
      <c r="DI414" s="19"/>
      <c r="DJ414" s="19"/>
      <c r="DL414" s="19"/>
      <c r="DM414" s="19"/>
      <c r="DN414" s="19"/>
      <c r="DO414" s="19"/>
      <c r="DQ414" s="19"/>
      <c r="DR414" s="19"/>
      <c r="DS414" s="19"/>
      <c r="DT414" s="19"/>
      <c r="DV414" s="19"/>
      <c r="DW414" s="19"/>
      <c r="DX414" s="19"/>
      <c r="DY414" s="19"/>
    </row>
    <row r="415" spans="1:225" x14ac:dyDescent="0.25">
      <c r="A415" s="8" t="s">
        <v>2960</v>
      </c>
      <c r="B415" s="24" t="s">
        <v>2961</v>
      </c>
      <c r="C415" s="25" t="s">
        <v>2959</v>
      </c>
      <c r="E415" s="26" t="s">
        <v>1762</v>
      </c>
      <c r="F415" s="198" t="s">
        <v>754</v>
      </c>
      <c r="G415" s="198" t="s">
        <v>1700</v>
      </c>
      <c r="H415" s="25" t="s">
        <v>2962</v>
      </c>
      <c r="J415" s="27" t="s">
        <v>866</v>
      </c>
      <c r="R415" s="29" t="s">
        <v>853</v>
      </c>
      <c r="X415" s="84" t="s">
        <v>1700</v>
      </c>
      <c r="Y415" s="84" t="s">
        <v>190</v>
      </c>
      <c r="AA415" s="84" t="s">
        <v>2963</v>
      </c>
      <c r="AB415" s="84" t="s">
        <v>126</v>
      </c>
      <c r="CB415" s="26">
        <v>41934</v>
      </c>
      <c r="CC415" s="26" t="s">
        <v>853</v>
      </c>
      <c r="CD415" s="8" t="s">
        <v>2964</v>
      </c>
      <c r="CE415" s="8">
        <v>330</v>
      </c>
      <c r="CF415" s="8">
        <v>160</v>
      </c>
      <c r="CG415" s="26"/>
      <c r="CH415" s="8"/>
      <c r="CM415" s="8"/>
      <c r="CR415" s="8"/>
    </row>
    <row r="416" spans="1:225" x14ac:dyDescent="0.25">
      <c r="A416" s="8" t="s">
        <v>655</v>
      </c>
      <c r="B416" s="24" t="s">
        <v>1471</v>
      </c>
      <c r="C416" s="25" t="s">
        <v>119</v>
      </c>
      <c r="D416" s="26">
        <v>30319</v>
      </c>
      <c r="E416" s="26" t="s">
        <v>1762</v>
      </c>
      <c r="F416" s="198" t="s">
        <v>1353</v>
      </c>
      <c r="G416" s="198" t="s">
        <v>4428</v>
      </c>
      <c r="H416" s="25" t="s">
        <v>1352</v>
      </c>
      <c r="I416" s="27" t="s">
        <v>3904</v>
      </c>
      <c r="J416" s="27" t="s">
        <v>866</v>
      </c>
      <c r="K416" s="28" t="s">
        <v>855</v>
      </c>
      <c r="L416" s="29" t="s">
        <v>3907</v>
      </c>
      <c r="P416" s="17">
        <v>1</v>
      </c>
      <c r="R416" s="29" t="s">
        <v>855</v>
      </c>
      <c r="CB416" s="26"/>
      <c r="CC416" s="26"/>
      <c r="CF416" s="8"/>
      <c r="CG416" s="26"/>
      <c r="CH416" s="8"/>
      <c r="CM416" s="8"/>
      <c r="CR416" s="8"/>
    </row>
    <row r="417" spans="1:225" x14ac:dyDescent="0.25">
      <c r="A417" s="8" t="s">
        <v>1285</v>
      </c>
      <c r="B417" s="24" t="s">
        <v>805</v>
      </c>
      <c r="C417" s="25" t="s">
        <v>1286</v>
      </c>
      <c r="E417" s="26" t="s">
        <v>1762</v>
      </c>
      <c r="F417" s="198" t="s">
        <v>134</v>
      </c>
      <c r="G417" s="198" t="s">
        <v>1700</v>
      </c>
      <c r="H417" s="25" t="s">
        <v>2560</v>
      </c>
      <c r="J417" s="27" t="s">
        <v>866</v>
      </c>
      <c r="X417" s="84" t="s">
        <v>1700</v>
      </c>
      <c r="Y417" s="84" t="s">
        <v>258</v>
      </c>
      <c r="AA417" s="84" t="s">
        <v>1287</v>
      </c>
      <c r="AB417" s="84" t="s">
        <v>1749</v>
      </c>
      <c r="CA417" s="19"/>
      <c r="CB417" s="26"/>
      <c r="CC417" s="26"/>
      <c r="CF417" s="8"/>
      <c r="CG417" s="26"/>
      <c r="CH417" s="8"/>
      <c r="CM417" s="8"/>
      <c r="CR417" s="8"/>
      <c r="DZ417" s="19"/>
    </row>
    <row r="418" spans="1:225" x14ac:dyDescent="0.25">
      <c r="A418" s="8" t="s">
        <v>1084</v>
      </c>
      <c r="B418" s="24" t="s">
        <v>1085</v>
      </c>
      <c r="C418" s="25" t="s">
        <v>81</v>
      </c>
      <c r="D418" s="26">
        <v>32632</v>
      </c>
      <c r="E418" s="26" t="s">
        <v>1762</v>
      </c>
      <c r="F418" s="198" t="s">
        <v>927</v>
      </c>
      <c r="G418" s="198" t="s">
        <v>1700</v>
      </c>
      <c r="H418" s="25" t="s">
        <v>1700</v>
      </c>
      <c r="I418" s="27" t="s">
        <v>3893</v>
      </c>
      <c r="J418" s="27" t="s">
        <v>866</v>
      </c>
      <c r="K418" s="28" t="s">
        <v>816</v>
      </c>
      <c r="R418" s="29" t="s">
        <v>856</v>
      </c>
      <c r="S418" s="8" t="s">
        <v>816</v>
      </c>
      <c r="X418" s="84" t="s">
        <v>1700</v>
      </c>
      <c r="Y418" s="84" t="s">
        <v>1700</v>
      </c>
      <c r="AA418" s="84" t="s">
        <v>2258</v>
      </c>
      <c r="AB418" s="84" t="s">
        <v>1749</v>
      </c>
      <c r="CB418" s="26"/>
      <c r="CC418" s="26"/>
      <c r="CF418" s="8"/>
      <c r="CG418" s="26"/>
      <c r="CH418" s="8"/>
      <c r="CM418" s="8"/>
      <c r="CR418" s="8"/>
    </row>
    <row r="419" spans="1:225" x14ac:dyDescent="0.25">
      <c r="A419" s="8" t="s">
        <v>920</v>
      </c>
      <c r="B419" s="24" t="s">
        <v>969</v>
      </c>
      <c r="E419" s="26" t="s">
        <v>877</v>
      </c>
      <c r="F419" s="198" t="s">
        <v>920</v>
      </c>
      <c r="G419" s="198" t="s">
        <v>1447</v>
      </c>
      <c r="H419" s="25" t="s">
        <v>1700</v>
      </c>
      <c r="J419" s="27" t="s">
        <v>866</v>
      </c>
      <c r="R419" s="29" t="s">
        <v>816</v>
      </c>
      <c r="CB419" s="278"/>
      <c r="CG419" s="278"/>
    </row>
    <row r="420" spans="1:225" x14ac:dyDescent="0.25">
      <c r="A420" s="19" t="s">
        <v>920</v>
      </c>
      <c r="B420" s="12" t="s">
        <v>951</v>
      </c>
      <c r="C420" s="13" t="s">
        <v>1974</v>
      </c>
      <c r="D420" s="14">
        <v>25170</v>
      </c>
      <c r="E420" s="14" t="s">
        <v>1762</v>
      </c>
      <c r="F420" s="199" t="s">
        <v>927</v>
      </c>
      <c r="G420" s="199" t="s">
        <v>93</v>
      </c>
      <c r="H420" s="13" t="s">
        <v>844</v>
      </c>
      <c r="I420" s="23"/>
      <c r="J420" s="23" t="s">
        <v>866</v>
      </c>
      <c r="K420" s="17"/>
      <c r="L420" s="13"/>
      <c r="M420" s="13"/>
      <c r="N420" s="21"/>
      <c r="O420" s="21"/>
      <c r="Q420" s="93"/>
      <c r="R420" s="28" t="s">
        <v>860</v>
      </c>
      <c r="S420" s="13" t="s">
        <v>816</v>
      </c>
      <c r="T420" s="13"/>
      <c r="U420" s="21"/>
      <c r="V420" s="21"/>
      <c r="W420" s="95"/>
      <c r="X420" s="86"/>
      <c r="Y420" s="86"/>
      <c r="Z420" s="86"/>
      <c r="AE420" s="19"/>
      <c r="AF420" s="19"/>
      <c r="AG420" s="19"/>
      <c r="AI420" s="19"/>
      <c r="AJ420" s="19"/>
      <c r="AK420" s="19"/>
      <c r="AL420" s="19"/>
      <c r="AN420" s="19"/>
      <c r="AO420" s="19"/>
      <c r="AP420" s="19"/>
      <c r="AQ420" s="19"/>
      <c r="AS420" s="19"/>
      <c r="AT420" s="19"/>
      <c r="AU420" s="19"/>
      <c r="AV420" s="19"/>
      <c r="AX420" s="19"/>
      <c r="AY420" s="19"/>
      <c r="AZ420" s="19"/>
      <c r="BA420" s="19"/>
      <c r="BC420" s="19"/>
      <c r="BD420" s="19"/>
      <c r="BE420" s="19"/>
      <c r="BF420" s="19"/>
      <c r="BH420" s="19"/>
      <c r="BI420" s="19"/>
      <c r="BJ420" s="19"/>
      <c r="BK420" s="19"/>
      <c r="BM420" s="19"/>
      <c r="BN420" s="19"/>
      <c r="BO420" s="19"/>
      <c r="BP420" s="19"/>
      <c r="BR420" s="19"/>
      <c r="BS420" s="19"/>
      <c r="BT420" s="19"/>
      <c r="BU420" s="19"/>
      <c r="BW420" s="19"/>
      <c r="BX420" s="19"/>
      <c r="BY420" s="19"/>
      <c r="BZ420" s="19"/>
      <c r="CB420" s="26"/>
      <c r="CC420" s="26"/>
      <c r="CD420" s="19"/>
      <c r="CE420" s="19"/>
      <c r="CF420" s="19"/>
      <c r="CG420" s="26"/>
      <c r="CH420" s="19"/>
      <c r="CI420" s="19"/>
      <c r="CJ420" s="19"/>
      <c r="CK420" s="19"/>
      <c r="CM420" s="19"/>
      <c r="CN420" s="19"/>
      <c r="CO420" s="19"/>
      <c r="CP420" s="19"/>
      <c r="CR420" s="19"/>
      <c r="CS420" s="19"/>
      <c r="CT420" s="19"/>
      <c r="CU420" s="19"/>
      <c r="CW420" s="19"/>
      <c r="CX420" s="19"/>
      <c r="CY420" s="19"/>
      <c r="CZ420" s="19"/>
      <c r="DB420" s="19"/>
      <c r="DC420" s="19"/>
      <c r="DD420" s="19"/>
      <c r="DE420" s="19"/>
      <c r="DG420" s="19"/>
      <c r="DH420" s="19"/>
      <c r="DI420" s="19"/>
      <c r="DJ420" s="19"/>
      <c r="DL420" s="19"/>
      <c r="DM420" s="19"/>
      <c r="DN420" s="19"/>
      <c r="DO420" s="19"/>
      <c r="DQ420" s="19"/>
      <c r="DR420" s="19"/>
      <c r="DS420" s="19"/>
      <c r="DT420" s="19"/>
      <c r="DV420" s="19"/>
      <c r="DW420" s="19"/>
      <c r="DX420" s="19"/>
      <c r="DY420" s="19"/>
    </row>
    <row r="421" spans="1:225" x14ac:dyDescent="0.25">
      <c r="A421" s="8" t="s">
        <v>3580</v>
      </c>
      <c r="B421" s="24" t="s">
        <v>2145</v>
      </c>
      <c r="C421" s="25" t="s">
        <v>3579</v>
      </c>
      <c r="E421" s="26" t="s">
        <v>1762</v>
      </c>
      <c r="F421" s="198" t="s">
        <v>1448</v>
      </c>
      <c r="G421" s="198" t="s">
        <v>1700</v>
      </c>
      <c r="H421" s="25" t="s">
        <v>3581</v>
      </c>
      <c r="J421" s="27" t="s">
        <v>866</v>
      </c>
      <c r="R421" s="29" t="s">
        <v>853</v>
      </c>
      <c r="X421" s="84" t="s">
        <v>1700</v>
      </c>
      <c r="Y421" s="84" t="s">
        <v>2921</v>
      </c>
      <c r="AA421" s="84" t="s">
        <v>3582</v>
      </c>
      <c r="AB421" s="84" t="s">
        <v>2852</v>
      </c>
      <c r="CB421" s="278">
        <v>42074</v>
      </c>
      <c r="CC421" s="278" t="s">
        <v>853</v>
      </c>
      <c r="CD421" s="8" t="s">
        <v>3583</v>
      </c>
      <c r="CE421" s="8">
        <v>468</v>
      </c>
      <c r="CF421" s="279">
        <v>160</v>
      </c>
      <c r="CG421" s="278"/>
    </row>
    <row r="422" spans="1:225" x14ac:dyDescent="0.25">
      <c r="A422" s="8" t="s">
        <v>1422</v>
      </c>
      <c r="B422" s="24" t="s">
        <v>1423</v>
      </c>
      <c r="C422" s="25" t="s">
        <v>1279</v>
      </c>
      <c r="E422" s="26" t="s">
        <v>1762</v>
      </c>
      <c r="F422" s="198" t="s">
        <v>945</v>
      </c>
      <c r="G422" s="198" t="s">
        <v>1700</v>
      </c>
      <c r="H422" s="25" t="s">
        <v>2943</v>
      </c>
      <c r="I422" s="27" t="s">
        <v>3903</v>
      </c>
      <c r="J422" s="27" t="s">
        <v>866</v>
      </c>
      <c r="K422" s="28" t="s">
        <v>853</v>
      </c>
      <c r="Q422" s="93"/>
      <c r="R422" s="28" t="s">
        <v>853</v>
      </c>
      <c r="S422" s="29"/>
      <c r="T422" s="29"/>
      <c r="U422" s="29"/>
      <c r="V422" s="29"/>
      <c r="W422" s="95">
        <v>160</v>
      </c>
      <c r="X422" s="86" t="s">
        <v>1700</v>
      </c>
      <c r="Y422" s="86" t="s">
        <v>190</v>
      </c>
      <c r="Z422" s="86"/>
      <c r="AA422" s="86" t="s">
        <v>1064</v>
      </c>
      <c r="AB422" s="84" t="s">
        <v>126</v>
      </c>
      <c r="AC422" s="26">
        <v>42352</v>
      </c>
      <c r="AD422" s="26" t="s">
        <v>853</v>
      </c>
      <c r="AE422" s="19" t="s">
        <v>4400</v>
      </c>
      <c r="AF422" s="19">
        <v>608</v>
      </c>
      <c r="AG422" s="19">
        <v>160</v>
      </c>
      <c r="AI422" s="19"/>
      <c r="AJ422" s="19"/>
      <c r="AK422" s="19"/>
      <c r="AL422" s="19"/>
      <c r="AN422" s="19"/>
      <c r="AO422" s="19"/>
      <c r="AP422" s="19"/>
      <c r="AQ422" s="19"/>
      <c r="AS422" s="19"/>
      <c r="AT422" s="19"/>
      <c r="AU422" s="19"/>
      <c r="AV422" s="19"/>
      <c r="AX422" s="19"/>
      <c r="AY422" s="19"/>
      <c r="AZ422" s="19"/>
      <c r="BA422" s="19"/>
      <c r="BC422" s="19"/>
      <c r="BD422" s="19"/>
      <c r="BE422" s="19"/>
      <c r="BF422" s="19"/>
      <c r="BH422" s="19"/>
      <c r="BI422" s="19"/>
      <c r="BJ422" s="19"/>
      <c r="BK422" s="19"/>
      <c r="BM422" s="19"/>
      <c r="BN422" s="19"/>
      <c r="BO422" s="19"/>
      <c r="BP422" s="19"/>
      <c r="BR422" s="19"/>
      <c r="BS422" s="19"/>
      <c r="BT422" s="19"/>
      <c r="BU422" s="19"/>
      <c r="BV422" s="8"/>
      <c r="BY422" s="19"/>
      <c r="CB422" s="26">
        <v>41934</v>
      </c>
      <c r="CC422" s="26" t="s">
        <v>853</v>
      </c>
      <c r="CD422" s="19" t="s">
        <v>2944</v>
      </c>
      <c r="CE422" s="19">
        <v>348</v>
      </c>
      <c r="CF422" s="19">
        <v>160</v>
      </c>
      <c r="CG422" s="26"/>
      <c r="CH422" s="19"/>
      <c r="CI422" s="19"/>
      <c r="CJ422" s="19"/>
      <c r="CK422" s="19"/>
      <c r="CM422" s="19"/>
      <c r="CN422" s="19"/>
      <c r="CO422" s="19"/>
      <c r="CP422" s="19"/>
      <c r="CR422" s="19"/>
      <c r="CS422" s="19"/>
      <c r="CT422" s="19"/>
      <c r="CU422" s="19"/>
      <c r="CW422" s="19"/>
      <c r="CX422" s="19"/>
      <c r="CY422" s="19"/>
      <c r="CZ422" s="19"/>
      <c r="DB422" s="19"/>
      <c r="DC422" s="19"/>
      <c r="DD422" s="19"/>
      <c r="DE422" s="19"/>
      <c r="DG422" s="19"/>
      <c r="DH422" s="19"/>
      <c r="DI422" s="19"/>
      <c r="DJ422" s="19"/>
      <c r="DL422" s="19"/>
      <c r="DM422" s="19"/>
      <c r="DN422" s="19"/>
      <c r="DO422" s="19"/>
      <c r="DQ422" s="19"/>
      <c r="DR422" s="19"/>
      <c r="DS422" s="19"/>
      <c r="DT422" s="19"/>
      <c r="DU422" s="8"/>
      <c r="EB422" s="19"/>
      <c r="EC422" s="19"/>
      <c r="ED422" s="19"/>
      <c r="EE422" s="19"/>
      <c r="EF422" s="19"/>
      <c r="EG422" s="19"/>
      <c r="EH422" s="19"/>
      <c r="EI422" s="19"/>
      <c r="EJ422" s="19"/>
      <c r="EK422" s="19"/>
      <c r="EL422" s="19"/>
      <c r="EN422" s="19"/>
      <c r="EO422" s="19"/>
      <c r="EP422" s="19"/>
      <c r="EQ422" s="19"/>
      <c r="ER422" s="19"/>
      <c r="ES422" s="19"/>
      <c r="ET422" s="19"/>
      <c r="EU422" s="19"/>
      <c r="EV422" s="19"/>
      <c r="EW422" s="19"/>
      <c r="EX422" s="19"/>
      <c r="EZ422" s="19"/>
      <c r="FA422" s="19"/>
      <c r="FB422" s="19"/>
      <c r="FC422" s="19"/>
      <c r="FD422" s="19"/>
      <c r="FE422" s="19"/>
      <c r="FF422" s="19"/>
      <c r="FG422" s="19"/>
      <c r="FH422" s="19"/>
      <c r="FI422" s="19"/>
      <c r="FJ422" s="19"/>
      <c r="FL422" s="19"/>
      <c r="FM422" s="19"/>
      <c r="FN422" s="19"/>
      <c r="FO422" s="19"/>
      <c r="FP422" s="19"/>
      <c r="FQ422" s="19"/>
      <c r="FR422" s="19"/>
      <c r="FS422" s="19"/>
      <c r="FT422" s="19"/>
      <c r="FU422" s="19"/>
      <c r="FV422" s="19"/>
      <c r="FX422" s="19"/>
      <c r="FY422" s="19"/>
      <c r="FZ422" s="19"/>
      <c r="GA422" s="19"/>
      <c r="GB422" s="19"/>
      <c r="GC422" s="19"/>
      <c r="GD422" s="19"/>
      <c r="GE422" s="19"/>
      <c r="GF422" s="19"/>
      <c r="GG422" s="19"/>
      <c r="GH422" s="19"/>
      <c r="GJ422" s="19"/>
      <c r="GK422" s="19"/>
      <c r="GL422" s="19"/>
      <c r="GM422" s="19"/>
      <c r="GN422" s="19"/>
      <c r="GO422" s="19"/>
      <c r="GP422" s="19"/>
      <c r="GQ422" s="19"/>
      <c r="GR422" s="19"/>
      <c r="GS422" s="19"/>
      <c r="GT422" s="19"/>
      <c r="GV422" s="19"/>
      <c r="GW422" s="19"/>
      <c r="GX422" s="19"/>
      <c r="GY422" s="19"/>
      <c r="GZ422" s="19"/>
      <c r="HA422" s="19"/>
      <c r="HB422" s="19"/>
      <c r="HC422" s="19"/>
      <c r="HD422" s="19"/>
      <c r="HE422" s="19"/>
      <c r="HF422" s="19"/>
      <c r="HH422" s="19"/>
      <c r="HI422" s="19"/>
      <c r="HJ422" s="19"/>
      <c r="HK422" s="19"/>
      <c r="HL422" s="19"/>
      <c r="HM422" s="19"/>
      <c r="HN422" s="19"/>
      <c r="HO422" s="19"/>
      <c r="HP422" s="19"/>
      <c r="HQ422" s="19"/>
    </row>
    <row r="423" spans="1:225" x14ac:dyDescent="0.25">
      <c r="A423" s="8" t="s">
        <v>1936</v>
      </c>
      <c r="B423" s="24" t="s">
        <v>878</v>
      </c>
      <c r="C423" s="25" t="s">
        <v>1937</v>
      </c>
      <c r="E423" s="26" t="s">
        <v>1762</v>
      </c>
      <c r="F423" s="198" t="s">
        <v>350</v>
      </c>
      <c r="G423" s="198" t="s">
        <v>1700</v>
      </c>
      <c r="H423" s="25" t="s">
        <v>3075</v>
      </c>
      <c r="I423" s="27" t="s">
        <v>3901</v>
      </c>
      <c r="J423" s="27" t="s">
        <v>866</v>
      </c>
      <c r="K423" s="28" t="s">
        <v>853</v>
      </c>
      <c r="R423" s="29" t="s">
        <v>853</v>
      </c>
      <c r="W423" s="93">
        <v>135</v>
      </c>
      <c r="X423" s="84" t="s">
        <v>1700</v>
      </c>
      <c r="Y423" s="84" t="s">
        <v>195</v>
      </c>
      <c r="AA423" s="84" t="s">
        <v>1939</v>
      </c>
      <c r="AB423" s="84" t="s">
        <v>1938</v>
      </c>
      <c r="AC423" s="26">
        <v>42311</v>
      </c>
      <c r="AD423" s="26" t="s">
        <v>853</v>
      </c>
      <c r="AE423" s="8" t="s">
        <v>4089</v>
      </c>
      <c r="AF423" s="8">
        <v>130</v>
      </c>
      <c r="AG423" s="8">
        <v>65</v>
      </c>
      <c r="AH423" s="26">
        <v>42311</v>
      </c>
      <c r="AI423" s="8" t="s">
        <v>853</v>
      </c>
      <c r="AJ423" s="8" t="s">
        <v>4132</v>
      </c>
      <c r="AK423" s="8">
        <v>140</v>
      </c>
      <c r="AL423" s="8">
        <v>70</v>
      </c>
      <c r="CB423" s="26">
        <v>41943</v>
      </c>
      <c r="CC423" s="26" t="s">
        <v>853</v>
      </c>
      <c r="CD423" s="8" t="s">
        <v>3076</v>
      </c>
      <c r="CE423" s="8">
        <v>120</v>
      </c>
      <c r="CF423" s="8">
        <v>60</v>
      </c>
      <c r="CG423" s="26"/>
      <c r="CH423" s="8"/>
      <c r="CM423" s="8"/>
      <c r="CR423" s="8"/>
      <c r="DZ423" s="19"/>
    </row>
    <row r="424" spans="1:225" x14ac:dyDescent="0.25">
      <c r="A424" s="8" t="s">
        <v>4084</v>
      </c>
      <c r="B424" s="24" t="s">
        <v>1471</v>
      </c>
      <c r="C424" s="25" t="s">
        <v>4083</v>
      </c>
      <c r="E424" s="26" t="s">
        <v>1762</v>
      </c>
      <c r="F424" s="198" t="s">
        <v>367</v>
      </c>
      <c r="G424" s="198" t="s">
        <v>1700</v>
      </c>
      <c r="H424" s="25" t="s">
        <v>4085</v>
      </c>
      <c r="I424" s="27" t="s">
        <v>3901</v>
      </c>
      <c r="J424" s="27" t="s">
        <v>866</v>
      </c>
      <c r="K424" s="28" t="s">
        <v>853</v>
      </c>
      <c r="W424" s="93">
        <v>160</v>
      </c>
      <c r="X424" s="84" t="s">
        <v>1700</v>
      </c>
      <c r="Y424" s="84" t="s">
        <v>4086</v>
      </c>
      <c r="AA424" s="84" t="s">
        <v>4087</v>
      </c>
      <c r="AB424" s="84" t="s">
        <v>3135</v>
      </c>
      <c r="AC424" s="26">
        <v>42311</v>
      </c>
      <c r="AD424" s="26" t="s">
        <v>853</v>
      </c>
      <c r="AE424" s="8" t="s">
        <v>4088</v>
      </c>
      <c r="AF424" s="8">
        <v>360</v>
      </c>
      <c r="AG424" s="8">
        <v>160</v>
      </c>
      <c r="CB424" s="278"/>
      <c r="CG424" s="278"/>
    </row>
    <row r="425" spans="1:225" x14ac:dyDescent="0.25">
      <c r="A425" s="8" t="s">
        <v>4857</v>
      </c>
      <c r="B425" s="24" t="s">
        <v>871</v>
      </c>
      <c r="C425" s="25" t="s">
        <v>4856</v>
      </c>
      <c r="E425" s="26" t="s">
        <v>1762</v>
      </c>
      <c r="F425" s="198" t="s">
        <v>913</v>
      </c>
      <c r="G425" s="198" t="s">
        <v>3406</v>
      </c>
      <c r="H425" s="25" t="s">
        <v>4858</v>
      </c>
      <c r="I425" s="27" t="s">
        <v>3896</v>
      </c>
      <c r="J425" s="27" t="s">
        <v>866</v>
      </c>
      <c r="K425" s="28" t="s">
        <v>853</v>
      </c>
      <c r="W425" s="93">
        <v>77</v>
      </c>
      <c r="X425" s="84" t="s">
        <v>1700</v>
      </c>
      <c r="Y425" s="84" t="s">
        <v>2499</v>
      </c>
      <c r="AA425" s="84" t="s">
        <v>4860</v>
      </c>
      <c r="AB425" s="84" t="s">
        <v>126</v>
      </c>
      <c r="AC425" s="26">
        <v>42545</v>
      </c>
      <c r="AD425" s="26" t="s">
        <v>853</v>
      </c>
      <c r="AE425" s="8" t="s">
        <v>4859</v>
      </c>
      <c r="AF425" s="8">
        <v>155</v>
      </c>
      <c r="AG425" s="8">
        <v>77</v>
      </c>
      <c r="CB425" s="278"/>
      <c r="CG425" s="278"/>
    </row>
    <row r="426" spans="1:225" x14ac:dyDescent="0.25">
      <c r="A426" s="8" t="s">
        <v>1960</v>
      </c>
      <c r="B426" s="24" t="s">
        <v>779</v>
      </c>
      <c r="F426" s="198" t="s">
        <v>1700</v>
      </c>
      <c r="G426" s="198" t="s">
        <v>1700</v>
      </c>
      <c r="H426" s="25" t="s">
        <v>1700</v>
      </c>
      <c r="I426" s="27" t="s">
        <v>3899</v>
      </c>
      <c r="J426" s="27" t="s">
        <v>866</v>
      </c>
      <c r="K426" s="28" t="s">
        <v>3907</v>
      </c>
      <c r="P426" s="17">
        <v>1</v>
      </c>
      <c r="CB426" s="278"/>
      <c r="CG426" s="278"/>
    </row>
    <row r="427" spans="1:225" x14ac:dyDescent="0.25">
      <c r="A427" s="8" t="s">
        <v>1910</v>
      </c>
      <c r="B427" s="24" t="s">
        <v>1911</v>
      </c>
      <c r="C427" s="25" t="s">
        <v>1912</v>
      </c>
      <c r="E427" s="26" t="s">
        <v>1762</v>
      </c>
      <c r="F427" s="198" t="s">
        <v>913</v>
      </c>
      <c r="G427" s="198" t="s">
        <v>1700</v>
      </c>
      <c r="H427" s="25" t="s">
        <v>1700</v>
      </c>
      <c r="J427" s="27" t="s">
        <v>866</v>
      </c>
      <c r="X427" s="84" t="s">
        <v>1700</v>
      </c>
      <c r="Y427" s="84" t="s">
        <v>649</v>
      </c>
      <c r="AA427" s="84" t="s">
        <v>694</v>
      </c>
      <c r="AB427" s="84" t="s">
        <v>1152</v>
      </c>
      <c r="CB427" s="26"/>
      <c r="CC427" s="26"/>
      <c r="CF427" s="8"/>
      <c r="CG427" s="26"/>
      <c r="CH427" s="8"/>
      <c r="CM427" s="8"/>
      <c r="CR427" s="8"/>
      <c r="DZ427" s="279"/>
    </row>
    <row r="428" spans="1:225" x14ac:dyDescent="0.25">
      <c r="A428" s="8" t="s">
        <v>82</v>
      </c>
      <c r="B428" s="24" t="s">
        <v>83</v>
      </c>
      <c r="C428" s="25" t="s">
        <v>84</v>
      </c>
      <c r="E428" s="26" t="s">
        <v>1762</v>
      </c>
      <c r="F428" s="198" t="s">
        <v>85</v>
      </c>
      <c r="G428" s="198" t="s">
        <v>1700</v>
      </c>
      <c r="H428" s="25" t="s">
        <v>1700</v>
      </c>
      <c r="J428" s="27" t="s">
        <v>866</v>
      </c>
      <c r="CA428" s="19"/>
      <c r="CB428" s="26"/>
      <c r="CC428" s="26"/>
      <c r="CF428" s="8"/>
      <c r="CG428" s="26"/>
      <c r="CH428" s="8"/>
      <c r="CM428" s="8"/>
      <c r="CR428" s="8"/>
    </row>
    <row r="429" spans="1:225" x14ac:dyDescent="0.25">
      <c r="A429" s="8" t="s">
        <v>287</v>
      </c>
      <c r="B429" s="24" t="s">
        <v>2181</v>
      </c>
      <c r="C429" s="25" t="s">
        <v>286</v>
      </c>
      <c r="E429" s="26" t="s">
        <v>1762</v>
      </c>
      <c r="F429" s="198" t="s">
        <v>960</v>
      </c>
      <c r="G429" s="198" t="s">
        <v>2383</v>
      </c>
      <c r="H429" s="25" t="s">
        <v>2905</v>
      </c>
      <c r="I429" s="27" t="s">
        <v>3903</v>
      </c>
      <c r="J429" s="27" t="s">
        <v>866</v>
      </c>
      <c r="K429" s="28" t="s">
        <v>853</v>
      </c>
      <c r="Q429" s="93"/>
      <c r="R429" s="28" t="s">
        <v>853</v>
      </c>
      <c r="S429" s="29"/>
      <c r="T429" s="29"/>
      <c r="U429" s="29"/>
      <c r="V429" s="29"/>
      <c r="W429" s="93">
        <v>140</v>
      </c>
      <c r="X429" s="86" t="s">
        <v>1700</v>
      </c>
      <c r="Y429" s="86" t="s">
        <v>2499</v>
      </c>
      <c r="Z429" s="86"/>
      <c r="AA429" s="86" t="s">
        <v>1065</v>
      </c>
      <c r="AB429" s="84" t="s">
        <v>126</v>
      </c>
      <c r="AC429" s="26">
        <v>42360</v>
      </c>
      <c r="AD429" s="26" t="s">
        <v>853</v>
      </c>
      <c r="AE429" s="8" t="s">
        <v>4450</v>
      </c>
      <c r="AF429" s="8">
        <v>280</v>
      </c>
      <c r="AG429" s="8">
        <v>140</v>
      </c>
      <c r="CB429" s="26">
        <v>41934</v>
      </c>
      <c r="CC429" s="26" t="s">
        <v>853</v>
      </c>
      <c r="CD429" s="8" t="s">
        <v>2906</v>
      </c>
      <c r="CE429" s="8">
        <v>160</v>
      </c>
      <c r="CF429" s="8">
        <v>80</v>
      </c>
      <c r="CG429" s="26">
        <v>41934</v>
      </c>
      <c r="CH429" s="8" t="s">
        <v>853</v>
      </c>
      <c r="CI429" s="8" t="s">
        <v>2907</v>
      </c>
      <c r="CJ429" s="8">
        <v>170</v>
      </c>
      <c r="CK429" s="8">
        <v>80</v>
      </c>
      <c r="CM429" s="8"/>
      <c r="CR429" s="8"/>
    </row>
    <row r="430" spans="1:225" x14ac:dyDescent="0.25">
      <c r="A430" s="8" t="s">
        <v>1867</v>
      </c>
      <c r="B430" s="24" t="s">
        <v>1260</v>
      </c>
      <c r="C430" s="25" t="s">
        <v>1868</v>
      </c>
      <c r="E430" s="26" t="s">
        <v>1762</v>
      </c>
      <c r="F430" s="198" t="s">
        <v>1700</v>
      </c>
      <c r="G430" s="198" t="s">
        <v>1700</v>
      </c>
      <c r="H430" s="25" t="s">
        <v>1700</v>
      </c>
      <c r="J430" s="27" t="s">
        <v>866</v>
      </c>
      <c r="R430" s="29" t="s">
        <v>816</v>
      </c>
      <c r="X430" s="84" t="s">
        <v>1700</v>
      </c>
      <c r="Y430" s="84" t="s">
        <v>791</v>
      </c>
      <c r="AA430" s="84" t="s">
        <v>1869</v>
      </c>
      <c r="AB430" s="84" t="s">
        <v>126</v>
      </c>
      <c r="CB430" s="26"/>
      <c r="CC430" s="26"/>
      <c r="CF430" s="8"/>
      <c r="CG430" s="26"/>
      <c r="CH430" s="8"/>
      <c r="CM430" s="8"/>
      <c r="CR430" s="8"/>
    </row>
    <row r="431" spans="1:225" x14ac:dyDescent="0.25">
      <c r="A431" s="8" t="s">
        <v>2158</v>
      </c>
      <c r="B431" s="24" t="s">
        <v>2159</v>
      </c>
      <c r="D431" s="26">
        <v>31190</v>
      </c>
      <c r="E431" s="26" t="s">
        <v>1762</v>
      </c>
      <c r="F431" s="198" t="s">
        <v>1715</v>
      </c>
      <c r="G431" s="198" t="s">
        <v>270</v>
      </c>
      <c r="H431" s="25" t="s">
        <v>1716</v>
      </c>
      <c r="I431" s="27" t="s">
        <v>3902</v>
      </c>
      <c r="J431" s="27" t="s">
        <v>866</v>
      </c>
      <c r="K431" s="28" t="s">
        <v>817</v>
      </c>
      <c r="R431" s="29" t="s">
        <v>817</v>
      </c>
      <c r="S431" s="8" t="s">
        <v>816</v>
      </c>
      <c r="CB431" s="26"/>
      <c r="CC431" s="26"/>
      <c r="CF431" s="8"/>
      <c r="CG431" s="26"/>
      <c r="CH431" s="8"/>
      <c r="CM431" s="8"/>
      <c r="CR431" s="8"/>
    </row>
    <row r="432" spans="1:225" x14ac:dyDescent="0.25">
      <c r="A432" s="8" t="s">
        <v>2476</v>
      </c>
      <c r="B432" s="24" t="s">
        <v>663</v>
      </c>
      <c r="C432" s="25" t="s">
        <v>3232</v>
      </c>
      <c r="F432" s="198" t="s">
        <v>1700</v>
      </c>
      <c r="G432" s="198" t="s">
        <v>1700</v>
      </c>
      <c r="H432" s="25" t="s">
        <v>1700</v>
      </c>
      <c r="J432" s="27" t="s">
        <v>866</v>
      </c>
      <c r="CB432" s="26"/>
      <c r="CC432" s="26"/>
      <c r="CF432" s="8"/>
      <c r="CG432" s="26"/>
      <c r="CH432" s="8"/>
      <c r="CM432" s="8"/>
      <c r="CR432" s="8"/>
      <c r="DP432" s="8"/>
      <c r="DU432" s="8"/>
    </row>
    <row r="433" spans="1:225" x14ac:dyDescent="0.25">
      <c r="A433" s="8" t="s">
        <v>1356</v>
      </c>
      <c r="B433" s="24" t="s">
        <v>2001</v>
      </c>
      <c r="C433" s="25" t="s">
        <v>1357</v>
      </c>
      <c r="E433" s="26" t="s">
        <v>1762</v>
      </c>
      <c r="F433" s="198" t="s">
        <v>1448</v>
      </c>
      <c r="G433" s="198" t="s">
        <v>1700</v>
      </c>
      <c r="H433" s="25" t="s">
        <v>1700</v>
      </c>
      <c r="J433" s="27" t="s">
        <v>866</v>
      </c>
      <c r="X433" s="84" t="s">
        <v>1700</v>
      </c>
      <c r="Y433" s="84" t="s">
        <v>791</v>
      </c>
      <c r="AA433" s="84" t="s">
        <v>1358</v>
      </c>
      <c r="AB433" s="84" t="s">
        <v>126</v>
      </c>
      <c r="CB433" s="26"/>
      <c r="CC433" s="26"/>
      <c r="CF433" s="8"/>
      <c r="CG433" s="26"/>
      <c r="CH433" s="8"/>
      <c r="CM433" s="8"/>
      <c r="CR433" s="8"/>
    </row>
    <row r="434" spans="1:225" x14ac:dyDescent="0.25">
      <c r="A434" s="8" t="s">
        <v>3637</v>
      </c>
      <c r="B434" s="24" t="s">
        <v>1537</v>
      </c>
      <c r="C434" s="25" t="s">
        <v>3636</v>
      </c>
      <c r="E434" s="26" t="s">
        <v>1762</v>
      </c>
      <c r="F434" s="198" t="s">
        <v>1503</v>
      </c>
      <c r="G434" s="198" t="s">
        <v>1700</v>
      </c>
      <c r="H434" s="25" t="s">
        <v>3638</v>
      </c>
      <c r="J434" s="27" t="s">
        <v>866</v>
      </c>
      <c r="R434" s="29" t="s">
        <v>853</v>
      </c>
      <c r="X434" s="84" t="s">
        <v>1700</v>
      </c>
      <c r="Y434" s="84" t="s">
        <v>2634</v>
      </c>
      <c r="AA434" s="84" t="s">
        <v>3639</v>
      </c>
      <c r="AB434" s="84" t="s">
        <v>348</v>
      </c>
      <c r="CB434" s="278">
        <v>42097</v>
      </c>
      <c r="CC434" s="278" t="s">
        <v>853</v>
      </c>
      <c r="CD434" s="8" t="s">
        <v>3640</v>
      </c>
      <c r="CE434" s="8">
        <v>683</v>
      </c>
      <c r="CF434" s="279">
        <v>160</v>
      </c>
      <c r="CG434" s="278"/>
    </row>
    <row r="435" spans="1:225" x14ac:dyDescent="0.25">
      <c r="A435" s="8" t="s">
        <v>2556</v>
      </c>
      <c r="B435" s="24" t="s">
        <v>2557</v>
      </c>
      <c r="C435" s="25" t="s">
        <v>2558</v>
      </c>
      <c r="E435" s="26" t="s">
        <v>1762</v>
      </c>
      <c r="F435" s="198" t="s">
        <v>194</v>
      </c>
      <c r="G435" s="198" t="s">
        <v>1700</v>
      </c>
      <c r="H435" s="25" t="s">
        <v>3873</v>
      </c>
      <c r="J435" s="27" t="s">
        <v>866</v>
      </c>
      <c r="R435" s="29" t="s">
        <v>853</v>
      </c>
      <c r="X435" s="84" t="s">
        <v>1700</v>
      </c>
      <c r="Y435" s="84" t="s">
        <v>2499</v>
      </c>
      <c r="AA435" s="84" t="s">
        <v>2559</v>
      </c>
      <c r="AB435" s="84" t="s">
        <v>126</v>
      </c>
      <c r="CB435" s="26">
        <v>42249</v>
      </c>
      <c r="CC435" s="26" t="s">
        <v>853</v>
      </c>
      <c r="CD435" s="8" t="s">
        <v>3874</v>
      </c>
      <c r="CE435" s="8">
        <v>417.41</v>
      </c>
      <c r="CF435" s="8">
        <v>160</v>
      </c>
      <c r="CG435" s="26"/>
      <c r="CH435" s="8"/>
      <c r="CM435" s="8"/>
      <c r="CR435" s="8"/>
      <c r="DZ435" s="279"/>
    </row>
    <row r="436" spans="1:225" x14ac:dyDescent="0.25">
      <c r="A436" s="19" t="s">
        <v>1430</v>
      </c>
      <c r="B436" s="12" t="s">
        <v>876</v>
      </c>
      <c r="C436" s="13" t="s">
        <v>1953</v>
      </c>
      <c r="D436" s="14">
        <v>24031</v>
      </c>
      <c r="E436" s="14" t="s">
        <v>1762</v>
      </c>
      <c r="F436" s="199" t="s">
        <v>898</v>
      </c>
      <c r="G436" s="199" t="s">
        <v>366</v>
      </c>
      <c r="H436" s="13" t="s">
        <v>366</v>
      </c>
      <c r="I436" s="20" t="s">
        <v>3897</v>
      </c>
      <c r="J436" s="20" t="s">
        <v>866</v>
      </c>
      <c r="K436" s="17" t="s">
        <v>859</v>
      </c>
      <c r="L436" s="21"/>
      <c r="M436" s="21"/>
      <c r="N436" s="21"/>
      <c r="O436" s="21"/>
      <c r="Q436" s="95"/>
      <c r="R436" s="17" t="s">
        <v>859</v>
      </c>
      <c r="S436" s="29" t="s">
        <v>855</v>
      </c>
      <c r="T436" s="29"/>
      <c r="U436" s="29"/>
      <c r="V436" s="29"/>
      <c r="W436" s="95">
        <v>280</v>
      </c>
      <c r="X436" s="86" t="s">
        <v>1700</v>
      </c>
      <c r="Y436" s="86" t="s">
        <v>1700</v>
      </c>
      <c r="Z436" s="86"/>
      <c r="AA436" s="84" t="s">
        <v>1954</v>
      </c>
      <c r="AB436" s="84" t="s">
        <v>221</v>
      </c>
      <c r="AC436" s="26">
        <v>42545</v>
      </c>
      <c r="AD436" s="26" t="s">
        <v>859</v>
      </c>
      <c r="AE436" s="19" t="s">
        <v>3242</v>
      </c>
      <c r="AF436" s="19">
        <v>624</v>
      </c>
      <c r="AG436" s="19">
        <v>280</v>
      </c>
      <c r="AI436" s="19"/>
      <c r="AJ436" s="19"/>
      <c r="AK436" s="19"/>
      <c r="AL436" s="19"/>
      <c r="AN436" s="19"/>
      <c r="AO436" s="19"/>
      <c r="AP436" s="19"/>
      <c r="AQ436" s="19"/>
      <c r="AS436" s="19"/>
      <c r="AT436" s="19"/>
      <c r="AU436" s="19"/>
      <c r="AV436" s="19"/>
      <c r="AX436" s="19"/>
      <c r="AY436" s="19"/>
      <c r="AZ436" s="19"/>
      <c r="BA436" s="19"/>
      <c r="BC436" s="19"/>
      <c r="BD436" s="19"/>
      <c r="BE436" s="19"/>
      <c r="BF436" s="19"/>
      <c r="BH436" s="19"/>
      <c r="BI436" s="19"/>
      <c r="BJ436" s="19"/>
      <c r="BK436" s="19"/>
      <c r="BM436" s="19"/>
      <c r="BN436" s="19"/>
      <c r="BO436" s="19"/>
      <c r="BP436" s="19"/>
      <c r="BR436" s="19"/>
      <c r="BS436" s="19"/>
      <c r="BT436" s="19"/>
      <c r="BU436" s="19"/>
      <c r="BW436" s="19"/>
      <c r="BX436" s="19"/>
      <c r="BY436" s="19"/>
      <c r="BZ436" s="19"/>
      <c r="CB436" s="26">
        <v>42219</v>
      </c>
      <c r="CC436" s="26" t="s">
        <v>859</v>
      </c>
      <c r="CD436" s="19"/>
      <c r="CE436" s="19">
        <v>624</v>
      </c>
      <c r="CF436" s="19">
        <v>280</v>
      </c>
      <c r="CG436" s="26"/>
      <c r="CH436" s="19"/>
      <c r="CI436" s="19"/>
      <c r="CJ436" s="19"/>
      <c r="CK436" s="19"/>
      <c r="CM436" s="19"/>
      <c r="CN436" s="19"/>
      <c r="CO436" s="19"/>
      <c r="CP436" s="19"/>
      <c r="CR436" s="19"/>
      <c r="CS436" s="19"/>
      <c r="CT436" s="19"/>
      <c r="CU436" s="19"/>
      <c r="CW436" s="19"/>
      <c r="CX436" s="19"/>
      <c r="CY436" s="19"/>
      <c r="CZ436" s="19"/>
      <c r="DB436" s="19"/>
      <c r="DC436" s="19"/>
      <c r="DD436" s="19"/>
      <c r="DE436" s="19"/>
      <c r="DG436" s="19"/>
      <c r="DH436" s="19"/>
      <c r="DI436" s="19"/>
      <c r="DJ436" s="19"/>
      <c r="DL436" s="19"/>
      <c r="DM436" s="19"/>
      <c r="DN436" s="19"/>
      <c r="DO436" s="19"/>
      <c r="DQ436" s="19"/>
      <c r="DR436" s="19"/>
      <c r="DS436" s="19"/>
      <c r="DT436" s="19"/>
      <c r="DV436" s="19"/>
      <c r="DW436" s="19"/>
      <c r="DX436" s="19"/>
      <c r="DY436" s="19"/>
      <c r="DZ436" s="279"/>
    </row>
    <row r="437" spans="1:225" x14ac:dyDescent="0.25">
      <c r="A437" s="8" t="s">
        <v>3143</v>
      </c>
      <c r="B437" s="24" t="s">
        <v>281</v>
      </c>
      <c r="C437" s="25" t="s">
        <v>352</v>
      </c>
      <c r="E437" s="26" t="s">
        <v>1762</v>
      </c>
      <c r="F437" s="198" t="s">
        <v>138</v>
      </c>
      <c r="G437" s="198" t="s">
        <v>1700</v>
      </c>
      <c r="H437" s="25" t="s">
        <v>3141</v>
      </c>
      <c r="I437" s="27" t="s">
        <v>3903</v>
      </c>
      <c r="J437" s="27" t="s">
        <v>866</v>
      </c>
      <c r="K437" s="28" t="s">
        <v>853</v>
      </c>
      <c r="Q437" s="93"/>
      <c r="R437" s="28" t="s">
        <v>853</v>
      </c>
      <c r="S437" s="21"/>
      <c r="T437" s="21"/>
      <c r="U437" s="21"/>
      <c r="V437" s="21"/>
      <c r="W437" s="93">
        <v>160</v>
      </c>
      <c r="X437" s="84" t="s">
        <v>1700</v>
      </c>
      <c r="Y437" s="84" t="s">
        <v>246</v>
      </c>
      <c r="AA437" s="84" t="s">
        <v>1132</v>
      </c>
      <c r="AB437" s="84" t="s">
        <v>126</v>
      </c>
      <c r="AC437" s="26">
        <v>42360</v>
      </c>
      <c r="AD437" s="26" t="s">
        <v>853</v>
      </c>
      <c r="AE437" s="8" t="s">
        <v>4537</v>
      </c>
      <c r="AF437" s="8">
        <v>380</v>
      </c>
      <c r="AG437" s="8">
        <v>160</v>
      </c>
      <c r="BV437" s="8"/>
      <c r="CB437" s="26">
        <v>41977</v>
      </c>
      <c r="CC437" s="26" t="s">
        <v>853</v>
      </c>
      <c r="CD437" s="8" t="s">
        <v>3142</v>
      </c>
      <c r="CE437" s="8">
        <v>254.49</v>
      </c>
      <c r="CF437" s="8">
        <v>128</v>
      </c>
      <c r="CG437" s="26"/>
      <c r="CH437" s="8"/>
      <c r="CM437" s="8"/>
      <c r="CR437" s="8"/>
      <c r="DU437" s="8"/>
      <c r="DZ437" s="19"/>
    </row>
    <row r="438" spans="1:225" x14ac:dyDescent="0.25">
      <c r="A438" s="8" t="s">
        <v>2605</v>
      </c>
      <c r="B438" s="24" t="s">
        <v>981</v>
      </c>
      <c r="C438" s="25" t="s">
        <v>2606</v>
      </c>
      <c r="E438" s="26" t="s">
        <v>1762</v>
      </c>
      <c r="F438" s="198" t="s">
        <v>1700</v>
      </c>
      <c r="G438" s="198" t="s">
        <v>1700</v>
      </c>
      <c r="H438" s="25" t="s">
        <v>1700</v>
      </c>
      <c r="J438" s="27" t="s">
        <v>866</v>
      </c>
      <c r="X438" s="84" t="s">
        <v>1700</v>
      </c>
      <c r="Y438" s="84" t="s">
        <v>2608</v>
      </c>
      <c r="AA438" s="84" t="s">
        <v>2609</v>
      </c>
      <c r="AB438" s="84" t="s">
        <v>2607</v>
      </c>
      <c r="CB438" s="26"/>
      <c r="CC438" s="26"/>
      <c r="CF438" s="8"/>
      <c r="CG438" s="26"/>
      <c r="CH438" s="8"/>
      <c r="CM438" s="8"/>
      <c r="CR438" s="8"/>
    </row>
    <row r="439" spans="1:225" x14ac:dyDescent="0.25">
      <c r="A439" s="8" t="s">
        <v>2108</v>
      </c>
      <c r="B439" s="24" t="s">
        <v>2094</v>
      </c>
      <c r="C439" s="25" t="s">
        <v>2109</v>
      </c>
      <c r="D439" s="26">
        <v>32254</v>
      </c>
      <c r="E439" s="26" t="s">
        <v>1764</v>
      </c>
      <c r="F439" s="198" t="s">
        <v>3342</v>
      </c>
      <c r="G439" s="198" t="s">
        <v>1700</v>
      </c>
      <c r="H439" s="25" t="s">
        <v>1700</v>
      </c>
      <c r="J439" s="27" t="s">
        <v>866</v>
      </c>
      <c r="R439" s="29" t="s">
        <v>817</v>
      </c>
      <c r="S439" s="8" t="s">
        <v>853</v>
      </c>
      <c r="X439" s="84" t="s">
        <v>1700</v>
      </c>
      <c r="Y439" s="84" t="s">
        <v>791</v>
      </c>
      <c r="AA439" s="84" t="s">
        <v>2110</v>
      </c>
      <c r="AB439" s="84" t="s">
        <v>126</v>
      </c>
      <c r="CB439" s="26">
        <v>42011</v>
      </c>
      <c r="CC439" s="26" t="s">
        <v>853</v>
      </c>
      <c r="CD439" s="8" t="s">
        <v>3384</v>
      </c>
      <c r="CE439" s="8">
        <v>404</v>
      </c>
      <c r="CF439" s="8">
        <v>160</v>
      </c>
      <c r="CG439" s="26"/>
      <c r="CH439" s="8"/>
      <c r="CM439" s="8"/>
      <c r="CR439" s="8"/>
      <c r="EB439" s="19"/>
      <c r="EC439" s="19"/>
      <c r="ED439" s="19"/>
      <c r="EE439" s="19"/>
      <c r="EF439" s="19"/>
      <c r="EG439" s="19"/>
      <c r="EH439" s="19"/>
      <c r="EI439" s="19"/>
      <c r="EJ439" s="19"/>
      <c r="EK439" s="19"/>
      <c r="EL439" s="19"/>
      <c r="EN439" s="19"/>
      <c r="EO439" s="19"/>
      <c r="EP439" s="19"/>
      <c r="EQ439" s="19"/>
      <c r="ER439" s="19"/>
      <c r="ES439" s="19"/>
      <c r="ET439" s="19"/>
      <c r="EU439" s="19"/>
      <c r="EV439" s="19"/>
      <c r="EW439" s="19"/>
      <c r="EX439" s="19"/>
      <c r="EZ439" s="19"/>
      <c r="FA439" s="19"/>
      <c r="FB439" s="19"/>
      <c r="FC439" s="19"/>
      <c r="FD439" s="19"/>
      <c r="FE439" s="19"/>
      <c r="FF439" s="19"/>
      <c r="FG439" s="19"/>
      <c r="FH439" s="19"/>
      <c r="FI439" s="19"/>
      <c r="FJ439" s="19"/>
      <c r="FL439" s="19"/>
      <c r="FM439" s="19"/>
      <c r="FN439" s="19"/>
      <c r="FO439" s="19"/>
      <c r="FP439" s="19"/>
      <c r="FQ439" s="19"/>
      <c r="FR439" s="19"/>
      <c r="FS439" s="19"/>
      <c r="FT439" s="19"/>
      <c r="FU439" s="19"/>
      <c r="FV439" s="19"/>
      <c r="FX439" s="19"/>
      <c r="FY439" s="19"/>
      <c r="FZ439" s="19"/>
      <c r="GA439" s="19"/>
      <c r="GB439" s="19"/>
      <c r="GC439" s="19"/>
      <c r="GD439" s="19"/>
      <c r="GE439" s="19"/>
      <c r="GF439" s="19"/>
      <c r="GG439" s="19"/>
      <c r="GH439" s="19"/>
      <c r="GJ439" s="19"/>
      <c r="GK439" s="19"/>
      <c r="GL439" s="19"/>
      <c r="GM439" s="19"/>
      <c r="GN439" s="19"/>
      <c r="GO439" s="19"/>
      <c r="GP439" s="19"/>
      <c r="GQ439" s="19"/>
      <c r="GR439" s="19"/>
      <c r="GS439" s="19"/>
      <c r="GT439" s="19"/>
      <c r="GV439" s="19"/>
      <c r="GW439" s="19"/>
      <c r="GX439" s="19"/>
      <c r="GY439" s="19"/>
      <c r="GZ439" s="19"/>
      <c r="HA439" s="19"/>
      <c r="HB439" s="19"/>
      <c r="HC439" s="19"/>
      <c r="HD439" s="19"/>
      <c r="HE439" s="19"/>
      <c r="HF439" s="19"/>
      <c r="HH439" s="19"/>
      <c r="HI439" s="19"/>
      <c r="HJ439" s="19"/>
      <c r="HK439" s="19"/>
      <c r="HL439" s="19"/>
      <c r="HM439" s="19"/>
      <c r="HN439" s="19"/>
      <c r="HO439" s="19"/>
      <c r="HP439" s="19"/>
      <c r="HQ439" s="19"/>
    </row>
    <row r="440" spans="1:225" x14ac:dyDescent="0.25">
      <c r="A440" s="8" t="s">
        <v>564</v>
      </c>
      <c r="B440" s="24" t="s">
        <v>1260</v>
      </c>
      <c r="C440" s="25" t="s">
        <v>1194</v>
      </c>
      <c r="E440" s="26" t="s">
        <v>1762</v>
      </c>
      <c r="F440" s="198" t="s">
        <v>334</v>
      </c>
      <c r="G440" s="198" t="s">
        <v>1700</v>
      </c>
      <c r="H440" s="25" t="s">
        <v>4090</v>
      </c>
      <c r="I440" s="27" t="s">
        <v>3901</v>
      </c>
      <c r="J440" s="27" t="s">
        <v>866</v>
      </c>
      <c r="K440" s="28" t="s">
        <v>853</v>
      </c>
      <c r="R440" s="29" t="s">
        <v>853</v>
      </c>
      <c r="W440" s="93">
        <v>144</v>
      </c>
      <c r="X440" s="84" t="s">
        <v>1700</v>
      </c>
      <c r="Y440" s="84" t="s">
        <v>791</v>
      </c>
      <c r="AA440" s="84" t="s">
        <v>1195</v>
      </c>
      <c r="AB440" s="84" t="s">
        <v>126</v>
      </c>
      <c r="AC440" s="26">
        <v>42311</v>
      </c>
      <c r="AD440" s="26" t="s">
        <v>853</v>
      </c>
      <c r="AE440" s="8" t="s">
        <v>4091</v>
      </c>
      <c r="AF440" s="8">
        <v>63</v>
      </c>
      <c r="AG440" s="8">
        <v>31</v>
      </c>
      <c r="AH440" s="26">
        <v>42311</v>
      </c>
      <c r="AI440" s="8" t="s">
        <v>853</v>
      </c>
      <c r="AJ440" s="8" t="s">
        <v>4092</v>
      </c>
      <c r="AK440" s="8">
        <v>77</v>
      </c>
      <c r="AL440" s="8">
        <v>38</v>
      </c>
      <c r="AM440" s="26" t="s">
        <v>503</v>
      </c>
      <c r="AN440" s="8" t="s">
        <v>853</v>
      </c>
      <c r="AO440" s="8" t="s">
        <v>4915</v>
      </c>
      <c r="AP440" s="8">
        <v>150</v>
      </c>
      <c r="AQ440" s="8">
        <v>75</v>
      </c>
      <c r="CB440" s="26">
        <v>41943</v>
      </c>
      <c r="CC440" s="26" t="s">
        <v>853</v>
      </c>
      <c r="CD440" s="8" t="s">
        <v>2984</v>
      </c>
      <c r="CE440" s="8">
        <v>107</v>
      </c>
      <c r="CF440" s="8">
        <v>54</v>
      </c>
      <c r="CG440" s="26">
        <v>41943</v>
      </c>
      <c r="CH440" s="8" t="s">
        <v>853</v>
      </c>
      <c r="CI440" s="8" t="s">
        <v>2985</v>
      </c>
      <c r="CJ440" s="8">
        <v>75</v>
      </c>
      <c r="CK440" s="8">
        <v>38</v>
      </c>
      <c r="CL440" s="26">
        <v>41943</v>
      </c>
      <c r="CM440" s="8" t="s">
        <v>853</v>
      </c>
      <c r="CN440" s="8" t="s">
        <v>2986</v>
      </c>
      <c r="CO440" s="8">
        <v>60</v>
      </c>
      <c r="CP440" s="8">
        <v>30</v>
      </c>
      <c r="CR440" s="8"/>
      <c r="DZ440" s="19"/>
    </row>
    <row r="441" spans="1:225" x14ac:dyDescent="0.25">
      <c r="A441" s="19" t="s">
        <v>1432</v>
      </c>
      <c r="B441" s="12" t="s">
        <v>1433</v>
      </c>
      <c r="C441" s="13" t="s">
        <v>296</v>
      </c>
      <c r="D441" s="14"/>
      <c r="E441" s="14" t="s">
        <v>1762</v>
      </c>
      <c r="F441" s="199" t="s">
        <v>1407</v>
      </c>
      <c r="G441" s="199" t="s">
        <v>1700</v>
      </c>
      <c r="H441" s="13" t="s">
        <v>2346</v>
      </c>
      <c r="I441" s="20" t="s">
        <v>3894</v>
      </c>
      <c r="J441" s="20" t="s">
        <v>866</v>
      </c>
      <c r="K441" s="17" t="s">
        <v>853</v>
      </c>
      <c r="L441" s="21"/>
      <c r="M441" s="21"/>
      <c r="N441" s="21"/>
      <c r="O441" s="21"/>
      <c r="Q441" s="95"/>
      <c r="R441" s="17" t="s">
        <v>853</v>
      </c>
      <c r="S441" s="21"/>
      <c r="T441" s="21"/>
      <c r="U441" s="21"/>
      <c r="V441" s="21"/>
      <c r="W441" s="95">
        <v>160</v>
      </c>
      <c r="X441" s="84" t="s">
        <v>1700</v>
      </c>
      <c r="Y441" s="84" t="s">
        <v>246</v>
      </c>
      <c r="AA441" s="86" t="s">
        <v>1066</v>
      </c>
      <c r="AB441" s="84" t="s">
        <v>126</v>
      </c>
      <c r="AC441" s="26">
        <v>42453</v>
      </c>
      <c r="AD441" s="26" t="s">
        <v>853</v>
      </c>
      <c r="AE441" s="19" t="s">
        <v>4719</v>
      </c>
      <c r="AF441" s="19">
        <v>999</v>
      </c>
      <c r="AG441" s="19">
        <v>160</v>
      </c>
      <c r="AI441" s="19"/>
      <c r="AJ441" s="19"/>
      <c r="AK441" s="19"/>
      <c r="AL441" s="19"/>
      <c r="AN441" s="19"/>
      <c r="AO441" s="19"/>
      <c r="AP441" s="19"/>
      <c r="AQ441" s="19"/>
      <c r="AS441" s="19"/>
      <c r="AT441" s="19"/>
      <c r="AU441" s="19"/>
      <c r="AV441" s="19"/>
      <c r="AX441" s="19"/>
      <c r="AY441" s="19"/>
      <c r="AZ441" s="19"/>
      <c r="BA441" s="19"/>
      <c r="BC441" s="19"/>
      <c r="BD441" s="19"/>
      <c r="BE441" s="19"/>
      <c r="BF441" s="19"/>
      <c r="BH441" s="19"/>
      <c r="BI441" s="19"/>
      <c r="BJ441" s="19"/>
      <c r="BK441" s="19"/>
      <c r="BM441" s="19"/>
      <c r="BN441" s="19"/>
      <c r="BO441" s="19"/>
      <c r="BP441" s="19"/>
      <c r="BR441" s="19"/>
      <c r="BS441" s="19"/>
      <c r="BT441" s="19"/>
      <c r="BU441" s="19"/>
      <c r="BW441" s="19"/>
      <c r="BX441" s="19"/>
      <c r="BY441" s="19"/>
      <c r="BZ441" s="19"/>
      <c r="CB441" s="26">
        <v>42097</v>
      </c>
      <c r="CC441" s="26" t="s">
        <v>853</v>
      </c>
      <c r="CD441" s="19" t="s">
        <v>3646</v>
      </c>
      <c r="CE441" s="19">
        <v>835</v>
      </c>
      <c r="CF441" s="19">
        <v>160</v>
      </c>
      <c r="CG441" s="26"/>
      <c r="CH441" s="19"/>
      <c r="CI441" s="19"/>
      <c r="CJ441" s="19"/>
      <c r="CK441" s="19"/>
      <c r="CM441" s="19"/>
      <c r="CN441" s="19"/>
      <c r="CO441" s="19"/>
      <c r="CP441" s="19"/>
      <c r="CR441" s="19"/>
      <c r="CS441" s="19"/>
      <c r="CT441" s="19"/>
      <c r="CU441" s="19"/>
      <c r="CW441" s="19"/>
      <c r="CX441" s="19"/>
      <c r="CY441" s="19"/>
      <c r="CZ441" s="19"/>
      <c r="DB441" s="19"/>
      <c r="DC441" s="19"/>
      <c r="DD441" s="19"/>
      <c r="DE441" s="19"/>
      <c r="DG441" s="19"/>
      <c r="DH441" s="19"/>
      <c r="DI441" s="19"/>
      <c r="DJ441" s="19"/>
      <c r="DL441" s="19"/>
      <c r="DM441" s="19"/>
      <c r="DN441" s="19"/>
      <c r="DO441" s="19"/>
      <c r="DQ441" s="19"/>
      <c r="DR441" s="19"/>
      <c r="DS441" s="19"/>
      <c r="DT441" s="19"/>
      <c r="DV441" s="19"/>
      <c r="DW441" s="19"/>
      <c r="DX441" s="19"/>
      <c r="DY441" s="19"/>
    </row>
    <row r="442" spans="1:225" x14ac:dyDescent="0.25">
      <c r="A442" s="8" t="s">
        <v>3385</v>
      </c>
      <c r="B442" s="24" t="s">
        <v>812</v>
      </c>
      <c r="C442" s="25" t="s">
        <v>129</v>
      </c>
      <c r="E442" s="26" t="s">
        <v>1764</v>
      </c>
      <c r="F442" s="198" t="s">
        <v>1467</v>
      </c>
      <c r="G442" s="198" t="s">
        <v>1700</v>
      </c>
      <c r="H442" s="25" t="s">
        <v>3386</v>
      </c>
      <c r="I442" s="27" t="s">
        <v>3902</v>
      </c>
      <c r="J442" s="27" t="s">
        <v>866</v>
      </c>
      <c r="K442" s="28" t="s">
        <v>853</v>
      </c>
      <c r="R442" s="29" t="s">
        <v>853</v>
      </c>
      <c r="W442" s="93">
        <v>157</v>
      </c>
      <c r="X442" s="84" t="s">
        <v>1700</v>
      </c>
      <c r="Y442" s="84" t="s">
        <v>290</v>
      </c>
      <c r="AA442" s="84" t="s">
        <v>1173</v>
      </c>
      <c r="AB442" s="84" t="s">
        <v>1650</v>
      </c>
      <c r="AC442" s="26">
        <v>42311</v>
      </c>
      <c r="AD442" s="26" t="s">
        <v>853</v>
      </c>
      <c r="AE442" s="8" t="s">
        <v>4147</v>
      </c>
      <c r="AF442" s="8">
        <v>315</v>
      </c>
      <c r="AG442" s="8">
        <v>157</v>
      </c>
      <c r="CB442" s="26">
        <v>42011</v>
      </c>
      <c r="CC442" s="26" t="s">
        <v>853</v>
      </c>
      <c r="CD442" s="8" t="s">
        <v>3387</v>
      </c>
      <c r="CE442" s="8">
        <v>220</v>
      </c>
      <c r="CF442" s="8">
        <v>110</v>
      </c>
      <c r="CG442" s="26"/>
      <c r="CH442" s="8"/>
      <c r="CM442" s="8"/>
      <c r="CR442" s="8"/>
    </row>
    <row r="443" spans="1:225" ht="13.5" x14ac:dyDescent="0.25">
      <c r="A443" s="8" t="s">
        <v>802</v>
      </c>
      <c r="B443" s="24" t="s">
        <v>812</v>
      </c>
      <c r="C443" s="25" t="s">
        <v>803</v>
      </c>
      <c r="E443" s="26" t="s">
        <v>1764</v>
      </c>
      <c r="F443" s="198" t="s">
        <v>276</v>
      </c>
      <c r="G443" s="198" t="s">
        <v>1700</v>
      </c>
      <c r="H443" s="25" t="s">
        <v>2777</v>
      </c>
      <c r="I443" s="27" t="s">
        <v>3901</v>
      </c>
      <c r="J443" s="27" t="s">
        <v>866</v>
      </c>
      <c r="K443" s="28" t="s">
        <v>853</v>
      </c>
      <c r="R443" s="29" t="s">
        <v>853</v>
      </c>
      <c r="W443" s="93">
        <v>101</v>
      </c>
      <c r="X443" s="84" t="s">
        <v>1700</v>
      </c>
      <c r="Y443" s="84" t="s">
        <v>2711</v>
      </c>
      <c r="AA443" s="84" t="s">
        <v>4129</v>
      </c>
      <c r="AB443" s="84" t="s">
        <v>2629</v>
      </c>
      <c r="AC443" s="26">
        <v>42311</v>
      </c>
      <c r="AD443" s="26" t="s">
        <v>853</v>
      </c>
      <c r="AE443" s="8" t="s">
        <v>4130</v>
      </c>
      <c r="AF443" s="8">
        <v>202.5</v>
      </c>
      <c r="AG443" s="8">
        <v>101</v>
      </c>
      <c r="CB443" s="26">
        <v>41921</v>
      </c>
      <c r="CC443" s="26" t="s">
        <v>853</v>
      </c>
      <c r="CD443" s="8" t="s">
        <v>2778</v>
      </c>
      <c r="CE443" s="8">
        <v>119.85</v>
      </c>
      <c r="CF443" s="8">
        <v>60</v>
      </c>
      <c r="CG443" s="26">
        <v>41934</v>
      </c>
      <c r="CH443" s="8" t="s">
        <v>853</v>
      </c>
      <c r="CI443" s="8" t="s">
        <v>2889</v>
      </c>
      <c r="CJ443" s="8">
        <v>100</v>
      </c>
      <c r="CK443" s="8">
        <v>50</v>
      </c>
      <c r="CM443" s="8"/>
      <c r="CR443" s="8"/>
      <c r="DZ443" s="258"/>
    </row>
    <row r="444" spans="1:225" x14ac:dyDescent="0.25">
      <c r="A444" s="8" t="s">
        <v>289</v>
      </c>
      <c r="B444" s="24" t="s">
        <v>1949</v>
      </c>
      <c r="C444" s="25" t="s">
        <v>288</v>
      </c>
      <c r="E444" s="26" t="s">
        <v>1764</v>
      </c>
      <c r="F444" s="198" t="s">
        <v>947</v>
      </c>
      <c r="G444" s="198" t="s">
        <v>1700</v>
      </c>
      <c r="H444" s="25" t="s">
        <v>3026</v>
      </c>
      <c r="I444" s="27" t="s">
        <v>3901</v>
      </c>
      <c r="J444" s="27" t="s">
        <v>866</v>
      </c>
      <c r="K444" s="28" t="s">
        <v>853</v>
      </c>
      <c r="Q444" s="93"/>
      <c r="R444" s="28" t="s">
        <v>853</v>
      </c>
      <c r="S444" s="21"/>
      <c r="T444" s="21"/>
      <c r="U444" s="21"/>
      <c r="V444" s="21"/>
      <c r="W444" s="95">
        <v>160</v>
      </c>
      <c r="X444" s="84" t="s">
        <v>1700</v>
      </c>
      <c r="Y444" s="84" t="s">
        <v>1764</v>
      </c>
      <c r="AA444" s="84" t="s">
        <v>3027</v>
      </c>
      <c r="AB444" s="84" t="s">
        <v>1650</v>
      </c>
      <c r="AC444" s="26">
        <v>42311</v>
      </c>
      <c r="AD444" s="8" t="s">
        <v>853</v>
      </c>
      <c r="AE444" s="8" t="s">
        <v>4149</v>
      </c>
      <c r="AF444" s="8">
        <v>330</v>
      </c>
      <c r="AG444" s="8">
        <v>160</v>
      </c>
      <c r="AI444" s="19"/>
      <c r="AJ444" s="19"/>
      <c r="AK444" s="19"/>
      <c r="AL444" s="19"/>
      <c r="AN444" s="19"/>
      <c r="AO444" s="19"/>
      <c r="AP444" s="19"/>
      <c r="AQ444" s="19"/>
      <c r="AS444" s="19"/>
      <c r="AT444" s="19"/>
      <c r="AU444" s="19"/>
      <c r="AV444" s="19"/>
      <c r="AX444" s="19"/>
      <c r="AY444" s="19"/>
      <c r="AZ444" s="19"/>
      <c r="BA444" s="19"/>
      <c r="BC444" s="19"/>
      <c r="BD444" s="19"/>
      <c r="BE444" s="19"/>
      <c r="BF444" s="19"/>
      <c r="BH444" s="19"/>
      <c r="BI444" s="19"/>
      <c r="BJ444" s="19"/>
      <c r="BK444" s="19"/>
      <c r="BM444" s="19"/>
      <c r="BN444" s="19"/>
      <c r="BO444" s="19"/>
      <c r="BP444" s="19"/>
      <c r="BR444" s="19"/>
      <c r="BS444" s="19"/>
      <c r="BT444" s="19"/>
      <c r="BU444" s="19"/>
      <c r="BV444" s="8"/>
      <c r="BY444" s="19"/>
      <c r="CB444" s="26">
        <v>41943</v>
      </c>
      <c r="CC444" s="8" t="s">
        <v>853</v>
      </c>
      <c r="CD444" s="8" t="s">
        <v>3028</v>
      </c>
      <c r="CE444" s="8">
        <v>305.7</v>
      </c>
      <c r="CF444" s="8">
        <v>153</v>
      </c>
      <c r="CG444" s="26"/>
      <c r="CH444" s="19"/>
      <c r="CI444" s="19"/>
      <c r="CJ444" s="19"/>
      <c r="CK444" s="19"/>
      <c r="CM444" s="19"/>
      <c r="CN444" s="19"/>
      <c r="CO444" s="19"/>
      <c r="CP444" s="19"/>
      <c r="CR444" s="19"/>
      <c r="CS444" s="19"/>
      <c r="CT444" s="19"/>
      <c r="CU444" s="19"/>
      <c r="CW444" s="19"/>
      <c r="CX444" s="19"/>
      <c r="CY444" s="19"/>
      <c r="CZ444" s="19"/>
      <c r="DB444" s="19"/>
      <c r="DC444" s="19"/>
      <c r="DD444" s="19"/>
      <c r="DE444" s="19"/>
      <c r="DG444" s="19"/>
      <c r="DH444" s="19"/>
      <c r="DI444" s="19"/>
      <c r="DJ444" s="19"/>
      <c r="DL444" s="19"/>
      <c r="DM444" s="19"/>
      <c r="DN444" s="19"/>
      <c r="DO444" s="19"/>
      <c r="DQ444" s="19"/>
      <c r="DR444" s="19"/>
      <c r="DS444" s="19"/>
      <c r="DT444" s="19"/>
      <c r="DU444" s="8"/>
    </row>
    <row r="445" spans="1:225" x14ac:dyDescent="0.25">
      <c r="A445" s="8" t="s">
        <v>1478</v>
      </c>
      <c r="B445" s="24" t="s">
        <v>1479</v>
      </c>
      <c r="C445" s="25" t="s">
        <v>1480</v>
      </c>
      <c r="E445" s="26" t="s">
        <v>1762</v>
      </c>
      <c r="F445" s="198" t="s">
        <v>963</v>
      </c>
      <c r="G445" s="198" t="s">
        <v>1700</v>
      </c>
      <c r="H445" s="25" t="s">
        <v>3222</v>
      </c>
      <c r="I445" s="27" t="s">
        <v>3894</v>
      </c>
      <c r="J445" s="27" t="s">
        <v>866</v>
      </c>
      <c r="K445" s="28" t="s">
        <v>853</v>
      </c>
      <c r="R445" s="29" t="s">
        <v>853</v>
      </c>
      <c r="W445" s="93">
        <v>77</v>
      </c>
      <c r="X445" s="84" t="s">
        <v>1700</v>
      </c>
      <c r="Y445" s="84" t="s">
        <v>791</v>
      </c>
      <c r="AA445" s="84" t="s">
        <v>1481</v>
      </c>
      <c r="AB445" s="84" t="s">
        <v>126</v>
      </c>
      <c r="AC445" s="26">
        <v>42453</v>
      </c>
      <c r="AD445" s="26" t="s">
        <v>853</v>
      </c>
      <c r="AE445" s="8" t="s">
        <v>4703</v>
      </c>
      <c r="AF445" s="8">
        <v>155</v>
      </c>
      <c r="AG445" s="8">
        <v>77</v>
      </c>
      <c r="CB445" s="26">
        <v>41977</v>
      </c>
      <c r="CC445" s="26" t="s">
        <v>853</v>
      </c>
      <c r="CD445" s="8" t="s">
        <v>3223</v>
      </c>
      <c r="CE445" s="8">
        <v>47.9</v>
      </c>
      <c r="CF445" s="8">
        <v>24</v>
      </c>
      <c r="CG445" s="26">
        <v>41977</v>
      </c>
      <c r="CH445" s="8" t="s">
        <v>853</v>
      </c>
      <c r="CI445" s="8" t="s">
        <v>3224</v>
      </c>
      <c r="CJ445" s="8">
        <v>130</v>
      </c>
      <c r="CK445" s="8">
        <v>65</v>
      </c>
      <c r="CM445" s="8"/>
      <c r="CR445" s="8"/>
    </row>
    <row r="446" spans="1:225" ht="13.5" x14ac:dyDescent="0.25">
      <c r="A446" s="8" t="s">
        <v>3113</v>
      </c>
      <c r="B446" s="24" t="s">
        <v>55</v>
      </c>
      <c r="C446" s="25" t="s">
        <v>3112</v>
      </c>
      <c r="E446" s="26" t="s">
        <v>1762</v>
      </c>
      <c r="F446" s="198" t="s">
        <v>1396</v>
      </c>
      <c r="G446" s="198" t="s">
        <v>1700</v>
      </c>
      <c r="H446" s="25" t="s">
        <v>3114</v>
      </c>
      <c r="I446" s="27" t="s">
        <v>3903</v>
      </c>
      <c r="J446" s="27" t="s">
        <v>866</v>
      </c>
      <c r="K446" s="28" t="s">
        <v>853</v>
      </c>
      <c r="R446" s="29" t="s">
        <v>853</v>
      </c>
      <c r="W446" s="93">
        <v>76</v>
      </c>
      <c r="X446" s="84" t="s">
        <v>1700</v>
      </c>
      <c r="Y446" s="84" t="s">
        <v>2499</v>
      </c>
      <c r="AA446" s="84" t="s">
        <v>3115</v>
      </c>
      <c r="AB446" s="84" t="s">
        <v>126</v>
      </c>
      <c r="AC446" s="26">
        <v>42352</v>
      </c>
      <c r="AD446" s="26" t="s">
        <v>853</v>
      </c>
      <c r="AE446" s="8" t="s">
        <v>4407</v>
      </c>
      <c r="AF446" s="8">
        <v>153</v>
      </c>
      <c r="AG446" s="8">
        <v>76</v>
      </c>
      <c r="CB446" s="26">
        <v>41977</v>
      </c>
      <c r="CC446" s="26" t="s">
        <v>853</v>
      </c>
      <c r="CD446" s="8" t="s">
        <v>3116</v>
      </c>
      <c r="CE446" s="8">
        <v>153</v>
      </c>
      <c r="CF446" s="8">
        <v>77</v>
      </c>
      <c r="CG446" s="26"/>
      <c r="CH446" s="8"/>
      <c r="CM446" s="8"/>
      <c r="CR446" s="8"/>
      <c r="DZ446" s="258"/>
    </row>
    <row r="447" spans="1:225" x14ac:dyDescent="0.25">
      <c r="A447" s="8" t="s">
        <v>2098</v>
      </c>
      <c r="B447" s="24" t="s">
        <v>1549</v>
      </c>
      <c r="C447" s="25" t="s">
        <v>2099</v>
      </c>
      <c r="E447" s="26" t="s">
        <v>1762</v>
      </c>
      <c r="F447" s="198" t="s">
        <v>134</v>
      </c>
      <c r="G447" s="198" t="s">
        <v>1700</v>
      </c>
      <c r="H447" s="25" t="s">
        <v>3547</v>
      </c>
      <c r="I447" s="27" t="s">
        <v>3903</v>
      </c>
      <c r="J447" s="27" t="s">
        <v>866</v>
      </c>
      <c r="K447" s="28" t="s">
        <v>853</v>
      </c>
      <c r="Q447" s="93"/>
      <c r="R447" s="28" t="s">
        <v>853</v>
      </c>
      <c r="S447" s="21" t="s">
        <v>1126</v>
      </c>
      <c r="T447" s="21"/>
      <c r="U447" s="21"/>
      <c r="V447" s="21"/>
      <c r="W447" s="93">
        <v>160</v>
      </c>
      <c r="X447" s="84" t="s">
        <v>1700</v>
      </c>
      <c r="Y447" s="84" t="s">
        <v>256</v>
      </c>
      <c r="AA447" s="84" t="s">
        <v>1067</v>
      </c>
      <c r="AB447" s="84" t="s">
        <v>221</v>
      </c>
      <c r="AC447" s="26">
        <v>42352</v>
      </c>
      <c r="AD447" s="26" t="s">
        <v>853</v>
      </c>
      <c r="AE447" s="8" t="s">
        <v>4267</v>
      </c>
      <c r="AF447" s="8">
        <v>370</v>
      </c>
      <c r="AG447" s="8">
        <v>160</v>
      </c>
      <c r="CB447" s="26">
        <v>42074</v>
      </c>
      <c r="CC447" s="26" t="s">
        <v>853</v>
      </c>
      <c r="CD447" s="8" t="s">
        <v>3548</v>
      </c>
      <c r="CE447" s="8">
        <v>444</v>
      </c>
      <c r="CF447" s="8">
        <v>160</v>
      </c>
      <c r="CG447" s="26"/>
      <c r="CH447" s="8"/>
      <c r="CL447" s="26">
        <v>42192</v>
      </c>
      <c r="CM447" s="8" t="s">
        <v>1126</v>
      </c>
      <c r="CN447" s="8" t="s">
        <v>3675</v>
      </c>
      <c r="CO447" s="8">
        <v>20.350000000000001</v>
      </c>
      <c r="CP447" s="8">
        <v>20.350000000000001</v>
      </c>
      <c r="CR447" s="8"/>
    </row>
    <row r="448" spans="1:225" x14ac:dyDescent="0.25">
      <c r="A448" s="19" t="s">
        <v>1437</v>
      </c>
      <c r="B448" s="12" t="s">
        <v>1438</v>
      </c>
      <c r="C448" s="13" t="s">
        <v>318</v>
      </c>
      <c r="D448" s="14"/>
      <c r="E448" s="14" t="s">
        <v>1762</v>
      </c>
      <c r="F448" s="199" t="s">
        <v>1448</v>
      </c>
      <c r="G448" s="199" t="s">
        <v>1700</v>
      </c>
      <c r="H448" s="13" t="s">
        <v>2854</v>
      </c>
      <c r="I448" s="20" t="s">
        <v>3894</v>
      </c>
      <c r="J448" s="20" t="s">
        <v>866</v>
      </c>
      <c r="K448" s="17" t="s">
        <v>853</v>
      </c>
      <c r="M448" s="21"/>
      <c r="N448" s="21"/>
      <c r="O448" s="21"/>
      <c r="Q448" s="95"/>
      <c r="R448" s="17" t="s">
        <v>853</v>
      </c>
      <c r="S448" s="21"/>
      <c r="T448" s="21"/>
      <c r="U448" s="21"/>
      <c r="V448" s="21"/>
      <c r="W448" s="95">
        <v>160</v>
      </c>
      <c r="X448" s="84" t="s">
        <v>1700</v>
      </c>
      <c r="Y448" s="84" t="s">
        <v>246</v>
      </c>
      <c r="AA448" s="84" t="s">
        <v>4714</v>
      </c>
      <c r="AB448" s="84" t="s">
        <v>126</v>
      </c>
      <c r="AC448" s="26">
        <v>42453</v>
      </c>
      <c r="AD448" s="26" t="s">
        <v>853</v>
      </c>
      <c r="AE448" s="19" t="s">
        <v>4715</v>
      </c>
      <c r="AF448" s="19">
        <v>553</v>
      </c>
      <c r="AG448" s="19">
        <v>160</v>
      </c>
      <c r="AN448" s="19"/>
      <c r="AO448" s="19"/>
      <c r="AQ448" s="19"/>
      <c r="AS448" s="19"/>
      <c r="AT448" s="19"/>
      <c r="AV448" s="19"/>
      <c r="AX448" s="19"/>
      <c r="AY448" s="19"/>
      <c r="BA448" s="19"/>
      <c r="BC448" s="19"/>
      <c r="BD448" s="19"/>
      <c r="BF448" s="19"/>
      <c r="BH448" s="19"/>
      <c r="BI448" s="19"/>
      <c r="BK448" s="19"/>
      <c r="BQ448" s="8"/>
      <c r="BV448" s="8"/>
      <c r="CB448" s="26">
        <v>41921</v>
      </c>
      <c r="CC448" s="26" t="s">
        <v>853</v>
      </c>
      <c r="CD448" s="19" t="s">
        <v>2855</v>
      </c>
      <c r="CE448" s="19">
        <v>350</v>
      </c>
      <c r="CF448" s="19">
        <v>160</v>
      </c>
      <c r="CG448" s="26"/>
      <c r="CH448" s="8"/>
      <c r="CM448" s="19"/>
      <c r="CN448" s="19"/>
      <c r="CO448" s="19"/>
      <c r="CP448" s="19"/>
      <c r="CR448" s="19"/>
      <c r="CS448" s="19"/>
      <c r="CT448" s="19"/>
      <c r="CU448" s="19"/>
      <c r="CW448" s="19"/>
      <c r="CX448" s="19"/>
      <c r="CY448" s="19"/>
      <c r="CZ448" s="19"/>
      <c r="DB448" s="19"/>
      <c r="DC448" s="19"/>
      <c r="DD448" s="19"/>
      <c r="DE448" s="19"/>
      <c r="DG448" s="19"/>
      <c r="DH448" s="19"/>
      <c r="DI448" s="19"/>
      <c r="DJ448" s="19"/>
      <c r="DP448" s="8"/>
      <c r="DU448" s="8"/>
    </row>
    <row r="449" spans="1:130" x14ac:dyDescent="0.25">
      <c r="A449" s="8" t="s">
        <v>550</v>
      </c>
      <c r="B449" s="24" t="s">
        <v>1713</v>
      </c>
      <c r="D449" s="26">
        <v>24168</v>
      </c>
      <c r="E449" s="26" t="s">
        <v>1764</v>
      </c>
      <c r="F449" s="198" t="s">
        <v>269</v>
      </c>
      <c r="G449" s="198" t="s">
        <v>1700</v>
      </c>
      <c r="H449" s="25" t="s">
        <v>268</v>
      </c>
      <c r="I449" s="27" t="s">
        <v>3902</v>
      </c>
      <c r="J449" s="27" t="s">
        <v>866</v>
      </c>
      <c r="K449" s="28" t="s">
        <v>817</v>
      </c>
      <c r="R449" s="29" t="s">
        <v>817</v>
      </c>
      <c r="S449" s="8" t="s">
        <v>816</v>
      </c>
      <c r="CB449" s="278"/>
      <c r="CD449" s="279"/>
      <c r="CG449" s="278"/>
      <c r="CH449" s="278"/>
      <c r="CI449" s="279"/>
      <c r="CK449" s="279"/>
      <c r="CL449" s="278"/>
      <c r="CM449" s="278"/>
      <c r="CN449" s="279"/>
      <c r="CP449" s="279"/>
      <c r="CQ449" s="278"/>
      <c r="CR449" s="279"/>
      <c r="CS449" s="279"/>
      <c r="CU449" s="279"/>
      <c r="CV449" s="278"/>
      <c r="CW449" s="279"/>
      <c r="CX449" s="279"/>
      <c r="CZ449" s="279"/>
      <c r="DA449" s="278"/>
      <c r="DB449" s="279"/>
      <c r="DC449" s="279"/>
      <c r="DE449" s="279"/>
      <c r="DF449" s="278"/>
      <c r="DG449" s="279"/>
      <c r="DH449" s="279"/>
      <c r="DJ449" s="279"/>
      <c r="DK449" s="278"/>
      <c r="DL449" s="279"/>
      <c r="DM449" s="279"/>
      <c r="DO449" s="279"/>
      <c r="DP449" s="278"/>
      <c r="DQ449" s="279"/>
      <c r="DR449" s="279"/>
      <c r="DT449" s="279"/>
      <c r="DU449" s="278"/>
      <c r="DV449" s="279"/>
      <c r="DW449" s="279"/>
      <c r="DY449" s="279"/>
    </row>
    <row r="450" spans="1:130" ht="13.5" x14ac:dyDescent="0.25">
      <c r="A450" s="8" t="s">
        <v>449</v>
      </c>
      <c r="B450" s="24" t="s">
        <v>450</v>
      </c>
      <c r="E450" s="26" t="s">
        <v>1762</v>
      </c>
      <c r="F450" s="198" t="s">
        <v>1700</v>
      </c>
      <c r="G450" s="198" t="s">
        <v>1700</v>
      </c>
      <c r="H450" s="25" t="s">
        <v>1700</v>
      </c>
      <c r="J450" s="27" t="s">
        <v>866</v>
      </c>
      <c r="R450" s="29" t="s">
        <v>889</v>
      </c>
      <c r="CB450" s="278"/>
      <c r="CD450"/>
      <c r="CG450" s="278"/>
      <c r="CH450" s="278"/>
      <c r="CI450"/>
      <c r="CK450" s="279"/>
      <c r="CL450" s="278"/>
      <c r="CM450" s="278"/>
      <c r="CN450"/>
      <c r="CP450" s="279"/>
      <c r="CQ450"/>
      <c r="CR450"/>
      <c r="CS450"/>
      <c r="CU450"/>
      <c r="CV450"/>
      <c r="CW450"/>
      <c r="CX450"/>
      <c r="CZ450"/>
      <c r="DA450"/>
      <c r="DB450"/>
      <c r="DC450"/>
      <c r="DE450"/>
      <c r="DF450"/>
      <c r="DG450"/>
      <c r="DH450"/>
      <c r="DJ450"/>
      <c r="DK450"/>
      <c r="DL450"/>
      <c r="DM450"/>
      <c r="DO450"/>
      <c r="DP450"/>
      <c r="DQ450"/>
      <c r="DR450"/>
      <c r="DT450"/>
      <c r="DU450"/>
      <c r="DV450"/>
      <c r="DW450"/>
      <c r="DY450"/>
      <c r="DZ450" s="279"/>
    </row>
    <row r="451" spans="1:130" x14ac:dyDescent="0.25">
      <c r="A451" s="8" t="s">
        <v>1446</v>
      </c>
      <c r="B451" s="24" t="s">
        <v>1655</v>
      </c>
      <c r="E451" s="26" t="s">
        <v>877</v>
      </c>
      <c r="F451" s="198" t="s">
        <v>1447</v>
      </c>
      <c r="G451" s="198" t="s">
        <v>915</v>
      </c>
      <c r="H451" s="25" t="s">
        <v>1700</v>
      </c>
      <c r="J451" s="27" t="s">
        <v>866</v>
      </c>
      <c r="R451" s="29" t="s">
        <v>816</v>
      </c>
      <c r="CA451" s="19"/>
      <c r="CB451" s="26"/>
      <c r="CC451" s="26"/>
      <c r="CF451" s="8"/>
      <c r="CG451" s="26"/>
      <c r="CH451" s="8"/>
      <c r="CM451" s="8"/>
      <c r="CR451" s="8"/>
    </row>
    <row r="452" spans="1:130" x14ac:dyDescent="0.25">
      <c r="A452" s="8" t="s">
        <v>2505</v>
      </c>
      <c r="B452" s="24" t="s">
        <v>197</v>
      </c>
      <c r="C452" s="25" t="s">
        <v>2506</v>
      </c>
      <c r="E452" s="26" t="s">
        <v>1764</v>
      </c>
      <c r="F452" s="198" t="s">
        <v>874</v>
      </c>
      <c r="G452" s="198" t="s">
        <v>1700</v>
      </c>
      <c r="H452" s="25" t="s">
        <v>2507</v>
      </c>
      <c r="J452" s="27" t="s">
        <v>866</v>
      </c>
      <c r="R452" s="29" t="s">
        <v>853</v>
      </c>
      <c r="X452" s="84" t="s">
        <v>1700</v>
      </c>
      <c r="Y452" s="84" t="s">
        <v>2432</v>
      </c>
      <c r="AA452" s="84" t="s">
        <v>2508</v>
      </c>
      <c r="AB452" s="84" t="s">
        <v>1474</v>
      </c>
      <c r="CB452" s="26">
        <v>42188</v>
      </c>
      <c r="CC452" s="26" t="s">
        <v>853</v>
      </c>
      <c r="CD452" s="8" t="s">
        <v>3796</v>
      </c>
      <c r="CE452" s="8">
        <v>135</v>
      </c>
      <c r="CF452" s="8">
        <v>68</v>
      </c>
      <c r="CG452" s="26">
        <v>42188</v>
      </c>
      <c r="CH452" s="8" t="s">
        <v>853</v>
      </c>
      <c r="CI452" s="8" t="s">
        <v>3797</v>
      </c>
      <c r="CJ452" s="8">
        <v>104</v>
      </c>
      <c r="CK452" s="8">
        <v>52</v>
      </c>
      <c r="CM452" s="8"/>
      <c r="CR452" s="8"/>
    </row>
    <row r="453" spans="1:130" x14ac:dyDescent="0.25">
      <c r="A453" s="8" t="s">
        <v>1079</v>
      </c>
      <c r="B453" s="24" t="s">
        <v>915</v>
      </c>
      <c r="C453" s="25" t="s">
        <v>2380</v>
      </c>
      <c r="E453" s="26" t="s">
        <v>1762</v>
      </c>
      <c r="F453" s="198" t="s">
        <v>867</v>
      </c>
      <c r="G453" s="198" t="s">
        <v>2344</v>
      </c>
      <c r="H453" s="25" t="s">
        <v>2381</v>
      </c>
      <c r="I453" s="27" t="s">
        <v>3902</v>
      </c>
      <c r="J453" s="27" t="s">
        <v>866</v>
      </c>
      <c r="K453" s="28" t="s">
        <v>853</v>
      </c>
      <c r="R453" s="29" t="s">
        <v>853</v>
      </c>
      <c r="W453" s="93">
        <v>148</v>
      </c>
      <c r="X453" s="84" t="s">
        <v>1700</v>
      </c>
      <c r="Y453" s="84" t="s">
        <v>2499</v>
      </c>
      <c r="AA453" s="84" t="s">
        <v>2382</v>
      </c>
      <c r="AB453" s="84" t="s">
        <v>126</v>
      </c>
      <c r="AC453" s="26">
        <v>42334</v>
      </c>
      <c r="AD453" s="26" t="s">
        <v>853</v>
      </c>
      <c r="AE453" s="8" t="s">
        <v>4260</v>
      </c>
      <c r="AF453" s="8">
        <v>207</v>
      </c>
      <c r="AG453" s="8">
        <v>103</v>
      </c>
      <c r="AH453" s="26">
        <v>42416</v>
      </c>
      <c r="AI453" s="8" t="s">
        <v>853</v>
      </c>
      <c r="AJ453" s="8" t="s">
        <v>4659</v>
      </c>
      <c r="AK453" s="8">
        <v>90</v>
      </c>
      <c r="AL453" s="8">
        <v>45</v>
      </c>
      <c r="CB453" s="26">
        <v>41943</v>
      </c>
      <c r="CC453" s="26" t="s">
        <v>853</v>
      </c>
      <c r="CD453" s="8" t="s">
        <v>2988</v>
      </c>
      <c r="CE453" s="8">
        <v>205</v>
      </c>
      <c r="CF453" s="8">
        <v>103</v>
      </c>
      <c r="CG453" s="26">
        <v>42074</v>
      </c>
      <c r="CH453" s="8" t="s">
        <v>853</v>
      </c>
      <c r="CI453" s="8" t="s">
        <v>3597</v>
      </c>
      <c r="CJ453" s="8">
        <v>180</v>
      </c>
      <c r="CK453" s="8">
        <v>57</v>
      </c>
      <c r="CM453" s="8"/>
      <c r="CR453" s="8"/>
    </row>
    <row r="454" spans="1:130" x14ac:dyDescent="0.25">
      <c r="A454" s="8" t="s">
        <v>193</v>
      </c>
      <c r="B454" s="24" t="s">
        <v>880</v>
      </c>
      <c r="C454" s="25" t="s">
        <v>652</v>
      </c>
      <c r="E454" s="26" t="s">
        <v>1762</v>
      </c>
      <c r="F454" s="198" t="s">
        <v>965</v>
      </c>
      <c r="G454" s="198" t="s">
        <v>1700</v>
      </c>
      <c r="H454" s="25" t="s">
        <v>2775</v>
      </c>
      <c r="I454" s="27" t="s">
        <v>3895</v>
      </c>
      <c r="J454" s="27" t="s">
        <v>866</v>
      </c>
      <c r="K454" s="28" t="s">
        <v>853</v>
      </c>
      <c r="Q454" s="93"/>
      <c r="R454" s="28" t="s">
        <v>853</v>
      </c>
      <c r="S454" s="21"/>
      <c r="T454" s="21"/>
      <c r="U454" s="21"/>
      <c r="V454" s="21"/>
      <c r="W454" s="93">
        <v>160</v>
      </c>
      <c r="X454" s="84" t="s">
        <v>1700</v>
      </c>
      <c r="Y454" s="84" t="s">
        <v>791</v>
      </c>
      <c r="AA454" s="84" t="s">
        <v>1552</v>
      </c>
      <c r="AB454" s="84" t="s">
        <v>126</v>
      </c>
      <c r="AC454" s="26">
        <v>42453</v>
      </c>
      <c r="AD454" s="26" t="s">
        <v>853</v>
      </c>
      <c r="AE454" s="8" t="s">
        <v>4755</v>
      </c>
      <c r="AF454" s="8">
        <v>528</v>
      </c>
      <c r="AG454" s="8">
        <v>160</v>
      </c>
      <c r="CB454" s="26">
        <v>41921</v>
      </c>
      <c r="CC454" s="26" t="s">
        <v>853</v>
      </c>
      <c r="CD454" s="8" t="s">
        <v>2776</v>
      </c>
      <c r="CE454" s="8">
        <v>140</v>
      </c>
      <c r="CF454" s="8">
        <v>70</v>
      </c>
      <c r="CG454" s="26"/>
      <c r="CH454" s="8"/>
      <c r="CM454" s="8"/>
      <c r="CR454" s="8"/>
    </row>
    <row r="455" spans="1:130" x14ac:dyDescent="0.25">
      <c r="A455" s="8" t="s">
        <v>1449</v>
      </c>
      <c r="B455" s="24" t="s">
        <v>1795</v>
      </c>
      <c r="C455" s="25" t="s">
        <v>1814</v>
      </c>
      <c r="E455" s="26" t="s">
        <v>1762</v>
      </c>
      <c r="F455" s="198" t="s">
        <v>945</v>
      </c>
      <c r="G455" s="198" t="s">
        <v>1700</v>
      </c>
      <c r="H455" s="25" t="s">
        <v>2402</v>
      </c>
      <c r="J455" s="27" t="s">
        <v>866</v>
      </c>
      <c r="X455" s="84" t="s">
        <v>1700</v>
      </c>
      <c r="Y455" s="84" t="s">
        <v>1205</v>
      </c>
      <c r="AA455" s="84" t="s">
        <v>2403</v>
      </c>
      <c r="AB455" s="84" t="s">
        <v>687</v>
      </c>
      <c r="CB455" s="26"/>
      <c r="CC455" s="26"/>
      <c r="CF455" s="8"/>
      <c r="CG455" s="26"/>
      <c r="CH455" s="8"/>
      <c r="CM455" s="8"/>
      <c r="CR455" s="8"/>
    </row>
    <row r="456" spans="1:130" x14ac:dyDescent="0.25">
      <c r="A456" s="8" t="s">
        <v>1449</v>
      </c>
      <c r="B456" s="24" t="s">
        <v>1958</v>
      </c>
      <c r="E456" s="26" t="s">
        <v>1762</v>
      </c>
      <c r="F456" s="198" t="s">
        <v>325</v>
      </c>
      <c r="G456" s="198" t="s">
        <v>1700</v>
      </c>
      <c r="H456" s="25" t="s">
        <v>1736</v>
      </c>
      <c r="I456" s="27" t="s">
        <v>3902</v>
      </c>
      <c r="J456" s="27" t="s">
        <v>866</v>
      </c>
      <c r="K456" s="28" t="s">
        <v>854</v>
      </c>
      <c r="R456" s="29" t="s">
        <v>854</v>
      </c>
      <c r="CB456" s="26"/>
      <c r="CC456" s="26"/>
      <c r="CF456" s="8"/>
      <c r="CG456" s="26"/>
      <c r="CH456" s="8"/>
      <c r="CM456" s="8"/>
      <c r="CR456" s="8"/>
    </row>
    <row r="457" spans="1:130" x14ac:dyDescent="0.25">
      <c r="A457" s="19" t="s">
        <v>1068</v>
      </c>
      <c r="B457" s="12" t="s">
        <v>1062</v>
      </c>
      <c r="C457" s="13" t="s">
        <v>1409</v>
      </c>
      <c r="D457" s="14"/>
      <c r="E457" s="14" t="s">
        <v>896</v>
      </c>
      <c r="F457" s="199" t="s">
        <v>896</v>
      </c>
      <c r="G457" s="199" t="s">
        <v>1700</v>
      </c>
      <c r="H457" s="13" t="s">
        <v>2354</v>
      </c>
      <c r="I457" s="22"/>
      <c r="J457" s="20" t="s">
        <v>866</v>
      </c>
      <c r="K457" s="17"/>
      <c r="L457" s="21"/>
      <c r="M457" s="21"/>
      <c r="N457" s="21"/>
      <c r="O457" s="21"/>
      <c r="Q457" s="95"/>
      <c r="R457" s="17"/>
      <c r="S457" s="29"/>
      <c r="T457" s="29"/>
      <c r="U457" s="29"/>
      <c r="V457" s="29"/>
      <c r="W457" s="95"/>
      <c r="X457" s="84" t="s">
        <v>1700</v>
      </c>
      <c r="Y457" s="84" t="s">
        <v>277</v>
      </c>
      <c r="AA457" s="84" t="s">
        <v>1747</v>
      </c>
      <c r="AB457" s="84" t="s">
        <v>1748</v>
      </c>
      <c r="AE457" s="19"/>
      <c r="AF457" s="19"/>
      <c r="AG457" s="19"/>
      <c r="AI457" s="19"/>
      <c r="AJ457" s="19"/>
      <c r="AK457" s="19"/>
      <c r="AL457" s="19"/>
      <c r="AN457" s="19"/>
      <c r="AO457" s="19"/>
      <c r="AP457" s="19"/>
      <c r="AQ457" s="19"/>
      <c r="AS457" s="19"/>
      <c r="AT457" s="19"/>
      <c r="AU457" s="19"/>
      <c r="AV457" s="19"/>
      <c r="AX457" s="19"/>
      <c r="AY457" s="19"/>
      <c r="AZ457" s="19"/>
      <c r="BA457" s="19"/>
      <c r="BC457" s="19"/>
      <c r="BD457" s="19"/>
      <c r="BE457" s="19"/>
      <c r="BF457" s="19"/>
      <c r="BH457" s="19"/>
      <c r="BI457" s="19"/>
      <c r="BJ457" s="19"/>
      <c r="BK457" s="19"/>
      <c r="BM457" s="19"/>
      <c r="BN457" s="19"/>
      <c r="BO457" s="19"/>
      <c r="BP457" s="19"/>
      <c r="BR457" s="19"/>
      <c r="BS457" s="19"/>
      <c r="BT457" s="19"/>
      <c r="BU457" s="19"/>
      <c r="BW457" s="19"/>
      <c r="BX457" s="19"/>
      <c r="BY457" s="19"/>
      <c r="BZ457" s="19"/>
      <c r="CB457" s="26"/>
      <c r="CC457" s="26"/>
      <c r="CD457" s="19"/>
      <c r="CE457" s="19"/>
      <c r="CF457" s="19"/>
      <c r="CG457" s="26"/>
      <c r="CH457" s="19"/>
      <c r="CI457" s="19"/>
      <c r="CJ457" s="19"/>
      <c r="CK457" s="19"/>
      <c r="CM457" s="19"/>
      <c r="CN457" s="19"/>
      <c r="CO457" s="19"/>
      <c r="CP457" s="19"/>
      <c r="CR457" s="19"/>
      <c r="CS457" s="19"/>
      <c r="CT457" s="19"/>
      <c r="CU457" s="19"/>
      <c r="CW457" s="19"/>
      <c r="CX457" s="19"/>
      <c r="CY457" s="19"/>
      <c r="CZ457" s="19"/>
      <c r="DB457" s="19"/>
      <c r="DC457" s="19"/>
      <c r="DD457" s="19"/>
      <c r="DE457" s="19"/>
      <c r="DG457" s="19"/>
      <c r="DH457" s="19"/>
      <c r="DI457" s="19"/>
      <c r="DJ457" s="19"/>
      <c r="DL457" s="19"/>
      <c r="DM457" s="19"/>
      <c r="DN457" s="19"/>
      <c r="DO457" s="19"/>
      <c r="DQ457" s="19"/>
      <c r="DR457" s="19"/>
      <c r="DS457" s="19"/>
      <c r="DT457" s="19"/>
      <c r="DV457" s="19"/>
      <c r="DW457" s="19"/>
      <c r="DX457" s="19"/>
      <c r="DY457" s="19"/>
      <c r="DZ457" s="279"/>
    </row>
    <row r="458" spans="1:130" x14ac:dyDescent="0.25">
      <c r="A458" s="8" t="s">
        <v>4156</v>
      </c>
      <c r="B458" s="24" t="s">
        <v>880</v>
      </c>
      <c r="E458" s="26" t="s">
        <v>1762</v>
      </c>
      <c r="F458" s="198" t="s">
        <v>1700</v>
      </c>
      <c r="G458" s="198" t="s">
        <v>1700</v>
      </c>
      <c r="H458" s="25" t="s">
        <v>1700</v>
      </c>
      <c r="I458" s="27" t="s">
        <v>3902</v>
      </c>
      <c r="J458" s="27" t="s">
        <v>866</v>
      </c>
      <c r="K458" s="28" t="s">
        <v>3906</v>
      </c>
      <c r="CB458" s="278"/>
      <c r="CG458" s="278"/>
    </row>
    <row r="459" spans="1:130" x14ac:dyDescent="0.25">
      <c r="A459" s="8" t="s">
        <v>1233</v>
      </c>
      <c r="B459" s="24" t="s">
        <v>876</v>
      </c>
      <c r="C459" s="25" t="s">
        <v>1234</v>
      </c>
      <c r="E459" s="26" t="s">
        <v>1762</v>
      </c>
      <c r="F459" s="198" t="s">
        <v>1879</v>
      </c>
      <c r="G459" s="198" t="s">
        <v>1700</v>
      </c>
      <c r="H459" s="25" t="s">
        <v>1700</v>
      </c>
      <c r="J459" s="27" t="s">
        <v>866</v>
      </c>
      <c r="X459" s="84" t="s">
        <v>1700</v>
      </c>
      <c r="Y459" s="84" t="s">
        <v>791</v>
      </c>
      <c r="AA459" s="84" t="s">
        <v>1235</v>
      </c>
      <c r="AB459" s="84" t="s">
        <v>126</v>
      </c>
      <c r="CB459" s="26"/>
      <c r="CC459" s="26"/>
      <c r="CF459" s="8"/>
      <c r="CG459" s="26"/>
      <c r="CH459" s="8"/>
      <c r="CM459" s="8"/>
      <c r="CR459" s="8"/>
    </row>
    <row r="460" spans="1:130" x14ac:dyDescent="0.25">
      <c r="A460" s="8" t="s">
        <v>158</v>
      </c>
      <c r="B460" s="24" t="s">
        <v>779</v>
      </c>
      <c r="C460" s="25" t="s">
        <v>159</v>
      </c>
      <c r="E460" s="26" t="s">
        <v>1762</v>
      </c>
      <c r="F460" s="198" t="s">
        <v>1503</v>
      </c>
      <c r="G460" s="198" t="s">
        <v>1700</v>
      </c>
      <c r="H460" s="25" t="s">
        <v>3005</v>
      </c>
      <c r="J460" s="27" t="s">
        <v>866</v>
      </c>
      <c r="R460" s="29" t="s">
        <v>853</v>
      </c>
      <c r="X460" s="84" t="s">
        <v>1700</v>
      </c>
      <c r="Y460" s="84" t="s">
        <v>447</v>
      </c>
      <c r="AA460" s="84" t="s">
        <v>160</v>
      </c>
      <c r="AB460" s="84" t="s">
        <v>156</v>
      </c>
      <c r="CB460" s="26">
        <v>41943</v>
      </c>
      <c r="CC460" s="26" t="s">
        <v>853</v>
      </c>
      <c r="CD460" s="8" t="s">
        <v>3074</v>
      </c>
      <c r="CE460" s="8">
        <v>480</v>
      </c>
      <c r="CF460" s="8">
        <v>160</v>
      </c>
      <c r="CG460" s="26"/>
      <c r="CH460" s="8"/>
      <c r="CM460" s="8"/>
      <c r="CR460" s="8"/>
    </row>
    <row r="461" spans="1:130" x14ac:dyDescent="0.25">
      <c r="A461" s="8" t="s">
        <v>3812</v>
      </c>
      <c r="B461" s="24" t="s">
        <v>894</v>
      </c>
      <c r="D461" s="26">
        <v>27414</v>
      </c>
      <c r="E461" s="26" t="s">
        <v>1762</v>
      </c>
      <c r="F461" s="198" t="s">
        <v>1218</v>
      </c>
      <c r="G461" s="198" t="s">
        <v>1700</v>
      </c>
      <c r="H461" s="25" t="s">
        <v>1700</v>
      </c>
      <c r="J461" s="27" t="s">
        <v>866</v>
      </c>
      <c r="R461" s="29" t="s">
        <v>855</v>
      </c>
      <c r="CB461" s="278"/>
      <c r="CG461" s="278"/>
    </row>
    <row r="462" spans="1:130" x14ac:dyDescent="0.25">
      <c r="A462" s="8" t="s">
        <v>54</v>
      </c>
      <c r="B462" s="24" t="s">
        <v>1878</v>
      </c>
      <c r="C462" s="25" t="s">
        <v>3798</v>
      </c>
      <c r="E462" s="26" t="s">
        <v>896</v>
      </c>
      <c r="F462" s="198" t="s">
        <v>896</v>
      </c>
      <c r="G462" s="198" t="s">
        <v>1700</v>
      </c>
      <c r="H462" s="25" t="s">
        <v>3799</v>
      </c>
      <c r="J462" s="27" t="s">
        <v>866</v>
      </c>
      <c r="K462" s="28" t="s">
        <v>816</v>
      </c>
      <c r="R462" s="29" t="s">
        <v>816</v>
      </c>
      <c r="S462" s="8" t="s">
        <v>853</v>
      </c>
      <c r="X462" s="84" t="s">
        <v>1700</v>
      </c>
      <c r="Y462" s="84" t="s">
        <v>1205</v>
      </c>
      <c r="AA462" s="84" t="s">
        <v>3801</v>
      </c>
      <c r="AB462" s="84" t="s">
        <v>3800</v>
      </c>
      <c r="CB462" s="26">
        <v>42188</v>
      </c>
      <c r="CC462" s="26" t="s">
        <v>853</v>
      </c>
      <c r="CD462" s="19" t="s">
        <v>3802</v>
      </c>
      <c r="CE462" s="19">
        <v>140</v>
      </c>
      <c r="CF462" s="19">
        <v>70</v>
      </c>
      <c r="CG462" s="26"/>
      <c r="CH462" s="19"/>
      <c r="CI462" s="19"/>
      <c r="CJ462" s="19"/>
      <c r="CK462" s="19"/>
      <c r="CM462" s="19"/>
      <c r="CN462" s="19"/>
      <c r="CO462" s="19"/>
      <c r="CP462" s="19"/>
      <c r="CR462" s="19"/>
      <c r="CS462" s="19"/>
      <c r="CT462" s="19"/>
      <c r="CU462" s="19"/>
      <c r="CW462" s="19"/>
      <c r="CX462" s="19"/>
      <c r="CY462" s="19"/>
      <c r="CZ462" s="19"/>
      <c r="DB462" s="19"/>
      <c r="DC462" s="19"/>
      <c r="DD462" s="19"/>
      <c r="DE462" s="19"/>
      <c r="DG462" s="19"/>
      <c r="DH462" s="19"/>
      <c r="DI462" s="19"/>
      <c r="DJ462" s="19"/>
      <c r="DL462" s="19"/>
      <c r="DM462" s="19"/>
      <c r="DN462" s="19"/>
      <c r="DO462" s="19"/>
      <c r="DQ462" s="19"/>
      <c r="DR462" s="19"/>
      <c r="DS462" s="19"/>
      <c r="DT462" s="19"/>
      <c r="DV462" s="19"/>
      <c r="DW462" s="19"/>
      <c r="DX462" s="19"/>
      <c r="DY462" s="19"/>
    </row>
    <row r="463" spans="1:130" x14ac:dyDescent="0.25">
      <c r="A463" s="8" t="s">
        <v>2874</v>
      </c>
      <c r="B463" s="24" t="s">
        <v>2145</v>
      </c>
      <c r="C463" s="25" t="s">
        <v>2875</v>
      </c>
      <c r="E463" s="26" t="s">
        <v>1762</v>
      </c>
      <c r="F463" s="198" t="s">
        <v>245</v>
      </c>
      <c r="G463" s="198" t="s">
        <v>1700</v>
      </c>
      <c r="H463" s="25" t="s">
        <v>2876</v>
      </c>
      <c r="J463" s="27" t="s">
        <v>866</v>
      </c>
      <c r="R463" s="29" t="s">
        <v>853</v>
      </c>
      <c r="X463" s="84" t="s">
        <v>1700</v>
      </c>
      <c r="Y463" s="84" t="s">
        <v>2499</v>
      </c>
      <c r="AA463" s="84" t="s">
        <v>2877</v>
      </c>
      <c r="AB463" s="84" t="s">
        <v>126</v>
      </c>
      <c r="CB463" s="278">
        <v>41934</v>
      </c>
      <c r="CC463" s="278" t="s">
        <v>853</v>
      </c>
      <c r="CD463" s="279" t="s">
        <v>2878</v>
      </c>
      <c r="CE463" s="8">
        <v>350</v>
      </c>
      <c r="CF463" s="279">
        <v>160</v>
      </c>
      <c r="CG463" s="278"/>
      <c r="CH463" s="278"/>
      <c r="CI463" s="279"/>
      <c r="CK463" s="279"/>
      <c r="CL463" s="278"/>
      <c r="CM463" s="278"/>
      <c r="CN463" s="279"/>
      <c r="CP463" s="279"/>
      <c r="CQ463" s="278"/>
      <c r="CR463" s="279"/>
      <c r="CS463" s="279"/>
      <c r="CU463" s="279"/>
      <c r="CV463" s="278"/>
      <c r="CW463" s="279"/>
      <c r="CX463" s="279"/>
      <c r="CZ463" s="279"/>
      <c r="DA463" s="278"/>
      <c r="DB463" s="279"/>
      <c r="DC463" s="279"/>
      <c r="DE463" s="279"/>
      <c r="DF463" s="278"/>
      <c r="DG463" s="279"/>
      <c r="DH463" s="279"/>
      <c r="DJ463" s="279"/>
      <c r="DK463" s="278"/>
      <c r="DL463" s="279"/>
      <c r="DM463" s="279"/>
      <c r="DO463" s="279"/>
      <c r="DP463" s="278"/>
      <c r="DQ463" s="279"/>
      <c r="DR463" s="279"/>
      <c r="DT463" s="279"/>
      <c r="DU463" s="278"/>
      <c r="DV463" s="279"/>
      <c r="DW463" s="279"/>
      <c r="DY463" s="279"/>
    </row>
    <row r="464" spans="1:130" x14ac:dyDescent="0.25">
      <c r="A464" s="8" t="s">
        <v>3245</v>
      </c>
      <c r="B464" s="24" t="s">
        <v>811</v>
      </c>
      <c r="C464" s="25" t="s">
        <v>3244</v>
      </c>
      <c r="E464" s="26" t="s">
        <v>1762</v>
      </c>
      <c r="F464" s="198" t="s">
        <v>874</v>
      </c>
      <c r="G464" s="198" t="s">
        <v>1700</v>
      </c>
      <c r="H464" s="25" t="s">
        <v>1700</v>
      </c>
      <c r="I464" s="27" t="s">
        <v>3904</v>
      </c>
      <c r="J464" s="27" t="s">
        <v>866</v>
      </c>
      <c r="K464" s="28" t="s">
        <v>853</v>
      </c>
      <c r="R464" s="29" t="s">
        <v>853</v>
      </c>
      <c r="W464" s="93">
        <v>117</v>
      </c>
      <c r="X464" s="84" t="s">
        <v>1700</v>
      </c>
      <c r="Y464" s="84" t="s">
        <v>2499</v>
      </c>
      <c r="AA464" s="84" t="s">
        <v>3246</v>
      </c>
      <c r="AB464" s="84" t="s">
        <v>126</v>
      </c>
      <c r="AC464" s="26">
        <v>42360</v>
      </c>
      <c r="AD464" s="26" t="s">
        <v>853</v>
      </c>
      <c r="AE464" s="8" t="s">
        <v>4586</v>
      </c>
      <c r="AF464" s="8">
        <v>235</v>
      </c>
      <c r="AG464" s="8">
        <v>117</v>
      </c>
      <c r="CB464" s="26">
        <v>41977</v>
      </c>
      <c r="CC464" s="26" t="s">
        <v>853</v>
      </c>
      <c r="CD464" s="19" t="s">
        <v>3247</v>
      </c>
      <c r="CE464" s="19">
        <v>254</v>
      </c>
      <c r="CF464" s="19">
        <v>127</v>
      </c>
      <c r="CG464" s="26"/>
      <c r="CH464" s="19"/>
      <c r="CI464" s="19"/>
      <c r="CJ464" s="19"/>
      <c r="CK464" s="19"/>
      <c r="CM464" s="19"/>
      <c r="CN464" s="19"/>
      <c r="CO464" s="19"/>
      <c r="CP464" s="19"/>
      <c r="CR464" s="19"/>
      <c r="CS464" s="19"/>
      <c r="CT464" s="19"/>
      <c r="CU464" s="19"/>
      <c r="CW464" s="19"/>
      <c r="CX464" s="19"/>
      <c r="CY464" s="19"/>
      <c r="CZ464" s="19"/>
      <c r="DB464" s="19"/>
      <c r="DC464" s="19"/>
      <c r="DD464" s="19"/>
      <c r="DE464" s="19"/>
      <c r="DG464" s="19"/>
      <c r="DH464" s="19"/>
      <c r="DI464" s="19"/>
      <c r="DJ464" s="19"/>
      <c r="DL464" s="19"/>
      <c r="DM464" s="19"/>
      <c r="DN464" s="19"/>
      <c r="DO464" s="19"/>
      <c r="DQ464" s="19"/>
      <c r="DR464" s="19"/>
      <c r="DS464" s="19"/>
      <c r="DT464" s="19"/>
      <c r="DU464" s="8"/>
    </row>
    <row r="465" spans="1:225" ht="13.5" x14ac:dyDescent="0.25">
      <c r="A465" s="8" t="s">
        <v>3509</v>
      </c>
      <c r="B465" s="24" t="s">
        <v>894</v>
      </c>
      <c r="F465" s="198" t="s">
        <v>1710</v>
      </c>
      <c r="G465" s="198" t="s">
        <v>1700</v>
      </c>
      <c r="H465" s="25" t="s">
        <v>1700</v>
      </c>
      <c r="J465" s="27" t="s">
        <v>866</v>
      </c>
      <c r="R465" s="29" t="s">
        <v>854</v>
      </c>
      <c r="CB465" s="278"/>
      <c r="CG465" s="278"/>
      <c r="DZ465" s="258"/>
      <c r="EB465" s="19"/>
      <c r="EC465" s="19"/>
      <c r="ED465" s="19"/>
      <c r="EE465" s="19"/>
      <c r="EF465" s="19"/>
      <c r="EG465" s="19"/>
      <c r="EH465" s="19"/>
      <c r="EI465" s="19"/>
      <c r="EJ465" s="19"/>
      <c r="EK465" s="19"/>
      <c r="EL465" s="19"/>
      <c r="EN465" s="19"/>
      <c r="EO465" s="19"/>
      <c r="EP465" s="19"/>
      <c r="EQ465" s="19"/>
      <c r="ER465" s="19"/>
      <c r="ES465" s="19"/>
      <c r="ET465" s="19"/>
      <c r="EU465" s="19"/>
      <c r="EV465" s="19"/>
      <c r="EW465" s="19"/>
      <c r="EX465" s="19"/>
      <c r="EZ465" s="19"/>
      <c r="FA465" s="19"/>
      <c r="FB465" s="19"/>
      <c r="FC465" s="19"/>
      <c r="FD465" s="19"/>
      <c r="FE465" s="19"/>
      <c r="FF465" s="19"/>
      <c r="FG465" s="19"/>
      <c r="FH465" s="19"/>
      <c r="FI465" s="19"/>
      <c r="FJ465" s="19"/>
      <c r="FL465" s="19"/>
      <c r="FM465" s="19"/>
      <c r="FN465" s="19"/>
      <c r="FO465" s="19"/>
      <c r="FP465" s="19"/>
      <c r="FQ465" s="19"/>
      <c r="FR465" s="19"/>
      <c r="FS465" s="19"/>
      <c r="FT465" s="19"/>
      <c r="FU465" s="19"/>
      <c r="FV465" s="19"/>
      <c r="FX465" s="19"/>
      <c r="FY465" s="19"/>
      <c r="FZ465" s="19"/>
      <c r="GA465" s="19"/>
      <c r="GB465" s="19"/>
      <c r="GC465" s="19"/>
      <c r="GD465" s="19"/>
      <c r="GE465" s="19"/>
      <c r="GF465" s="19"/>
      <c r="GG465" s="19"/>
      <c r="GH465" s="19"/>
      <c r="GJ465" s="19"/>
      <c r="GK465" s="19"/>
      <c r="GL465" s="19"/>
      <c r="GM465" s="19"/>
      <c r="GN465" s="19"/>
      <c r="GO465" s="19"/>
      <c r="GP465" s="19"/>
      <c r="GQ465" s="19"/>
      <c r="GR465" s="19"/>
      <c r="GS465" s="19"/>
      <c r="GT465" s="19"/>
      <c r="GV465" s="19"/>
      <c r="GW465" s="19"/>
      <c r="GX465" s="19"/>
      <c r="GY465" s="19"/>
      <c r="GZ465" s="19"/>
      <c r="HA465" s="19"/>
      <c r="HB465" s="19"/>
      <c r="HC465" s="19"/>
      <c r="HD465" s="19"/>
      <c r="HE465" s="19"/>
      <c r="HF465" s="19"/>
      <c r="HH465" s="19"/>
      <c r="HI465" s="19"/>
      <c r="HJ465" s="19"/>
      <c r="HK465" s="19"/>
      <c r="HL465" s="19"/>
      <c r="HM465" s="19"/>
      <c r="HN465" s="19"/>
      <c r="HO465" s="19"/>
      <c r="HP465" s="19"/>
      <c r="HQ465" s="19"/>
    </row>
    <row r="466" spans="1:225" x14ac:dyDescent="0.25">
      <c r="A466" s="8" t="s">
        <v>3682</v>
      </c>
      <c r="B466" s="24" t="s">
        <v>1428</v>
      </c>
      <c r="C466" s="25" t="s">
        <v>700</v>
      </c>
      <c r="E466" s="26" t="s">
        <v>1762</v>
      </c>
      <c r="F466" s="198" t="s">
        <v>134</v>
      </c>
      <c r="G466" s="198" t="s">
        <v>1700</v>
      </c>
      <c r="H466" s="25" t="s">
        <v>1700</v>
      </c>
      <c r="J466" s="27" t="s">
        <v>866</v>
      </c>
      <c r="R466" s="29" t="s">
        <v>1126</v>
      </c>
      <c r="X466" s="84" t="s">
        <v>1700</v>
      </c>
      <c r="Y466" s="84" t="s">
        <v>791</v>
      </c>
      <c r="AA466" s="84" t="s">
        <v>701</v>
      </c>
      <c r="AB466" s="84" t="s">
        <v>126</v>
      </c>
      <c r="CB466" s="26">
        <v>42094</v>
      </c>
      <c r="CC466" s="26" t="s">
        <v>1126</v>
      </c>
      <c r="CD466" s="8" t="s">
        <v>3675</v>
      </c>
      <c r="CE466" s="8">
        <v>40.700000000000003</v>
      </c>
      <c r="CF466" s="8">
        <v>20.350000000000001</v>
      </c>
      <c r="CG466" s="26"/>
      <c r="CH466" s="8"/>
      <c r="CM466" s="8"/>
      <c r="CR466" s="8"/>
      <c r="DZ466" s="19"/>
    </row>
    <row r="467" spans="1:225" ht="13.5" x14ac:dyDescent="0.25">
      <c r="A467" s="8" t="s">
        <v>3860</v>
      </c>
      <c r="B467" s="24" t="s">
        <v>1466</v>
      </c>
      <c r="E467" s="26" t="s">
        <v>1762</v>
      </c>
      <c r="F467" s="198" t="s">
        <v>1700</v>
      </c>
      <c r="G467" s="198" t="s">
        <v>1700</v>
      </c>
      <c r="H467" s="25" t="s">
        <v>1700</v>
      </c>
      <c r="J467" s="27" t="s">
        <v>866</v>
      </c>
      <c r="L467" s="29" t="s">
        <v>3908</v>
      </c>
      <c r="R467" s="29" t="s">
        <v>1973</v>
      </c>
      <c r="CB467" s="278"/>
      <c r="CG467" s="278"/>
      <c r="DZ467" s="258"/>
    </row>
    <row r="468" spans="1:225" x14ac:dyDescent="0.25">
      <c r="A468" s="8" t="s">
        <v>4776</v>
      </c>
      <c r="B468" s="24" t="s">
        <v>4777</v>
      </c>
      <c r="F468" s="198" t="s">
        <v>1700</v>
      </c>
      <c r="G468" s="198" t="s">
        <v>1700</v>
      </c>
      <c r="H468" s="25" t="s">
        <v>1700</v>
      </c>
      <c r="I468" s="27" t="s">
        <v>3895</v>
      </c>
      <c r="J468" s="27" t="s">
        <v>866</v>
      </c>
      <c r="K468" s="28" t="s">
        <v>3907</v>
      </c>
      <c r="P468" s="17">
        <v>1</v>
      </c>
      <c r="CB468" s="278"/>
      <c r="CG468" s="278"/>
    </row>
    <row r="469" spans="1:225" x14ac:dyDescent="0.25">
      <c r="A469" s="8" t="s">
        <v>1377</v>
      </c>
      <c r="B469" s="24" t="s">
        <v>1378</v>
      </c>
      <c r="C469" s="25" t="s">
        <v>1370</v>
      </c>
      <c r="E469" s="26" t="s">
        <v>1764</v>
      </c>
      <c r="F469" s="198" t="s">
        <v>913</v>
      </c>
      <c r="G469" s="198" t="s">
        <v>1700</v>
      </c>
      <c r="H469" s="25" t="s">
        <v>3480</v>
      </c>
      <c r="J469" s="27" t="s">
        <v>866</v>
      </c>
      <c r="Q469" s="93"/>
      <c r="R469" s="28" t="s">
        <v>853</v>
      </c>
      <c r="S469" s="29"/>
      <c r="T469" s="29"/>
      <c r="U469" s="29"/>
      <c r="V469" s="29"/>
      <c r="W469" s="95"/>
      <c r="X469" s="84" t="s">
        <v>1700</v>
      </c>
      <c r="Y469" s="84" t="s">
        <v>403</v>
      </c>
      <c r="AA469" s="84" t="s">
        <v>1070</v>
      </c>
      <c r="AB469" s="84" t="s">
        <v>1650</v>
      </c>
      <c r="AE469" s="19"/>
      <c r="AF469" s="19"/>
      <c r="AG469" s="19"/>
      <c r="AI469" s="19"/>
      <c r="AJ469" s="19"/>
      <c r="AK469" s="19"/>
      <c r="AL469" s="19"/>
      <c r="AN469" s="19"/>
      <c r="AO469" s="19"/>
      <c r="AP469" s="19"/>
      <c r="AQ469" s="19"/>
      <c r="AS469" s="19"/>
      <c r="AT469" s="19"/>
      <c r="AU469" s="19"/>
      <c r="AV469" s="19"/>
      <c r="AX469" s="19"/>
      <c r="AY469" s="19"/>
      <c r="AZ469" s="19"/>
      <c r="BA469" s="19"/>
      <c r="BC469" s="19"/>
      <c r="BD469" s="19"/>
      <c r="BE469" s="19"/>
      <c r="BF469" s="19"/>
      <c r="BH469" s="19"/>
      <c r="BI469" s="19"/>
      <c r="BJ469" s="19"/>
      <c r="BK469" s="19"/>
      <c r="BM469" s="19"/>
      <c r="BN469" s="19"/>
      <c r="BO469" s="19"/>
      <c r="BP469" s="19"/>
      <c r="BR469" s="19"/>
      <c r="BS469" s="19"/>
      <c r="BT469" s="19"/>
      <c r="BU469" s="19"/>
      <c r="BW469" s="19"/>
      <c r="BX469" s="19"/>
      <c r="BY469" s="19"/>
      <c r="BZ469" s="19"/>
      <c r="CB469" s="26">
        <v>42032</v>
      </c>
      <c r="CC469" s="26" t="s">
        <v>853</v>
      </c>
      <c r="CD469" s="19" t="s">
        <v>3481</v>
      </c>
      <c r="CE469" s="19">
        <v>95</v>
      </c>
      <c r="CF469" s="19">
        <v>48</v>
      </c>
      <c r="CG469" s="26">
        <v>42135</v>
      </c>
      <c r="CH469" s="19" t="s">
        <v>853</v>
      </c>
      <c r="CI469" s="19" t="s">
        <v>3702</v>
      </c>
      <c r="CJ469" s="19">
        <v>40</v>
      </c>
      <c r="CK469" s="19">
        <v>20</v>
      </c>
      <c r="CM469" s="19"/>
      <c r="CN469" s="19"/>
      <c r="CO469" s="19"/>
      <c r="CP469" s="19"/>
      <c r="CR469" s="19"/>
      <c r="CS469" s="19"/>
      <c r="CT469" s="19"/>
      <c r="CU469" s="19"/>
      <c r="CW469" s="19"/>
      <c r="CX469" s="19"/>
      <c r="CY469" s="19"/>
      <c r="CZ469" s="19"/>
      <c r="DB469" s="19"/>
      <c r="DC469" s="19"/>
      <c r="DD469" s="19"/>
      <c r="DE469" s="19"/>
      <c r="DG469" s="19"/>
      <c r="DH469" s="19"/>
      <c r="DI469" s="19"/>
      <c r="DJ469" s="19"/>
      <c r="DL469" s="19"/>
      <c r="DM469" s="19"/>
      <c r="DN469" s="19"/>
      <c r="DO469" s="19"/>
      <c r="DQ469" s="19"/>
      <c r="DR469" s="19"/>
      <c r="DS469" s="19"/>
      <c r="DT469" s="19"/>
      <c r="DV469" s="19"/>
      <c r="DW469" s="19"/>
      <c r="DX469" s="19"/>
      <c r="DY469" s="19"/>
    </row>
    <row r="470" spans="1:225" x14ac:dyDescent="0.25">
      <c r="A470" s="8" t="s">
        <v>3200</v>
      </c>
      <c r="B470" s="24" t="s">
        <v>966</v>
      </c>
      <c r="C470" s="25" t="s">
        <v>3199</v>
      </c>
      <c r="E470" s="26" t="s">
        <v>1762</v>
      </c>
      <c r="F470" s="198" t="s">
        <v>194</v>
      </c>
      <c r="G470" s="198" t="s">
        <v>1700</v>
      </c>
      <c r="H470" s="25" t="s">
        <v>3201</v>
      </c>
      <c r="J470" s="27" t="s">
        <v>866</v>
      </c>
      <c r="R470" s="29" t="s">
        <v>853</v>
      </c>
      <c r="X470" s="84" t="s">
        <v>1700</v>
      </c>
      <c r="Y470" s="84" t="s">
        <v>2367</v>
      </c>
      <c r="AA470" s="84" t="s">
        <v>3202</v>
      </c>
      <c r="AB470" s="84" t="s">
        <v>221</v>
      </c>
      <c r="CB470" s="278">
        <v>41977</v>
      </c>
      <c r="CC470" s="278" t="s">
        <v>853</v>
      </c>
      <c r="CD470" s="279" t="s">
        <v>3203</v>
      </c>
      <c r="CE470" s="8">
        <v>405</v>
      </c>
      <c r="CF470" s="279">
        <v>160</v>
      </c>
      <c r="CG470" s="278"/>
      <c r="CH470" s="278"/>
      <c r="CI470" s="279"/>
      <c r="CK470" s="279"/>
      <c r="CL470" s="278"/>
      <c r="CM470" s="278"/>
      <c r="CN470" s="279"/>
      <c r="CP470" s="279"/>
      <c r="CQ470" s="278"/>
      <c r="CR470" s="279"/>
      <c r="CS470" s="279"/>
      <c r="CU470" s="279"/>
      <c r="CV470" s="278"/>
      <c r="CW470" s="279"/>
      <c r="CX470" s="279"/>
      <c r="CZ470" s="279"/>
      <c r="DA470" s="278"/>
      <c r="DB470" s="279"/>
      <c r="DC470" s="279"/>
      <c r="DE470" s="279"/>
      <c r="DF470" s="278"/>
      <c r="DG470" s="279"/>
      <c r="DH470" s="279"/>
      <c r="DJ470" s="279"/>
      <c r="DK470" s="278"/>
      <c r="DL470" s="279"/>
      <c r="DM470" s="279"/>
      <c r="DO470" s="279"/>
      <c r="DP470" s="278"/>
      <c r="DQ470" s="279"/>
      <c r="DR470" s="279"/>
      <c r="DT470" s="279"/>
      <c r="DU470" s="278"/>
      <c r="DV470" s="279"/>
      <c r="DW470" s="279"/>
      <c r="DY470" s="279"/>
    </row>
    <row r="471" spans="1:225" x14ac:dyDescent="0.25">
      <c r="A471" s="8" t="s">
        <v>831</v>
      </c>
      <c r="B471" s="24" t="s">
        <v>166</v>
      </c>
      <c r="C471" s="25" t="s">
        <v>832</v>
      </c>
      <c r="E471" s="26" t="s">
        <v>1762</v>
      </c>
      <c r="F471" s="198" t="s">
        <v>947</v>
      </c>
      <c r="G471" s="198" t="s">
        <v>1700</v>
      </c>
      <c r="H471" s="25" t="s">
        <v>3255</v>
      </c>
      <c r="J471" s="27" t="s">
        <v>866</v>
      </c>
      <c r="R471" s="29" t="s">
        <v>853</v>
      </c>
      <c r="X471" s="84" t="s">
        <v>1700</v>
      </c>
      <c r="Y471" s="84" t="s">
        <v>791</v>
      </c>
      <c r="AA471" s="84" t="s">
        <v>3256</v>
      </c>
      <c r="AB471" s="84" t="s">
        <v>126</v>
      </c>
      <c r="CA471" s="19"/>
      <c r="CB471" s="26">
        <v>41977</v>
      </c>
      <c r="CC471" s="26" t="s">
        <v>853</v>
      </c>
      <c r="CD471" s="8" t="s">
        <v>3257</v>
      </c>
      <c r="CE471" s="8">
        <v>190</v>
      </c>
      <c r="CF471" s="8">
        <v>95</v>
      </c>
      <c r="CG471" s="26">
        <v>42097</v>
      </c>
      <c r="CH471" s="8" t="s">
        <v>853</v>
      </c>
      <c r="CI471" s="8" t="s">
        <v>3670</v>
      </c>
      <c r="CJ471" s="8">
        <v>999</v>
      </c>
      <c r="CK471" s="8">
        <v>65</v>
      </c>
      <c r="CM471" s="8"/>
      <c r="CR471" s="8"/>
      <c r="EB471" s="19"/>
      <c r="EC471" s="19"/>
      <c r="ED471" s="19"/>
      <c r="EE471" s="19"/>
      <c r="EF471" s="19"/>
      <c r="EG471" s="19"/>
      <c r="EH471" s="19"/>
      <c r="EI471" s="19"/>
      <c r="EJ471" s="19"/>
      <c r="EK471" s="19"/>
      <c r="EL471" s="19"/>
      <c r="EN471" s="19"/>
      <c r="EO471" s="19"/>
      <c r="EP471" s="19"/>
      <c r="EQ471" s="19"/>
      <c r="ER471" s="19"/>
      <c r="ES471" s="19"/>
      <c r="ET471" s="19"/>
      <c r="EU471" s="19"/>
      <c r="EV471" s="19"/>
      <c r="EW471" s="19"/>
      <c r="EX471" s="19"/>
      <c r="EZ471" s="19"/>
      <c r="FA471" s="19"/>
      <c r="FB471" s="19"/>
      <c r="FC471" s="19"/>
      <c r="FD471" s="19"/>
      <c r="FE471" s="19"/>
      <c r="FF471" s="19"/>
      <c r="FG471" s="19"/>
      <c r="FH471" s="19"/>
      <c r="FI471" s="19"/>
      <c r="FJ471" s="19"/>
      <c r="FL471" s="19"/>
      <c r="FM471" s="19"/>
      <c r="FN471" s="19"/>
      <c r="FO471" s="19"/>
      <c r="FP471" s="19"/>
      <c r="FQ471" s="19"/>
      <c r="FR471" s="19"/>
      <c r="FS471" s="19"/>
      <c r="FT471" s="19"/>
      <c r="FU471" s="19"/>
      <c r="FV471" s="19"/>
      <c r="FX471" s="19"/>
      <c r="FY471" s="19"/>
      <c r="FZ471" s="19"/>
      <c r="GA471" s="19"/>
      <c r="GB471" s="19"/>
      <c r="GC471" s="19"/>
      <c r="GD471" s="19"/>
      <c r="GE471" s="19"/>
      <c r="GF471" s="19"/>
      <c r="GG471" s="19"/>
      <c r="GH471" s="19"/>
      <c r="GJ471" s="19"/>
      <c r="GK471" s="19"/>
      <c r="GL471" s="19"/>
      <c r="GM471" s="19"/>
      <c r="GN471" s="19"/>
      <c r="GO471" s="19"/>
      <c r="GP471" s="19"/>
      <c r="GQ471" s="19"/>
      <c r="GR471" s="19"/>
      <c r="GS471" s="19"/>
      <c r="GT471" s="19"/>
      <c r="GV471" s="19"/>
      <c r="GW471" s="19"/>
      <c r="GX471" s="19"/>
      <c r="GY471" s="19"/>
      <c r="GZ471" s="19"/>
      <c r="HA471" s="19"/>
      <c r="HB471" s="19"/>
      <c r="HC471" s="19"/>
      <c r="HD471" s="19"/>
      <c r="HE471" s="19"/>
      <c r="HF471" s="19"/>
      <c r="HH471" s="19"/>
      <c r="HI471" s="19"/>
      <c r="HJ471" s="19"/>
      <c r="HK471" s="19"/>
      <c r="HL471" s="19"/>
      <c r="HM471" s="19"/>
      <c r="HN471" s="19"/>
      <c r="HO471" s="19"/>
      <c r="HP471" s="19"/>
      <c r="HQ471" s="19"/>
    </row>
    <row r="472" spans="1:225" x14ac:dyDescent="0.25">
      <c r="A472" s="8" t="s">
        <v>1455</v>
      </c>
      <c r="B472" s="24" t="s">
        <v>1456</v>
      </c>
      <c r="C472" s="25" t="s">
        <v>1457</v>
      </c>
      <c r="D472" s="26">
        <v>30276</v>
      </c>
      <c r="E472" s="26" t="s">
        <v>1762</v>
      </c>
      <c r="F472" s="198" t="s">
        <v>1829</v>
      </c>
      <c r="G472" s="198" t="s">
        <v>1700</v>
      </c>
      <c r="H472" s="25" t="s">
        <v>1700</v>
      </c>
      <c r="I472" s="27" t="s">
        <v>3893</v>
      </c>
      <c r="J472" s="27" t="s">
        <v>866</v>
      </c>
      <c r="K472" s="28" t="s">
        <v>816</v>
      </c>
      <c r="R472" s="29" t="s">
        <v>816</v>
      </c>
      <c r="S472" s="8" t="s">
        <v>1416</v>
      </c>
      <c r="X472" s="84" t="s">
        <v>1700</v>
      </c>
      <c r="Y472" s="84" t="s">
        <v>261</v>
      </c>
      <c r="AA472" s="84" t="s">
        <v>1459</v>
      </c>
      <c r="AB472" s="84" t="s">
        <v>1458</v>
      </c>
      <c r="CB472" s="26"/>
      <c r="CC472" s="26"/>
      <c r="CF472" s="8"/>
      <c r="CG472" s="26"/>
      <c r="CH472" s="8"/>
      <c r="CM472" s="8"/>
      <c r="CR472" s="8"/>
      <c r="DZ472" s="19"/>
    </row>
    <row r="473" spans="1:225" x14ac:dyDescent="0.25">
      <c r="A473" s="8" t="s">
        <v>4409</v>
      </c>
      <c r="B473" s="24" t="s">
        <v>1660</v>
      </c>
      <c r="C473" s="25" t="s">
        <v>4408</v>
      </c>
      <c r="E473" s="26" t="s">
        <v>1762</v>
      </c>
      <c r="F473" s="198" t="s">
        <v>2059</v>
      </c>
      <c r="G473" s="198" t="s">
        <v>1700</v>
      </c>
      <c r="H473" s="25" t="s">
        <v>4410</v>
      </c>
      <c r="I473" s="27" t="s">
        <v>3903</v>
      </c>
      <c r="J473" s="27" t="s">
        <v>866</v>
      </c>
      <c r="K473" s="28" t="s">
        <v>853</v>
      </c>
      <c r="W473" s="93">
        <v>60</v>
      </c>
      <c r="X473" s="84" t="s">
        <v>1700</v>
      </c>
      <c r="Y473" s="84" t="s">
        <v>2711</v>
      </c>
      <c r="AA473" s="84" t="s">
        <v>4411</v>
      </c>
      <c r="AB473" s="84" t="s">
        <v>2629</v>
      </c>
      <c r="AC473" s="26">
        <v>42352</v>
      </c>
      <c r="AD473" s="26" t="s">
        <v>853</v>
      </c>
      <c r="AE473" s="8" t="s">
        <v>4412</v>
      </c>
      <c r="AF473" s="8">
        <v>120</v>
      </c>
      <c r="AG473" s="8">
        <v>60</v>
      </c>
      <c r="CB473" s="278"/>
      <c r="CG473" s="278"/>
    </row>
    <row r="474" spans="1:225" x14ac:dyDescent="0.25">
      <c r="A474" s="8" t="s">
        <v>4546</v>
      </c>
      <c r="B474" s="24" t="s">
        <v>4547</v>
      </c>
      <c r="C474" s="25" t="s">
        <v>4545</v>
      </c>
      <c r="E474" s="26" t="s">
        <v>1762</v>
      </c>
      <c r="F474" s="198" t="s">
        <v>968</v>
      </c>
      <c r="G474" s="198" t="s">
        <v>1700</v>
      </c>
      <c r="H474" s="25" t="s">
        <v>4548</v>
      </c>
      <c r="I474" s="27" t="s">
        <v>3904</v>
      </c>
      <c r="J474" s="27" t="s">
        <v>866</v>
      </c>
      <c r="K474" s="28" t="s">
        <v>853</v>
      </c>
      <c r="W474" s="93">
        <v>60</v>
      </c>
      <c r="X474" s="84" t="s">
        <v>1700</v>
      </c>
      <c r="Y474" s="84" t="s">
        <v>2499</v>
      </c>
      <c r="AA474" s="84" t="s">
        <v>4549</v>
      </c>
      <c r="AB474" s="84" t="s">
        <v>126</v>
      </c>
      <c r="AC474" s="26">
        <v>42360</v>
      </c>
      <c r="AD474" s="26" t="s">
        <v>853</v>
      </c>
      <c r="AE474" s="8" t="s">
        <v>4550</v>
      </c>
      <c r="AF474" s="8">
        <v>120</v>
      </c>
      <c r="AG474" s="8">
        <v>60</v>
      </c>
      <c r="CB474" s="278"/>
      <c r="CG474" s="278"/>
    </row>
    <row r="475" spans="1:225" x14ac:dyDescent="0.25">
      <c r="A475" s="8" t="s">
        <v>633</v>
      </c>
      <c r="B475" s="24" t="s">
        <v>934</v>
      </c>
      <c r="F475" s="198" t="s">
        <v>1700</v>
      </c>
      <c r="G475" s="198" t="s">
        <v>1700</v>
      </c>
      <c r="H475" s="25" t="s">
        <v>1700</v>
      </c>
      <c r="J475" s="27" t="s">
        <v>866</v>
      </c>
      <c r="CB475" s="26"/>
      <c r="CC475" s="26"/>
      <c r="CF475" s="8"/>
      <c r="CG475" s="26"/>
      <c r="CH475" s="8"/>
      <c r="CM475" s="8"/>
      <c r="CR475" s="8"/>
    </row>
    <row r="476" spans="1:225" x14ac:dyDescent="0.25">
      <c r="A476" s="8" t="s">
        <v>3765</v>
      </c>
      <c r="B476" s="24" t="s">
        <v>196</v>
      </c>
      <c r="C476" s="25" t="s">
        <v>3764</v>
      </c>
      <c r="E476" s="26" t="s">
        <v>1762</v>
      </c>
      <c r="F476" s="198" t="s">
        <v>874</v>
      </c>
      <c r="G476" s="198" t="s">
        <v>1700</v>
      </c>
      <c r="H476" s="25" t="s">
        <v>3766</v>
      </c>
      <c r="J476" s="27" t="s">
        <v>866</v>
      </c>
      <c r="R476" s="29" t="s">
        <v>853</v>
      </c>
      <c r="X476" s="84" t="s">
        <v>1700</v>
      </c>
      <c r="Y476" s="84" t="s">
        <v>2499</v>
      </c>
      <c r="AA476" s="84" t="s">
        <v>3767</v>
      </c>
      <c r="AB476" s="84" t="s">
        <v>126</v>
      </c>
      <c r="CB476" s="278">
        <v>42178</v>
      </c>
      <c r="CC476" s="278" t="s">
        <v>853</v>
      </c>
      <c r="CD476" s="8" t="s">
        <v>3768</v>
      </c>
      <c r="CE476" s="8">
        <v>112</v>
      </c>
      <c r="CF476" s="279">
        <v>56</v>
      </c>
      <c r="CG476" s="278"/>
    </row>
    <row r="477" spans="1:225" x14ac:dyDescent="0.25">
      <c r="A477" s="8" t="s">
        <v>1202</v>
      </c>
      <c r="B477" s="24" t="s">
        <v>1471</v>
      </c>
      <c r="C477" s="25" t="s">
        <v>1203</v>
      </c>
      <c r="E477" s="26" t="s">
        <v>896</v>
      </c>
      <c r="F477" s="198" t="s">
        <v>896</v>
      </c>
      <c r="G477" s="198" t="s">
        <v>1700</v>
      </c>
      <c r="H477" s="25" t="s">
        <v>1700</v>
      </c>
      <c r="J477" s="27" t="s">
        <v>866</v>
      </c>
      <c r="X477" s="84" t="s">
        <v>1700</v>
      </c>
      <c r="Y477" s="84" t="s">
        <v>791</v>
      </c>
      <c r="AA477" s="84" t="s">
        <v>1204</v>
      </c>
      <c r="AB477" s="84" t="s">
        <v>126</v>
      </c>
      <c r="CB477" s="26"/>
      <c r="CC477" s="26"/>
      <c r="CF477" s="8"/>
      <c r="CG477" s="26"/>
      <c r="CH477" s="8"/>
      <c r="CM477" s="8"/>
      <c r="CR477" s="8"/>
    </row>
    <row r="478" spans="1:225" ht="13.5" x14ac:dyDescent="0.25">
      <c r="A478" s="8" t="s">
        <v>1971</v>
      </c>
      <c r="B478" s="24" t="s">
        <v>1626</v>
      </c>
      <c r="C478" s="25" t="s">
        <v>1966</v>
      </c>
      <c r="E478" s="26" t="s">
        <v>1762</v>
      </c>
      <c r="F478" s="198" t="s">
        <v>946</v>
      </c>
      <c r="G478" s="198" t="s">
        <v>1700</v>
      </c>
      <c r="H478" s="25" t="s">
        <v>3644</v>
      </c>
      <c r="I478" s="27" t="s">
        <v>3896</v>
      </c>
      <c r="J478" s="27" t="s">
        <v>866</v>
      </c>
      <c r="K478" s="28" t="s">
        <v>853</v>
      </c>
      <c r="Q478" s="95"/>
      <c r="R478" s="17" t="s">
        <v>853</v>
      </c>
      <c r="S478" s="29"/>
      <c r="T478" s="29"/>
      <c r="U478" s="29"/>
      <c r="V478" s="29"/>
      <c r="W478" s="93">
        <v>160</v>
      </c>
      <c r="X478" s="84" t="s">
        <v>1700</v>
      </c>
      <c r="Y478" s="84" t="s">
        <v>448</v>
      </c>
      <c r="AA478" s="84" t="s">
        <v>1071</v>
      </c>
      <c r="AB478" s="84" t="s">
        <v>987</v>
      </c>
      <c r="AC478" s="26">
        <v>42545</v>
      </c>
      <c r="AD478" s="26" t="s">
        <v>853</v>
      </c>
      <c r="AE478" s="8" t="s">
        <v>4352</v>
      </c>
      <c r="AF478" s="8">
        <v>398.4</v>
      </c>
      <c r="AG478" s="8">
        <v>160</v>
      </c>
      <c r="CB478" s="26">
        <v>42097</v>
      </c>
      <c r="CC478" s="26" t="s">
        <v>853</v>
      </c>
      <c r="CD478" s="8" t="s">
        <v>3645</v>
      </c>
      <c r="CE478" s="8">
        <v>359</v>
      </c>
      <c r="CF478" s="8">
        <v>160</v>
      </c>
      <c r="CG478" s="26"/>
      <c r="CH478" s="8"/>
      <c r="CM478" s="8"/>
      <c r="CR478" s="8"/>
      <c r="DZ478" s="258"/>
    </row>
    <row r="479" spans="1:225" x14ac:dyDescent="0.25">
      <c r="A479" s="8" t="s">
        <v>4601</v>
      </c>
      <c r="B479" s="24" t="s">
        <v>1508</v>
      </c>
      <c r="E479" s="26" t="s">
        <v>1762</v>
      </c>
      <c r="F479" s="198" t="s">
        <v>898</v>
      </c>
      <c r="G479" s="198" t="s">
        <v>1700</v>
      </c>
      <c r="H479" s="25" t="s">
        <v>1700</v>
      </c>
      <c r="I479" s="27" t="s">
        <v>3903</v>
      </c>
      <c r="J479" s="27" t="s">
        <v>866</v>
      </c>
      <c r="K479" s="28" t="s">
        <v>385</v>
      </c>
      <c r="CB479" s="278"/>
      <c r="CG479" s="278"/>
    </row>
    <row r="480" spans="1:225" x14ac:dyDescent="0.25">
      <c r="A480" s="8" t="s">
        <v>1468</v>
      </c>
      <c r="B480" s="24" t="s">
        <v>213</v>
      </c>
      <c r="C480" s="25" t="s">
        <v>353</v>
      </c>
      <c r="E480" s="26" t="s">
        <v>1764</v>
      </c>
      <c r="F480" s="198" t="s">
        <v>1469</v>
      </c>
      <c r="G480" s="198" t="s">
        <v>1700</v>
      </c>
      <c r="H480" s="25" t="s">
        <v>1700</v>
      </c>
      <c r="J480" s="27" t="s">
        <v>866</v>
      </c>
      <c r="Q480" s="93"/>
      <c r="R480" s="28"/>
      <c r="S480" s="29"/>
      <c r="T480" s="29"/>
      <c r="U480" s="29"/>
      <c r="V480" s="29"/>
      <c r="W480" s="95"/>
      <c r="X480" s="84" t="s">
        <v>1700</v>
      </c>
      <c r="Y480" s="84" t="s">
        <v>290</v>
      </c>
      <c r="AA480" s="84" t="s">
        <v>1072</v>
      </c>
      <c r="AB480" s="84" t="s">
        <v>1650</v>
      </c>
      <c r="AE480" s="19"/>
      <c r="AF480" s="19"/>
      <c r="AG480" s="19"/>
      <c r="AI480" s="19"/>
      <c r="AJ480" s="19"/>
      <c r="AK480" s="19"/>
      <c r="AL480" s="19"/>
      <c r="AN480" s="19"/>
      <c r="AO480" s="19"/>
      <c r="AP480" s="19"/>
      <c r="AQ480" s="19"/>
      <c r="AS480" s="19"/>
      <c r="AT480" s="19"/>
      <c r="AU480" s="19"/>
      <c r="AV480" s="19"/>
      <c r="AX480" s="19"/>
      <c r="AY480" s="19"/>
      <c r="AZ480" s="19"/>
      <c r="BA480" s="19"/>
      <c r="BC480" s="19"/>
      <c r="BD480" s="19"/>
      <c r="BE480" s="19"/>
      <c r="BF480" s="19"/>
      <c r="BH480" s="19"/>
      <c r="BI480" s="19"/>
      <c r="BJ480" s="19"/>
      <c r="BK480" s="19"/>
      <c r="BM480" s="19"/>
      <c r="BN480" s="19"/>
      <c r="BO480" s="19"/>
      <c r="BP480" s="19"/>
      <c r="BR480" s="19"/>
      <c r="BS480" s="19"/>
      <c r="BT480" s="19"/>
      <c r="BU480" s="19"/>
      <c r="BY480" s="19"/>
      <c r="CB480" s="26"/>
      <c r="CC480" s="26"/>
      <c r="CD480" s="19"/>
      <c r="CE480" s="19"/>
      <c r="CF480" s="19"/>
      <c r="CG480" s="26"/>
      <c r="CH480" s="19"/>
      <c r="CI480" s="19"/>
      <c r="CJ480" s="19"/>
      <c r="CK480" s="19"/>
      <c r="CM480" s="19"/>
      <c r="CN480" s="19"/>
      <c r="CO480" s="19"/>
      <c r="CP480" s="19"/>
      <c r="CR480" s="19"/>
      <c r="CS480" s="19"/>
      <c r="CT480" s="19"/>
      <c r="CU480" s="19"/>
      <c r="CW480" s="19"/>
      <c r="CX480" s="19"/>
      <c r="CY480" s="19"/>
      <c r="CZ480" s="19"/>
      <c r="DB480" s="19"/>
      <c r="DC480" s="19"/>
      <c r="DD480" s="19"/>
      <c r="DE480" s="19"/>
      <c r="DG480" s="19"/>
      <c r="DH480" s="19"/>
      <c r="DI480" s="19"/>
      <c r="DJ480" s="19"/>
      <c r="DL480" s="19"/>
      <c r="DM480" s="19"/>
      <c r="DN480" s="19"/>
      <c r="DO480" s="19"/>
      <c r="DQ480" s="19"/>
      <c r="DR480" s="19"/>
      <c r="DS480" s="19"/>
      <c r="DT480" s="19"/>
    </row>
    <row r="481" spans="1:225" ht="13.5" x14ac:dyDescent="0.25">
      <c r="A481" s="8" t="s">
        <v>2334</v>
      </c>
      <c r="B481" s="24" t="s">
        <v>921</v>
      </c>
      <c r="C481" s="25" t="s">
        <v>2335</v>
      </c>
      <c r="E481" s="26" t="s">
        <v>1762</v>
      </c>
      <c r="F481" s="198" t="s">
        <v>946</v>
      </c>
      <c r="G481" s="198" t="s">
        <v>2337</v>
      </c>
      <c r="H481" s="25" t="s">
        <v>2336</v>
      </c>
      <c r="J481" s="27" t="s">
        <v>866</v>
      </c>
      <c r="X481" s="84" t="s">
        <v>1700</v>
      </c>
      <c r="Y481" s="84" t="s">
        <v>2338</v>
      </c>
      <c r="AA481" s="84" t="s">
        <v>2340</v>
      </c>
      <c r="AB481" s="84" t="s">
        <v>2339</v>
      </c>
      <c r="CB481" s="26"/>
      <c r="CC481" s="26"/>
      <c r="CF481" s="8"/>
      <c r="CG481" s="26"/>
      <c r="CH481" s="8"/>
      <c r="CM481" s="8"/>
      <c r="CR481" s="8"/>
      <c r="DZ481" s="258"/>
    </row>
    <row r="482" spans="1:225" x14ac:dyDescent="0.25">
      <c r="A482" s="8" t="s">
        <v>2447</v>
      </c>
      <c r="B482" s="24" t="s">
        <v>936</v>
      </c>
      <c r="C482" s="25" t="s">
        <v>2603</v>
      </c>
      <c r="D482" s="26">
        <v>26285</v>
      </c>
      <c r="E482" s="26" t="s">
        <v>1762</v>
      </c>
      <c r="F482" s="198" t="s">
        <v>916</v>
      </c>
      <c r="G482" s="198" t="s">
        <v>1700</v>
      </c>
      <c r="H482" s="25" t="s">
        <v>4437</v>
      </c>
      <c r="I482" s="27" t="s">
        <v>3903</v>
      </c>
      <c r="J482" s="27" t="s">
        <v>866</v>
      </c>
      <c r="K482" s="28" t="s">
        <v>853</v>
      </c>
      <c r="W482" s="93">
        <v>160</v>
      </c>
      <c r="X482" s="84" t="s">
        <v>1700</v>
      </c>
      <c r="Y482" s="84" t="s">
        <v>2499</v>
      </c>
      <c r="AA482" s="84" t="s">
        <v>2604</v>
      </c>
      <c r="AB482" s="84" t="s">
        <v>126</v>
      </c>
      <c r="AC482" s="26">
        <v>42360</v>
      </c>
      <c r="AD482" s="26" t="s">
        <v>853</v>
      </c>
      <c r="AE482" s="8" t="s">
        <v>4438</v>
      </c>
      <c r="AF482" s="8">
        <v>435</v>
      </c>
      <c r="AG482" s="8">
        <v>160</v>
      </c>
      <c r="CB482" s="26"/>
      <c r="CC482" s="26"/>
      <c r="CF482" s="8"/>
      <c r="CG482" s="26"/>
      <c r="CH482" s="8"/>
      <c r="CM482" s="8"/>
      <c r="CR482" s="8"/>
    </row>
    <row r="483" spans="1:225" x14ac:dyDescent="0.25">
      <c r="A483" s="8" t="s">
        <v>671</v>
      </c>
      <c r="B483" s="24" t="s">
        <v>672</v>
      </c>
      <c r="D483" s="26">
        <v>31564</v>
      </c>
      <c r="E483" s="26" t="s">
        <v>1762</v>
      </c>
      <c r="F483" s="198" t="s">
        <v>625</v>
      </c>
      <c r="G483" s="198" t="s">
        <v>1700</v>
      </c>
      <c r="H483" s="25" t="s">
        <v>626</v>
      </c>
      <c r="I483" s="27" t="s">
        <v>3902</v>
      </c>
      <c r="J483" s="27" t="s">
        <v>866</v>
      </c>
      <c r="K483" s="28" t="s">
        <v>3906</v>
      </c>
      <c r="L483" s="29" t="s">
        <v>3907</v>
      </c>
      <c r="P483" s="17">
        <v>1</v>
      </c>
      <c r="R483" s="29" t="s">
        <v>858</v>
      </c>
      <c r="S483" s="8" t="s">
        <v>1763</v>
      </c>
      <c r="T483" s="8" t="s">
        <v>855</v>
      </c>
      <c r="CB483" s="26"/>
      <c r="CC483" s="26"/>
      <c r="CD483" s="19"/>
      <c r="CE483" s="19"/>
      <c r="CF483" s="19"/>
      <c r="CG483" s="26"/>
      <c r="CH483" s="19"/>
      <c r="CI483" s="19"/>
      <c r="CJ483" s="19"/>
      <c r="CK483" s="19"/>
      <c r="CM483" s="19"/>
      <c r="CN483" s="19"/>
      <c r="CO483" s="19"/>
      <c r="CP483" s="19"/>
      <c r="CR483" s="19"/>
      <c r="CS483" s="19"/>
      <c r="CT483" s="19"/>
      <c r="CU483" s="19"/>
      <c r="CW483" s="19"/>
      <c r="CX483" s="19"/>
      <c r="CY483" s="19"/>
      <c r="CZ483" s="19"/>
      <c r="DB483" s="19"/>
      <c r="DC483" s="19"/>
      <c r="DD483" s="19"/>
      <c r="DE483" s="19"/>
      <c r="DG483" s="19"/>
      <c r="DH483" s="19"/>
      <c r="DI483" s="19"/>
      <c r="DJ483" s="19"/>
      <c r="DL483" s="19"/>
      <c r="DM483" s="19"/>
      <c r="DN483" s="19"/>
      <c r="DO483" s="19"/>
      <c r="DQ483" s="19"/>
      <c r="DR483" s="19"/>
      <c r="DS483" s="19"/>
      <c r="DT483" s="19"/>
      <c r="DV483" s="19"/>
      <c r="DW483" s="19"/>
      <c r="DX483" s="19"/>
      <c r="DY483" s="19"/>
    </row>
    <row r="484" spans="1:225" x14ac:dyDescent="0.25">
      <c r="A484" s="8" t="s">
        <v>1831</v>
      </c>
      <c r="B484" s="24" t="s">
        <v>934</v>
      </c>
      <c r="C484" s="25" t="s">
        <v>1832</v>
      </c>
      <c r="E484" s="26" t="s">
        <v>1762</v>
      </c>
      <c r="F484" s="198" t="s">
        <v>874</v>
      </c>
      <c r="G484" s="198" t="s">
        <v>1700</v>
      </c>
      <c r="H484" s="25" t="s">
        <v>3157</v>
      </c>
      <c r="I484" s="27" t="s">
        <v>3903</v>
      </c>
      <c r="J484" s="27" t="s">
        <v>866</v>
      </c>
      <c r="K484" s="28" t="s">
        <v>853</v>
      </c>
      <c r="R484" s="29" t="s">
        <v>853</v>
      </c>
      <c r="W484" s="93">
        <v>104</v>
      </c>
      <c r="X484" s="84" t="s">
        <v>1700</v>
      </c>
      <c r="Y484" s="84" t="s">
        <v>2499</v>
      </c>
      <c r="AA484" s="84" t="s">
        <v>1460</v>
      </c>
      <c r="AB484" s="84" t="s">
        <v>126</v>
      </c>
      <c r="AC484" s="26">
        <v>42360</v>
      </c>
      <c r="AD484" s="26" t="s">
        <v>853</v>
      </c>
      <c r="AE484" s="8" t="s">
        <v>4523</v>
      </c>
      <c r="AF484" s="8">
        <v>91</v>
      </c>
      <c r="AG484" s="8">
        <v>45</v>
      </c>
      <c r="AH484" s="26">
        <v>42360</v>
      </c>
      <c r="AI484" s="8" t="s">
        <v>853</v>
      </c>
      <c r="AJ484" s="8" t="s">
        <v>4524</v>
      </c>
      <c r="AK484" s="8">
        <v>119.8</v>
      </c>
      <c r="AL484" s="8">
        <v>59</v>
      </c>
      <c r="CB484" s="26">
        <v>41977</v>
      </c>
      <c r="CC484" s="26" t="s">
        <v>853</v>
      </c>
      <c r="CD484" s="8" t="s">
        <v>3158</v>
      </c>
      <c r="CE484" s="8">
        <v>105.5</v>
      </c>
      <c r="CF484" s="8">
        <v>53</v>
      </c>
      <c r="CG484" s="26">
        <v>41977</v>
      </c>
      <c r="CH484" s="8" t="s">
        <v>853</v>
      </c>
      <c r="CI484" s="8" t="s">
        <v>3159</v>
      </c>
      <c r="CJ484" s="8">
        <v>239.4</v>
      </c>
      <c r="CK484" s="8">
        <v>107</v>
      </c>
      <c r="CM484" s="8"/>
      <c r="CR484" s="8"/>
    </row>
    <row r="485" spans="1:225" x14ac:dyDescent="0.25">
      <c r="A485" s="8" t="s">
        <v>4869</v>
      </c>
      <c r="B485" s="24" t="s">
        <v>4870</v>
      </c>
      <c r="F485" s="198" t="s">
        <v>1700</v>
      </c>
      <c r="G485" s="198" t="s">
        <v>1700</v>
      </c>
      <c r="H485" s="25" t="s">
        <v>1700</v>
      </c>
      <c r="I485" s="27" t="s">
        <v>3898</v>
      </c>
      <c r="J485" s="27" t="s">
        <v>866</v>
      </c>
      <c r="K485" s="28" t="s">
        <v>3907</v>
      </c>
      <c r="P485" s="17">
        <v>1</v>
      </c>
      <c r="CB485" s="278"/>
      <c r="CG485" s="278"/>
    </row>
    <row r="486" spans="1:225" x14ac:dyDescent="0.25">
      <c r="A486" s="8" t="s">
        <v>1733</v>
      </c>
      <c r="B486" s="24" t="s">
        <v>271</v>
      </c>
      <c r="E486" s="26" t="s">
        <v>1762</v>
      </c>
      <c r="F486" s="198" t="s">
        <v>325</v>
      </c>
      <c r="G486" s="198" t="s">
        <v>1700</v>
      </c>
      <c r="H486" s="25" t="s">
        <v>1734</v>
      </c>
      <c r="J486" s="27" t="s">
        <v>866</v>
      </c>
      <c r="R486" s="29" t="s">
        <v>816</v>
      </c>
      <c r="CB486" s="26"/>
      <c r="CC486" s="26"/>
      <c r="CF486" s="8"/>
      <c r="CG486" s="26"/>
      <c r="CH486" s="8"/>
      <c r="CM486" s="8"/>
      <c r="CR486" s="8"/>
    </row>
    <row r="487" spans="1:225" x14ac:dyDescent="0.25">
      <c r="A487" s="8" t="s">
        <v>1922</v>
      </c>
      <c r="B487" s="24" t="s">
        <v>1746</v>
      </c>
      <c r="C487" s="25" t="s">
        <v>1923</v>
      </c>
      <c r="E487" s="26" t="s">
        <v>1762</v>
      </c>
      <c r="F487" s="198" t="s">
        <v>276</v>
      </c>
      <c r="G487" s="198" t="s">
        <v>1700</v>
      </c>
      <c r="H487" s="25" t="s">
        <v>2870</v>
      </c>
      <c r="I487" s="27" t="s">
        <v>3901</v>
      </c>
      <c r="J487" s="27" t="s">
        <v>866</v>
      </c>
      <c r="K487" s="28" t="s">
        <v>853</v>
      </c>
      <c r="R487" s="29" t="s">
        <v>853</v>
      </c>
      <c r="W487" s="93">
        <v>160</v>
      </c>
      <c r="X487" s="84" t="s">
        <v>1700</v>
      </c>
      <c r="Y487" s="84" t="s">
        <v>791</v>
      </c>
      <c r="AA487" s="84" t="s">
        <v>1924</v>
      </c>
      <c r="AB487" s="84" t="s">
        <v>126</v>
      </c>
      <c r="AC487" s="26">
        <v>42299</v>
      </c>
      <c r="AD487" s="26" t="s">
        <v>853</v>
      </c>
      <c r="AE487" s="8" t="s">
        <v>3949</v>
      </c>
      <c r="AF487" s="8">
        <v>391.8</v>
      </c>
      <c r="AG487" s="8">
        <v>160</v>
      </c>
      <c r="CB487" s="26">
        <v>41934</v>
      </c>
      <c r="CC487" s="26" t="s">
        <v>853</v>
      </c>
      <c r="CD487" s="8" t="s">
        <v>2871</v>
      </c>
      <c r="CE487" s="8">
        <v>385</v>
      </c>
      <c r="CF487" s="8">
        <v>160</v>
      </c>
      <c r="CG487" s="26"/>
      <c r="CH487" s="8"/>
      <c r="CM487" s="8"/>
      <c r="CR487" s="8"/>
      <c r="EB487" s="19"/>
      <c r="EC487" s="19"/>
      <c r="ED487" s="19"/>
      <c r="EE487" s="19"/>
      <c r="EF487" s="19"/>
      <c r="EG487" s="19"/>
      <c r="EH487" s="19"/>
      <c r="EI487" s="19"/>
      <c r="EJ487" s="19"/>
      <c r="EK487" s="19"/>
      <c r="EL487" s="19"/>
      <c r="EN487" s="19"/>
      <c r="EO487" s="19"/>
      <c r="EP487" s="19"/>
      <c r="EQ487" s="19"/>
      <c r="ER487" s="19"/>
      <c r="ES487" s="19"/>
      <c r="ET487" s="19"/>
      <c r="EU487" s="19"/>
      <c r="EV487" s="19"/>
      <c r="EW487" s="19"/>
      <c r="EX487" s="19"/>
      <c r="EZ487" s="19"/>
      <c r="FA487" s="19"/>
      <c r="FB487" s="19"/>
      <c r="FC487" s="19"/>
      <c r="FD487" s="19"/>
      <c r="FE487" s="19"/>
      <c r="FF487" s="19"/>
      <c r="FG487" s="19"/>
      <c r="FH487" s="19"/>
      <c r="FI487" s="19"/>
      <c r="FJ487" s="19"/>
      <c r="FL487" s="19"/>
      <c r="FM487" s="19"/>
      <c r="FN487" s="19"/>
      <c r="FO487" s="19"/>
      <c r="FP487" s="19"/>
      <c r="FQ487" s="19"/>
      <c r="FR487" s="19"/>
      <c r="FS487" s="19"/>
      <c r="FT487" s="19"/>
      <c r="FU487" s="19"/>
      <c r="FV487" s="19"/>
      <c r="FX487" s="19"/>
      <c r="FY487" s="19"/>
      <c r="FZ487" s="19"/>
      <c r="GA487" s="19"/>
      <c r="GB487" s="19"/>
      <c r="GC487" s="19"/>
      <c r="GD487" s="19"/>
      <c r="GE487" s="19"/>
      <c r="GF487" s="19"/>
      <c r="GG487" s="19"/>
      <c r="GH487" s="19"/>
      <c r="GJ487" s="19"/>
      <c r="GK487" s="19"/>
      <c r="GL487" s="19"/>
      <c r="GM487" s="19"/>
      <c r="GN487" s="19"/>
      <c r="GO487" s="19"/>
      <c r="GP487" s="19"/>
      <c r="GQ487" s="19"/>
      <c r="GR487" s="19"/>
      <c r="GS487" s="19"/>
      <c r="GT487" s="19"/>
      <c r="GV487" s="19"/>
      <c r="GW487" s="19"/>
      <c r="GX487" s="19"/>
      <c r="GY487" s="19"/>
      <c r="GZ487" s="19"/>
      <c r="HA487" s="19"/>
      <c r="HB487" s="19"/>
      <c r="HC487" s="19"/>
      <c r="HD487" s="19"/>
      <c r="HE487" s="19"/>
      <c r="HF487" s="19"/>
      <c r="HH487" s="19"/>
      <c r="HI487" s="19"/>
      <c r="HJ487" s="19"/>
      <c r="HK487" s="19"/>
      <c r="HL487" s="19"/>
      <c r="HM487" s="19"/>
      <c r="HN487" s="19"/>
      <c r="HO487" s="19"/>
      <c r="HP487" s="19"/>
      <c r="HQ487" s="19"/>
    </row>
    <row r="488" spans="1:225" x14ac:dyDescent="0.25">
      <c r="A488" s="8" t="s">
        <v>640</v>
      </c>
      <c r="B488" s="24" t="s">
        <v>931</v>
      </c>
      <c r="C488" s="25" t="s">
        <v>641</v>
      </c>
      <c r="E488" s="26" t="s">
        <v>1764</v>
      </c>
      <c r="F488" s="198" t="s">
        <v>968</v>
      </c>
      <c r="G488" s="198" t="s">
        <v>1700</v>
      </c>
      <c r="H488" s="25" t="s">
        <v>4009</v>
      </c>
      <c r="I488" s="27" t="s">
        <v>3901</v>
      </c>
      <c r="J488" s="27" t="s">
        <v>866</v>
      </c>
      <c r="K488" s="28" t="s">
        <v>853</v>
      </c>
      <c r="Q488" s="93"/>
      <c r="R488" s="28"/>
      <c r="S488" s="29"/>
      <c r="T488" s="29"/>
      <c r="U488" s="29"/>
      <c r="V488" s="29"/>
      <c r="W488" s="93">
        <v>51</v>
      </c>
      <c r="X488" s="84" t="s">
        <v>1700</v>
      </c>
      <c r="Y488" s="84" t="s">
        <v>246</v>
      </c>
      <c r="AA488" s="84" t="s">
        <v>4315</v>
      </c>
      <c r="AB488" s="84" t="s">
        <v>126</v>
      </c>
      <c r="AC488" s="26">
        <v>42299</v>
      </c>
      <c r="AD488" s="26" t="s">
        <v>853</v>
      </c>
      <c r="AE488" s="8" t="s">
        <v>4010</v>
      </c>
      <c r="AF488" s="8">
        <v>103</v>
      </c>
      <c r="AG488" s="8">
        <v>51</v>
      </c>
      <c r="CB488" s="26"/>
      <c r="CC488" s="26"/>
      <c r="CF488" s="8"/>
      <c r="CG488" s="26"/>
      <c r="CH488" s="8"/>
      <c r="CM488" s="8"/>
      <c r="CR488" s="8"/>
    </row>
    <row r="489" spans="1:225" x14ac:dyDescent="0.25">
      <c r="A489" s="8" t="s">
        <v>136</v>
      </c>
      <c r="B489" s="24" t="s">
        <v>137</v>
      </c>
      <c r="F489" s="198" t="s">
        <v>1700</v>
      </c>
      <c r="G489" s="198" t="s">
        <v>1700</v>
      </c>
      <c r="H489" s="25" t="s">
        <v>1700</v>
      </c>
      <c r="J489" s="27" t="s">
        <v>866</v>
      </c>
      <c r="R489" s="29" t="s">
        <v>889</v>
      </c>
      <c r="CB489" s="26"/>
      <c r="CC489" s="26"/>
      <c r="CD489" s="19"/>
      <c r="CE489" s="19"/>
      <c r="CF489" s="19"/>
      <c r="CG489" s="26"/>
      <c r="CH489" s="8"/>
      <c r="CM489" s="19"/>
      <c r="CN489" s="19"/>
      <c r="CO489" s="19"/>
      <c r="CP489" s="19"/>
      <c r="CR489" s="19"/>
      <c r="CS489" s="19"/>
      <c r="CT489" s="19"/>
      <c r="CU489" s="19"/>
      <c r="CW489" s="19"/>
      <c r="CX489" s="19"/>
      <c r="CY489" s="19"/>
      <c r="CZ489" s="19"/>
      <c r="DB489" s="19"/>
      <c r="DC489" s="19"/>
      <c r="DD489" s="19"/>
      <c r="DE489" s="19"/>
      <c r="DG489" s="19"/>
      <c r="DH489" s="19"/>
      <c r="DI489" s="19"/>
      <c r="DJ489" s="19"/>
      <c r="DL489" s="19"/>
      <c r="DM489" s="19"/>
      <c r="DN489" s="19"/>
      <c r="DO489" s="19"/>
      <c r="DQ489" s="19"/>
      <c r="DR489" s="19"/>
      <c r="DS489" s="19"/>
      <c r="DT489" s="19"/>
      <c r="DV489" s="19"/>
      <c r="DW489" s="19"/>
      <c r="DX489" s="19"/>
      <c r="DY489" s="19"/>
      <c r="DZ489" s="19"/>
    </row>
    <row r="490" spans="1:225" x14ac:dyDescent="0.25">
      <c r="A490" s="8" t="s">
        <v>491</v>
      </c>
      <c r="B490" s="24" t="s">
        <v>492</v>
      </c>
      <c r="C490" s="25" t="s">
        <v>493</v>
      </c>
      <c r="E490" s="26" t="s">
        <v>1762</v>
      </c>
      <c r="F490" s="198" t="s">
        <v>946</v>
      </c>
      <c r="G490" s="198" t="s">
        <v>2383</v>
      </c>
      <c r="H490" s="25" t="s">
        <v>3144</v>
      </c>
      <c r="I490" s="27" t="s">
        <v>3903</v>
      </c>
      <c r="J490" s="27" t="s">
        <v>866</v>
      </c>
      <c r="K490" s="28" t="s">
        <v>853</v>
      </c>
      <c r="R490" s="29" t="s">
        <v>853</v>
      </c>
      <c r="W490" s="93">
        <v>41</v>
      </c>
      <c r="X490" s="84" t="s">
        <v>1700</v>
      </c>
      <c r="Y490" s="84" t="s">
        <v>319</v>
      </c>
      <c r="AA490" s="84" t="s">
        <v>495</v>
      </c>
      <c r="AB490" s="84" t="s">
        <v>302</v>
      </c>
      <c r="AC490" s="26">
        <v>42352</v>
      </c>
      <c r="AD490" s="8" t="s">
        <v>853</v>
      </c>
      <c r="AE490" s="8" t="s">
        <v>4335</v>
      </c>
      <c r="AF490" s="8">
        <v>83</v>
      </c>
      <c r="AG490" s="8">
        <v>41</v>
      </c>
      <c r="BV490" s="8"/>
      <c r="CB490" s="26">
        <v>41977</v>
      </c>
      <c r="CC490" s="8" t="s">
        <v>853</v>
      </c>
      <c r="CD490" s="8" t="s">
        <v>3145</v>
      </c>
      <c r="CE490" s="8">
        <v>83</v>
      </c>
      <c r="CF490" s="8">
        <v>42</v>
      </c>
      <c r="CG490" s="26">
        <v>41977</v>
      </c>
      <c r="CH490" s="8" t="s">
        <v>853</v>
      </c>
      <c r="CI490" s="8" t="s">
        <v>3146</v>
      </c>
      <c r="CJ490" s="8">
        <v>115</v>
      </c>
      <c r="CK490" s="8">
        <v>58</v>
      </c>
      <c r="CM490" s="8"/>
      <c r="CR490" s="8"/>
      <c r="DU490" s="8"/>
    </row>
    <row r="491" spans="1:225" x14ac:dyDescent="0.25">
      <c r="A491" s="8" t="s">
        <v>443</v>
      </c>
      <c r="B491" s="24" t="s">
        <v>1822</v>
      </c>
      <c r="C491" s="25" t="s">
        <v>20</v>
      </c>
      <c r="E491" s="26" t="s">
        <v>1762</v>
      </c>
      <c r="F491" s="198" t="s">
        <v>1700</v>
      </c>
      <c r="G491" s="198" t="s">
        <v>1700</v>
      </c>
      <c r="H491" s="25" t="s">
        <v>1700</v>
      </c>
      <c r="I491" s="27" t="s">
        <v>3902</v>
      </c>
      <c r="J491" s="27" t="s">
        <v>866</v>
      </c>
      <c r="K491" s="28" t="s">
        <v>3907</v>
      </c>
      <c r="L491" s="29" t="s">
        <v>859</v>
      </c>
      <c r="P491" s="17">
        <v>1</v>
      </c>
      <c r="W491" s="93">
        <v>280</v>
      </c>
      <c r="X491" s="84" t="s">
        <v>1700</v>
      </c>
      <c r="Y491" s="84" t="s">
        <v>1700</v>
      </c>
      <c r="AA491" s="84" t="s">
        <v>21</v>
      </c>
      <c r="AB491" s="84" t="s">
        <v>22</v>
      </c>
      <c r="AC491" s="26">
        <v>42313</v>
      </c>
      <c r="AD491" s="26" t="s">
        <v>859</v>
      </c>
      <c r="AE491" s="8" t="s">
        <v>4099</v>
      </c>
      <c r="AF491" s="8">
        <v>588</v>
      </c>
      <c r="AG491" s="8">
        <v>280</v>
      </c>
      <c r="CB491" s="26"/>
      <c r="CC491" s="26"/>
      <c r="CF491" s="8"/>
      <c r="CG491" s="26"/>
      <c r="CH491" s="8"/>
      <c r="CM491" s="8"/>
      <c r="CR491" s="8"/>
    </row>
    <row r="492" spans="1:225" x14ac:dyDescent="0.25">
      <c r="A492" s="8" t="s">
        <v>273</v>
      </c>
      <c r="B492" s="24" t="s">
        <v>1470</v>
      </c>
      <c r="C492" s="25" t="s">
        <v>653</v>
      </c>
      <c r="E492" s="26" t="s">
        <v>1762</v>
      </c>
      <c r="F492" s="198" t="s">
        <v>968</v>
      </c>
      <c r="G492" s="198" t="s">
        <v>1700</v>
      </c>
      <c r="H492" s="25" t="s">
        <v>2728</v>
      </c>
      <c r="I492" s="27" t="s">
        <v>3901</v>
      </c>
      <c r="J492" s="27" t="s">
        <v>866</v>
      </c>
      <c r="K492" s="28" t="s">
        <v>853</v>
      </c>
      <c r="Q492" s="93"/>
      <c r="R492" s="28" t="s">
        <v>853</v>
      </c>
      <c r="S492" s="21"/>
      <c r="T492" s="21"/>
      <c r="U492" s="21"/>
      <c r="V492" s="21"/>
      <c r="W492" s="93">
        <v>160</v>
      </c>
      <c r="X492" s="84" t="s">
        <v>1700</v>
      </c>
      <c r="Y492" s="84" t="s">
        <v>246</v>
      </c>
      <c r="AA492" s="84" t="s">
        <v>1073</v>
      </c>
      <c r="AB492" s="84" t="s">
        <v>126</v>
      </c>
      <c r="AC492" s="26">
        <v>42286</v>
      </c>
      <c r="AD492" s="26" t="s">
        <v>853</v>
      </c>
      <c r="AE492" s="8" t="s">
        <v>3943</v>
      </c>
      <c r="AF492" s="8">
        <v>567</v>
      </c>
      <c r="AG492" s="8">
        <v>160</v>
      </c>
      <c r="BV492" s="8"/>
      <c r="CB492" s="26">
        <v>41921</v>
      </c>
      <c r="CC492" s="26" t="s">
        <v>853</v>
      </c>
      <c r="CD492" s="8" t="s">
        <v>2729</v>
      </c>
      <c r="CE492" s="8">
        <v>540</v>
      </c>
      <c r="CF492" s="8">
        <v>160</v>
      </c>
      <c r="CG492" s="26"/>
      <c r="CH492" s="8"/>
      <c r="CM492" s="8"/>
      <c r="CR492" s="8"/>
      <c r="DU492" s="8"/>
    </row>
    <row r="493" spans="1:225" x14ac:dyDescent="0.25">
      <c r="A493" s="8" t="s">
        <v>2183</v>
      </c>
      <c r="B493" s="24" t="s">
        <v>1960</v>
      </c>
      <c r="E493" s="26" t="s">
        <v>1762</v>
      </c>
      <c r="F493" s="198" t="s">
        <v>1700</v>
      </c>
      <c r="G493" s="198" t="s">
        <v>1700</v>
      </c>
      <c r="H493" s="25" t="s">
        <v>1700</v>
      </c>
      <c r="I493" s="27" t="s">
        <v>3901</v>
      </c>
      <c r="J493" s="27" t="s">
        <v>866</v>
      </c>
      <c r="K493" s="28" t="s">
        <v>1972</v>
      </c>
      <c r="L493" s="29" t="s">
        <v>816</v>
      </c>
      <c r="R493" s="29" t="s">
        <v>1972</v>
      </c>
      <c r="S493" s="8" t="s">
        <v>816</v>
      </c>
      <c r="CB493" s="26"/>
      <c r="CC493" s="8"/>
      <c r="CF493" s="8"/>
      <c r="CG493" s="26"/>
      <c r="CH493" s="19"/>
      <c r="CI493" s="19"/>
      <c r="CJ493" s="19"/>
      <c r="CK493" s="19"/>
      <c r="CM493" s="19"/>
      <c r="CN493" s="19"/>
      <c r="CO493" s="19"/>
      <c r="CP493" s="19"/>
      <c r="CR493" s="19"/>
      <c r="CS493" s="19"/>
      <c r="CT493" s="19"/>
      <c r="CU493" s="19"/>
      <c r="CW493" s="19"/>
      <c r="CX493" s="19"/>
      <c r="CY493" s="19"/>
      <c r="CZ493" s="19"/>
      <c r="DB493" s="19"/>
      <c r="DC493" s="19"/>
      <c r="DD493" s="19"/>
      <c r="DE493" s="19"/>
      <c r="DG493" s="19"/>
      <c r="DH493" s="19"/>
      <c r="DI493" s="19"/>
      <c r="DJ493" s="19"/>
      <c r="DL493" s="19"/>
      <c r="DM493" s="19"/>
      <c r="DN493" s="19"/>
      <c r="DO493" s="19"/>
      <c r="DQ493" s="19"/>
      <c r="DR493" s="19"/>
      <c r="DS493" s="19"/>
      <c r="DT493" s="19"/>
      <c r="DU493" s="8"/>
      <c r="EB493" s="19"/>
      <c r="EC493" s="19"/>
      <c r="ED493" s="19"/>
      <c r="EE493" s="19"/>
      <c r="EF493" s="19"/>
      <c r="EG493" s="19"/>
      <c r="EH493" s="19"/>
      <c r="EI493" s="19"/>
      <c r="EJ493" s="19"/>
      <c r="EK493" s="19"/>
      <c r="EL493" s="19"/>
      <c r="EN493" s="19"/>
      <c r="EO493" s="19"/>
      <c r="EP493" s="19"/>
      <c r="EQ493" s="19"/>
      <c r="ER493" s="19"/>
      <c r="ES493" s="19"/>
      <c r="ET493" s="19"/>
      <c r="EU493" s="19"/>
      <c r="EV493" s="19"/>
      <c r="EW493" s="19"/>
      <c r="EX493" s="19"/>
      <c r="EZ493" s="19"/>
      <c r="FA493" s="19"/>
      <c r="FB493" s="19"/>
      <c r="FC493" s="19"/>
      <c r="FD493" s="19"/>
      <c r="FE493" s="19"/>
      <c r="FF493" s="19"/>
      <c r="FG493" s="19"/>
      <c r="FH493" s="19"/>
      <c r="FI493" s="19"/>
      <c r="FJ493" s="19"/>
      <c r="FL493" s="19"/>
      <c r="FM493" s="19"/>
      <c r="FN493" s="19"/>
      <c r="FO493" s="19"/>
      <c r="FP493" s="19"/>
      <c r="FQ493" s="19"/>
      <c r="FR493" s="19"/>
      <c r="FS493" s="19"/>
      <c r="FT493" s="19"/>
      <c r="FU493" s="19"/>
      <c r="FV493" s="19"/>
      <c r="FX493" s="19"/>
      <c r="FY493" s="19"/>
      <c r="FZ493" s="19"/>
      <c r="GA493" s="19"/>
      <c r="GB493" s="19"/>
      <c r="GC493" s="19"/>
      <c r="GD493" s="19"/>
      <c r="GE493" s="19"/>
      <c r="GF493" s="19"/>
      <c r="GG493" s="19"/>
      <c r="GH493" s="19"/>
      <c r="GJ493" s="19"/>
      <c r="GK493" s="19"/>
      <c r="GL493" s="19"/>
      <c r="GM493" s="19"/>
      <c r="GN493" s="19"/>
      <c r="GO493" s="19"/>
      <c r="GP493" s="19"/>
      <c r="GQ493" s="19"/>
      <c r="GR493" s="19"/>
      <c r="GS493" s="19"/>
      <c r="GT493" s="19"/>
      <c r="GV493" s="19"/>
      <c r="GW493" s="19"/>
      <c r="GX493" s="19"/>
      <c r="GY493" s="19"/>
      <c r="GZ493" s="19"/>
      <c r="HA493" s="19"/>
      <c r="HB493" s="19"/>
      <c r="HC493" s="19"/>
      <c r="HD493" s="19"/>
      <c r="HE493" s="19"/>
      <c r="HF493" s="19"/>
      <c r="HH493" s="19"/>
      <c r="HI493" s="19"/>
      <c r="HJ493" s="19"/>
      <c r="HK493" s="19"/>
      <c r="HL493" s="19"/>
      <c r="HM493" s="19"/>
      <c r="HN493" s="19"/>
      <c r="HO493" s="19"/>
      <c r="HP493" s="19"/>
      <c r="HQ493" s="19"/>
    </row>
    <row r="494" spans="1:225" x14ac:dyDescent="0.25">
      <c r="A494" s="8" t="s">
        <v>3732</v>
      </c>
      <c r="B494" s="24" t="s">
        <v>357</v>
      </c>
      <c r="E494" s="26" t="s">
        <v>1762</v>
      </c>
      <c r="F494" s="198" t="s">
        <v>1700</v>
      </c>
      <c r="G494" s="198" t="s">
        <v>1700</v>
      </c>
      <c r="H494" s="25" t="s">
        <v>1700</v>
      </c>
      <c r="J494" s="27" t="s">
        <v>866</v>
      </c>
      <c r="R494" s="29" t="s">
        <v>1763</v>
      </c>
      <c r="CB494" s="26"/>
      <c r="CC494" s="26"/>
      <c r="CF494" s="8"/>
      <c r="CG494" s="26"/>
      <c r="CH494" s="8"/>
      <c r="CM494" s="8"/>
      <c r="CR494" s="8"/>
    </row>
    <row r="495" spans="1:225" x14ac:dyDescent="0.25">
      <c r="A495" s="8" t="s">
        <v>646</v>
      </c>
      <c r="B495" s="24" t="s">
        <v>1472</v>
      </c>
      <c r="C495" s="25" t="s">
        <v>1148</v>
      </c>
      <c r="D495" s="26">
        <v>18629</v>
      </c>
      <c r="E495" s="26" t="s">
        <v>1762</v>
      </c>
      <c r="F495" s="198" t="s">
        <v>852</v>
      </c>
      <c r="G495" s="198" t="s">
        <v>1700</v>
      </c>
      <c r="H495" s="25" t="s">
        <v>1700</v>
      </c>
      <c r="I495" s="27" t="s">
        <v>3904</v>
      </c>
      <c r="J495" s="27" t="s">
        <v>866</v>
      </c>
      <c r="K495" s="28" t="s">
        <v>859</v>
      </c>
      <c r="Q495" s="93"/>
      <c r="R495" s="28" t="s">
        <v>859</v>
      </c>
      <c r="S495" s="29" t="s">
        <v>855</v>
      </c>
      <c r="T495" s="29"/>
      <c r="U495" s="29"/>
      <c r="V495" s="29"/>
      <c r="W495" s="95">
        <v>280</v>
      </c>
      <c r="X495" s="84" t="s">
        <v>1700</v>
      </c>
      <c r="Y495" s="84" t="s">
        <v>1606</v>
      </c>
      <c r="AA495" s="84" t="s">
        <v>1149</v>
      </c>
      <c r="AB495" s="84" t="s">
        <v>126</v>
      </c>
      <c r="AC495" s="26">
        <v>42416</v>
      </c>
      <c r="AD495" s="26" t="s">
        <v>859</v>
      </c>
      <c r="AE495" s="19" t="s">
        <v>2231</v>
      </c>
      <c r="AF495" s="19">
        <v>588</v>
      </c>
      <c r="AG495" s="19">
        <v>280</v>
      </c>
      <c r="AI495" s="19"/>
      <c r="AJ495" s="19"/>
      <c r="AK495" s="19"/>
      <c r="AL495" s="19"/>
      <c r="AN495" s="19"/>
      <c r="AO495" s="19"/>
      <c r="AP495" s="19"/>
      <c r="AQ495" s="19"/>
      <c r="AS495" s="19"/>
      <c r="AT495" s="19"/>
      <c r="AU495" s="19"/>
      <c r="AV495" s="19"/>
      <c r="AX495" s="19"/>
      <c r="AY495" s="19"/>
      <c r="AZ495" s="19"/>
      <c r="BA495" s="19"/>
      <c r="BC495" s="19"/>
      <c r="BD495" s="19"/>
      <c r="BE495" s="19"/>
      <c r="BF495" s="19"/>
      <c r="BH495" s="19"/>
      <c r="BI495" s="19"/>
      <c r="BJ495" s="19"/>
      <c r="BK495" s="19"/>
      <c r="BM495" s="19"/>
      <c r="BN495" s="19"/>
      <c r="BO495" s="19"/>
      <c r="BP495" s="19"/>
      <c r="BR495" s="19"/>
      <c r="BS495" s="19"/>
      <c r="BT495" s="19"/>
      <c r="BU495" s="19"/>
      <c r="BW495" s="19"/>
      <c r="BX495" s="19"/>
      <c r="BY495" s="19"/>
      <c r="BZ495" s="19"/>
      <c r="CB495" s="26">
        <v>42032</v>
      </c>
      <c r="CC495" s="26" t="s">
        <v>859</v>
      </c>
      <c r="CD495" s="19" t="s">
        <v>2439</v>
      </c>
      <c r="CE495" s="19">
        <v>624</v>
      </c>
      <c r="CF495" s="19">
        <v>280</v>
      </c>
      <c r="CG495" s="26"/>
      <c r="CH495" s="19"/>
      <c r="CI495" s="19"/>
      <c r="CJ495" s="19"/>
      <c r="CK495" s="19"/>
      <c r="CM495" s="19"/>
      <c r="CN495" s="19"/>
      <c r="CO495" s="19"/>
      <c r="CP495" s="19"/>
      <c r="CR495" s="19"/>
      <c r="CS495" s="19"/>
      <c r="CT495" s="19"/>
      <c r="CU495" s="19"/>
      <c r="CW495" s="19"/>
      <c r="CX495" s="19"/>
      <c r="CY495" s="19"/>
      <c r="CZ495" s="19"/>
      <c r="DB495" s="19"/>
      <c r="DC495" s="19"/>
      <c r="DD495" s="19"/>
      <c r="DE495" s="19"/>
      <c r="DG495" s="19"/>
      <c r="DH495" s="19"/>
      <c r="DI495" s="19"/>
      <c r="DJ495" s="19"/>
      <c r="DL495" s="19"/>
      <c r="DM495" s="19"/>
      <c r="DN495" s="19"/>
      <c r="DO495" s="19"/>
      <c r="DQ495" s="19"/>
      <c r="DR495" s="19"/>
      <c r="DS495" s="19"/>
      <c r="DT495" s="19"/>
      <c r="DV495" s="19"/>
      <c r="DW495" s="19"/>
      <c r="DX495" s="19"/>
      <c r="DY495" s="19"/>
    </row>
    <row r="496" spans="1:225" x14ac:dyDescent="0.25">
      <c r="A496" s="8" t="s">
        <v>1487</v>
      </c>
      <c r="B496" s="24" t="s">
        <v>1488</v>
      </c>
      <c r="C496" s="25" t="s">
        <v>1489</v>
      </c>
      <c r="E496" s="26" t="s">
        <v>1762</v>
      </c>
      <c r="F496" s="198" t="s">
        <v>1493</v>
      </c>
      <c r="G496" s="198" t="s">
        <v>1490</v>
      </c>
      <c r="H496" s="25" t="s">
        <v>1491</v>
      </c>
      <c r="I496" s="27" t="s">
        <v>3904</v>
      </c>
      <c r="J496" s="27" t="s">
        <v>866</v>
      </c>
      <c r="K496" s="28" t="s">
        <v>1416</v>
      </c>
      <c r="R496" s="29" t="s">
        <v>1416</v>
      </c>
      <c r="S496" s="8" t="s">
        <v>851</v>
      </c>
      <c r="CB496" s="26"/>
      <c r="CC496" s="26"/>
      <c r="CF496" s="8"/>
      <c r="CG496" s="26"/>
      <c r="CH496" s="8"/>
      <c r="CM496" s="8"/>
      <c r="CR496" s="8"/>
    </row>
    <row r="497" spans="1:130" x14ac:dyDescent="0.25">
      <c r="A497" s="8" t="s">
        <v>1487</v>
      </c>
      <c r="B497" s="24" t="s">
        <v>324</v>
      </c>
      <c r="C497" s="25" t="s">
        <v>3731</v>
      </c>
      <c r="D497" s="26">
        <v>32998</v>
      </c>
      <c r="F497" s="198" t="s">
        <v>1700</v>
      </c>
      <c r="G497" s="198" t="s">
        <v>1700</v>
      </c>
      <c r="H497" s="25" t="s">
        <v>1700</v>
      </c>
      <c r="J497" s="27" t="s">
        <v>866</v>
      </c>
      <c r="S497" s="8" t="s">
        <v>1972</v>
      </c>
      <c r="CB497" s="278"/>
      <c r="CG497" s="278"/>
    </row>
    <row r="498" spans="1:130" x14ac:dyDescent="0.25">
      <c r="A498" s="8" t="s">
        <v>4639</v>
      </c>
      <c r="B498" s="24" t="s">
        <v>4640</v>
      </c>
      <c r="E498" s="26" t="s">
        <v>877</v>
      </c>
      <c r="F498" s="198" t="s">
        <v>1085</v>
      </c>
      <c r="G498" s="198" t="s">
        <v>1084</v>
      </c>
      <c r="H498" s="25" t="s">
        <v>1700</v>
      </c>
      <c r="I498" s="27" t="s">
        <v>3893</v>
      </c>
      <c r="J498" s="27" t="s">
        <v>866</v>
      </c>
      <c r="K498" s="28" t="s">
        <v>816</v>
      </c>
      <c r="CB498" s="278"/>
      <c r="CG498" s="278"/>
      <c r="DZ498" s="19"/>
    </row>
    <row r="499" spans="1:130" x14ac:dyDescent="0.25">
      <c r="A499" s="8" t="s">
        <v>4639</v>
      </c>
      <c r="F499" s="198" t="s">
        <v>1700</v>
      </c>
      <c r="G499" s="198" t="s">
        <v>1700</v>
      </c>
      <c r="H499" s="25" t="s">
        <v>1700</v>
      </c>
      <c r="J499" s="27" t="s">
        <v>866</v>
      </c>
      <c r="K499" s="28" t="s">
        <v>816</v>
      </c>
      <c r="CB499" s="278"/>
      <c r="CG499" s="278"/>
      <c r="DZ499" s="279"/>
    </row>
    <row r="500" spans="1:130" x14ac:dyDescent="0.25">
      <c r="A500" s="8" t="s">
        <v>4664</v>
      </c>
      <c r="B500" s="24" t="s">
        <v>894</v>
      </c>
      <c r="C500" s="25" t="s">
        <v>4663</v>
      </c>
      <c r="E500" s="26" t="s">
        <v>1762</v>
      </c>
      <c r="F500" s="198" t="s">
        <v>968</v>
      </c>
      <c r="G500" s="198" t="s">
        <v>1700</v>
      </c>
      <c r="H500" s="25" t="s">
        <v>4665</v>
      </c>
      <c r="I500" s="27" t="s">
        <v>3904</v>
      </c>
      <c r="J500" s="27" t="s">
        <v>866</v>
      </c>
      <c r="K500" s="28" t="s">
        <v>853</v>
      </c>
      <c r="W500" s="93">
        <v>82</v>
      </c>
      <c r="X500" s="84" t="s">
        <v>1700</v>
      </c>
      <c r="Y500" s="84" t="s">
        <v>2499</v>
      </c>
      <c r="AA500" s="84" t="s">
        <v>4667</v>
      </c>
      <c r="AB500" s="84" t="s">
        <v>126</v>
      </c>
      <c r="AC500" s="26">
        <v>42416</v>
      </c>
      <c r="AD500" s="26" t="s">
        <v>853</v>
      </c>
      <c r="AE500" s="8" t="s">
        <v>4666</v>
      </c>
      <c r="AF500" s="8">
        <v>165</v>
      </c>
      <c r="AG500" s="8">
        <v>82</v>
      </c>
      <c r="CB500" s="278"/>
      <c r="CG500" s="278"/>
    </row>
    <row r="501" spans="1:130" x14ac:dyDescent="0.25">
      <c r="A501" s="8" t="s">
        <v>991</v>
      </c>
      <c r="B501" s="24" t="s">
        <v>990</v>
      </c>
      <c r="D501" s="26">
        <v>25387</v>
      </c>
      <c r="E501" s="26" t="s">
        <v>1762</v>
      </c>
      <c r="F501" s="198" t="s">
        <v>2193</v>
      </c>
      <c r="G501" s="198" t="s">
        <v>1700</v>
      </c>
      <c r="H501" s="25" t="s">
        <v>621</v>
      </c>
      <c r="J501" s="27" t="s">
        <v>866</v>
      </c>
      <c r="S501" s="8" t="s">
        <v>858</v>
      </c>
      <c r="CB501" s="278"/>
      <c r="CD501" s="279"/>
      <c r="CG501" s="278"/>
      <c r="CH501" s="278"/>
      <c r="CI501" s="279"/>
      <c r="CK501" s="279"/>
      <c r="CL501" s="278"/>
      <c r="CM501" s="278"/>
      <c r="CN501" s="279"/>
      <c r="CP501" s="279"/>
      <c r="CQ501" s="278"/>
      <c r="CR501" s="279"/>
      <c r="CS501" s="279"/>
      <c r="CU501" s="279"/>
      <c r="CV501" s="278"/>
      <c r="CW501" s="279"/>
      <c r="CX501" s="279"/>
      <c r="CZ501" s="279"/>
      <c r="DA501" s="278"/>
      <c r="DB501" s="279"/>
      <c r="DC501" s="279"/>
      <c r="DE501" s="279"/>
      <c r="DF501" s="278"/>
      <c r="DG501" s="279"/>
      <c r="DH501" s="279"/>
      <c r="DJ501" s="279"/>
      <c r="DK501" s="278"/>
      <c r="DL501" s="279"/>
      <c r="DM501" s="279"/>
      <c r="DO501" s="279"/>
      <c r="DP501" s="278"/>
      <c r="DQ501" s="279"/>
      <c r="DR501" s="279"/>
      <c r="DT501" s="279"/>
      <c r="DU501" s="278"/>
      <c r="DV501" s="279"/>
      <c r="DW501" s="279"/>
      <c r="DY501" s="279"/>
    </row>
    <row r="502" spans="1:130" x14ac:dyDescent="0.25">
      <c r="A502" s="8" t="s">
        <v>1074</v>
      </c>
      <c r="B502" s="24" t="s">
        <v>875</v>
      </c>
      <c r="C502" s="25" t="s">
        <v>1075</v>
      </c>
      <c r="E502" s="26" t="s">
        <v>1762</v>
      </c>
      <c r="F502" s="198" t="s">
        <v>1396</v>
      </c>
      <c r="G502" s="198" t="s">
        <v>1700</v>
      </c>
      <c r="H502" s="25" t="s">
        <v>1700</v>
      </c>
      <c r="J502" s="27" t="s">
        <v>866</v>
      </c>
      <c r="R502" s="29" t="s">
        <v>853</v>
      </c>
      <c r="X502" s="84" t="s">
        <v>1700</v>
      </c>
      <c r="Y502" s="84" t="s">
        <v>2499</v>
      </c>
      <c r="AA502" s="84" t="s">
        <v>1076</v>
      </c>
      <c r="AB502" s="84" t="s">
        <v>126</v>
      </c>
      <c r="CB502" s="26">
        <v>42074</v>
      </c>
      <c r="CC502" s="26" t="s">
        <v>853</v>
      </c>
      <c r="CD502" s="8" t="s">
        <v>3555</v>
      </c>
      <c r="CE502" s="8">
        <v>125</v>
      </c>
      <c r="CF502" s="8">
        <v>63</v>
      </c>
      <c r="CG502" s="26"/>
      <c r="CH502" s="8"/>
      <c r="CM502" s="8"/>
      <c r="CR502" s="8"/>
    </row>
    <row r="503" spans="1:130" x14ac:dyDescent="0.25">
      <c r="A503" s="8" t="s">
        <v>1220</v>
      </c>
      <c r="B503" s="24" t="s">
        <v>861</v>
      </c>
      <c r="E503" s="26" t="s">
        <v>1762</v>
      </c>
      <c r="F503" s="198" t="s">
        <v>625</v>
      </c>
      <c r="G503" s="198" t="s">
        <v>1700</v>
      </c>
      <c r="H503" s="25" t="s">
        <v>1700</v>
      </c>
      <c r="J503" s="27" t="s">
        <v>866</v>
      </c>
      <c r="R503" s="29" t="s">
        <v>854</v>
      </c>
      <c r="CB503" s="26"/>
      <c r="CC503" s="26"/>
      <c r="CF503" s="8"/>
      <c r="CG503" s="26"/>
      <c r="CH503" s="8"/>
      <c r="CM503" s="8"/>
      <c r="CR503" s="8"/>
    </row>
    <row r="504" spans="1:130" x14ac:dyDescent="0.25">
      <c r="A504" s="8" t="s">
        <v>1336</v>
      </c>
      <c r="B504" s="24" t="s">
        <v>1417</v>
      </c>
      <c r="C504" s="25" t="s">
        <v>1337</v>
      </c>
      <c r="E504" s="26" t="s">
        <v>1762</v>
      </c>
      <c r="F504" s="198" t="s">
        <v>722</v>
      </c>
      <c r="G504" s="198" t="s">
        <v>1700</v>
      </c>
      <c r="H504" s="25" t="s">
        <v>1700</v>
      </c>
      <c r="J504" s="27" t="s">
        <v>866</v>
      </c>
      <c r="CA504" s="19"/>
      <c r="CB504" s="26"/>
      <c r="CC504" s="26"/>
      <c r="CF504" s="8"/>
      <c r="CG504" s="26"/>
      <c r="CH504" s="8"/>
      <c r="CM504" s="8"/>
      <c r="CR504" s="8"/>
    </row>
    <row r="505" spans="1:130" x14ac:dyDescent="0.25">
      <c r="A505" s="8" t="s">
        <v>4833</v>
      </c>
      <c r="B505" s="24" t="s">
        <v>275</v>
      </c>
      <c r="C505" s="25" t="s">
        <v>4834</v>
      </c>
      <c r="E505" s="26" t="s">
        <v>1762</v>
      </c>
      <c r="F505" s="198" t="s">
        <v>874</v>
      </c>
      <c r="G505" s="198" t="s">
        <v>1700</v>
      </c>
      <c r="H505" s="25" t="s">
        <v>4835</v>
      </c>
      <c r="I505" s="27" t="s">
        <v>3896</v>
      </c>
      <c r="J505" s="27" t="s">
        <v>866</v>
      </c>
      <c r="K505" s="28" t="s">
        <v>853</v>
      </c>
      <c r="W505" s="93">
        <v>160</v>
      </c>
      <c r="X505" s="84" t="s">
        <v>1700</v>
      </c>
      <c r="Y505" s="84" t="s">
        <v>4836</v>
      </c>
      <c r="AA505" s="84" t="s">
        <v>4837</v>
      </c>
      <c r="AB505" s="84" t="s">
        <v>4838</v>
      </c>
      <c r="AC505" s="26">
        <v>42545</v>
      </c>
      <c r="AD505" s="26" t="s">
        <v>853</v>
      </c>
      <c r="AE505" s="8" t="s">
        <v>4839</v>
      </c>
      <c r="AF505" s="8">
        <v>360</v>
      </c>
      <c r="AG505" s="8">
        <v>160</v>
      </c>
      <c r="CB505" s="278"/>
      <c r="CG505" s="278"/>
    </row>
    <row r="506" spans="1:130" x14ac:dyDescent="0.25">
      <c r="A506" s="8" t="s">
        <v>1512</v>
      </c>
      <c r="B506" s="24" t="s">
        <v>1513</v>
      </c>
      <c r="D506" s="26">
        <v>27048</v>
      </c>
      <c r="E506" s="26" t="s">
        <v>1768</v>
      </c>
      <c r="F506" s="198" t="s">
        <v>1512</v>
      </c>
      <c r="G506" s="198" t="s">
        <v>4323</v>
      </c>
      <c r="H506" s="25" t="s">
        <v>1700</v>
      </c>
      <c r="I506" s="27" t="s">
        <v>3901</v>
      </c>
      <c r="J506" s="27" t="s">
        <v>866</v>
      </c>
      <c r="K506" s="28" t="s">
        <v>856</v>
      </c>
      <c r="L506" s="29" t="s">
        <v>816</v>
      </c>
      <c r="R506" s="29" t="s">
        <v>816</v>
      </c>
      <c r="CB506" s="278"/>
      <c r="CG506" s="278"/>
      <c r="DZ506" s="279"/>
    </row>
    <row r="507" spans="1:130" x14ac:dyDescent="0.25">
      <c r="A507" s="8" t="s">
        <v>2164</v>
      </c>
      <c r="B507" s="24" t="s">
        <v>2163</v>
      </c>
      <c r="F507" s="198" t="s">
        <v>1700</v>
      </c>
      <c r="G507" s="198" t="s">
        <v>1700</v>
      </c>
      <c r="H507" s="25" t="s">
        <v>1700</v>
      </c>
      <c r="J507" s="27" t="s">
        <v>866</v>
      </c>
      <c r="R507" s="29" t="s">
        <v>889</v>
      </c>
      <c r="CB507" s="278"/>
      <c r="CG507" s="278"/>
    </row>
    <row r="508" spans="1:130" x14ac:dyDescent="0.25">
      <c r="A508" s="8" t="s">
        <v>4696</v>
      </c>
      <c r="B508" s="24" t="s">
        <v>1363</v>
      </c>
      <c r="F508" s="198" t="s">
        <v>1700</v>
      </c>
      <c r="G508" s="198" t="s">
        <v>1700</v>
      </c>
      <c r="H508" s="25" t="s">
        <v>1700</v>
      </c>
      <c r="I508" s="27" t="s">
        <v>3894</v>
      </c>
      <c r="J508" s="27" t="s">
        <v>866</v>
      </c>
      <c r="K508" s="28" t="s">
        <v>3907</v>
      </c>
      <c r="P508" s="17">
        <v>1</v>
      </c>
      <c r="CB508" s="278"/>
      <c r="CG508" s="278"/>
    </row>
    <row r="509" spans="1:130" x14ac:dyDescent="0.25">
      <c r="A509" s="8" t="s">
        <v>460</v>
      </c>
      <c r="B509" s="24" t="s">
        <v>915</v>
      </c>
      <c r="C509" s="25" t="s">
        <v>461</v>
      </c>
      <c r="D509" s="26">
        <v>23417</v>
      </c>
      <c r="E509" s="26" t="s">
        <v>1768</v>
      </c>
      <c r="F509" s="198" t="s">
        <v>898</v>
      </c>
      <c r="G509" s="198" t="s">
        <v>1700</v>
      </c>
      <c r="H509" s="25" t="s">
        <v>462</v>
      </c>
      <c r="I509" s="27" t="s">
        <v>3901</v>
      </c>
      <c r="J509" s="27" t="s">
        <v>866</v>
      </c>
      <c r="K509" s="28" t="s">
        <v>858</v>
      </c>
      <c r="R509" s="29" t="s">
        <v>858</v>
      </c>
      <c r="CA509" s="19"/>
      <c r="CB509" s="26"/>
      <c r="CC509" s="26"/>
      <c r="CF509" s="8"/>
      <c r="CG509" s="26"/>
      <c r="CH509" s="8"/>
      <c r="CM509" s="8"/>
      <c r="CR509" s="8"/>
    </row>
    <row r="510" spans="1:130" x14ac:dyDescent="0.25">
      <c r="A510" s="8" t="s">
        <v>4324</v>
      </c>
      <c r="B510" s="24" t="s">
        <v>953</v>
      </c>
      <c r="C510" s="25" t="s">
        <v>4326</v>
      </c>
      <c r="D510" s="26">
        <v>42163</v>
      </c>
      <c r="E510" s="26" t="s">
        <v>1768</v>
      </c>
      <c r="F510" s="198" t="s">
        <v>927</v>
      </c>
      <c r="G510" s="198" t="s">
        <v>4325</v>
      </c>
      <c r="H510" s="25" t="s">
        <v>1700</v>
      </c>
      <c r="I510" s="27" t="s">
        <v>3901</v>
      </c>
      <c r="J510" s="27" t="s">
        <v>866</v>
      </c>
      <c r="K510" s="28" t="s">
        <v>856</v>
      </c>
      <c r="CB510" s="278"/>
      <c r="CG510" s="278"/>
    </row>
    <row r="511" spans="1:130" x14ac:dyDescent="0.25">
      <c r="A511" s="8" t="s">
        <v>3078</v>
      </c>
      <c r="B511" s="24" t="s">
        <v>3079</v>
      </c>
      <c r="C511" s="25" t="s">
        <v>3077</v>
      </c>
      <c r="E511" s="26" t="s">
        <v>1762</v>
      </c>
      <c r="F511" s="198" t="s">
        <v>913</v>
      </c>
      <c r="G511" s="198" t="s">
        <v>2374</v>
      </c>
      <c r="H511" s="25" t="s">
        <v>3080</v>
      </c>
      <c r="J511" s="27" t="s">
        <v>866</v>
      </c>
      <c r="R511" s="29" t="s">
        <v>853</v>
      </c>
      <c r="X511" s="84" t="s">
        <v>1700</v>
      </c>
      <c r="Y511" s="84" t="s">
        <v>3082</v>
      </c>
      <c r="AA511" s="84" t="s">
        <v>3083</v>
      </c>
      <c r="AB511" s="84" t="s">
        <v>3081</v>
      </c>
      <c r="CB511" s="278">
        <v>41943</v>
      </c>
      <c r="CC511" s="278" t="s">
        <v>853</v>
      </c>
      <c r="CD511" s="279" t="s">
        <v>3084</v>
      </c>
      <c r="CE511" s="8">
        <v>559</v>
      </c>
      <c r="CF511" s="279">
        <v>160</v>
      </c>
      <c r="CG511" s="278"/>
      <c r="CH511" s="278"/>
      <c r="CI511" s="279"/>
      <c r="CK511" s="279"/>
      <c r="CL511" s="278"/>
      <c r="CM511" s="278"/>
      <c r="CN511" s="279"/>
      <c r="CP511" s="279"/>
      <c r="CQ511" s="278"/>
      <c r="CR511" s="279"/>
      <c r="CS511" s="279"/>
      <c r="CU511" s="279"/>
      <c r="CV511" s="278"/>
      <c r="CW511" s="279"/>
      <c r="CX511" s="279"/>
      <c r="CZ511" s="279"/>
      <c r="DA511" s="278"/>
      <c r="DB511" s="279"/>
      <c r="DC511" s="279"/>
      <c r="DE511" s="279"/>
      <c r="DF511" s="278"/>
      <c r="DG511" s="279"/>
      <c r="DH511" s="279"/>
      <c r="DJ511" s="279"/>
      <c r="DK511" s="278"/>
      <c r="DL511" s="279"/>
      <c r="DM511" s="279"/>
      <c r="DO511" s="279"/>
      <c r="DP511" s="278"/>
      <c r="DQ511" s="279"/>
      <c r="DR511" s="279"/>
      <c r="DT511" s="279"/>
      <c r="DU511" s="278"/>
      <c r="DV511" s="279"/>
      <c r="DW511" s="279"/>
      <c r="DY511" s="279"/>
    </row>
    <row r="512" spans="1:130" x14ac:dyDescent="0.25">
      <c r="A512" s="8" t="s">
        <v>455</v>
      </c>
      <c r="B512" s="24" t="s">
        <v>873</v>
      </c>
      <c r="D512" s="26">
        <v>23765</v>
      </c>
      <c r="E512" s="26" t="s">
        <v>1762</v>
      </c>
      <c r="F512" s="198" t="s">
        <v>2280</v>
      </c>
      <c r="G512" s="198" t="s">
        <v>1700</v>
      </c>
      <c r="H512" s="25" t="s">
        <v>1700</v>
      </c>
      <c r="J512" s="27" t="s">
        <v>866</v>
      </c>
      <c r="CB512" s="278"/>
      <c r="CD512" s="279"/>
      <c r="CE512" s="19"/>
      <c r="CG512" s="278"/>
      <c r="CH512" s="278"/>
      <c r="CI512" s="279"/>
      <c r="CJ512" s="19"/>
      <c r="CK512" s="279"/>
      <c r="CL512" s="278"/>
      <c r="CM512" s="278"/>
      <c r="CN512" s="279"/>
      <c r="CO512" s="19"/>
      <c r="CP512" s="279"/>
      <c r="CQ512" s="278"/>
      <c r="CR512" s="279"/>
      <c r="CS512" s="279"/>
      <c r="CT512" s="19"/>
      <c r="CU512" s="279"/>
      <c r="CV512" s="278"/>
      <c r="CW512" s="279"/>
      <c r="CX512" s="279"/>
      <c r="CY512" s="19"/>
      <c r="CZ512" s="279"/>
      <c r="DA512" s="278"/>
      <c r="DB512" s="279"/>
      <c r="DC512" s="279"/>
      <c r="DD512" s="19"/>
      <c r="DE512" s="279"/>
      <c r="DF512" s="278"/>
      <c r="DG512" s="279"/>
      <c r="DH512" s="279"/>
      <c r="DI512" s="19"/>
      <c r="DJ512" s="279"/>
      <c r="DK512" s="278"/>
      <c r="DL512" s="279"/>
      <c r="DM512" s="279"/>
      <c r="DN512" s="19"/>
      <c r="DO512" s="279"/>
      <c r="DP512" s="278"/>
      <c r="DQ512" s="279"/>
      <c r="DR512" s="279"/>
      <c r="DS512" s="19"/>
      <c r="DT512" s="279"/>
      <c r="DU512" s="278"/>
      <c r="DV512" s="279"/>
      <c r="DW512" s="279"/>
      <c r="DX512" s="19"/>
      <c r="DY512" s="279"/>
    </row>
    <row r="513" spans="1:130" x14ac:dyDescent="0.25">
      <c r="A513" s="8" t="s">
        <v>2935</v>
      </c>
      <c r="B513" s="24" t="s">
        <v>915</v>
      </c>
      <c r="C513" s="25" t="s">
        <v>2934</v>
      </c>
      <c r="E513" s="26" t="s">
        <v>1762</v>
      </c>
      <c r="F513" s="198" t="s">
        <v>2059</v>
      </c>
      <c r="G513" s="198" t="s">
        <v>1700</v>
      </c>
      <c r="H513" s="25" t="s">
        <v>2936</v>
      </c>
      <c r="J513" s="27" t="s">
        <v>866</v>
      </c>
      <c r="R513" s="29" t="s">
        <v>853</v>
      </c>
      <c r="X513" s="84" t="s">
        <v>1700</v>
      </c>
      <c r="Y513" s="84" t="s">
        <v>190</v>
      </c>
      <c r="AA513" s="84" t="s">
        <v>2937</v>
      </c>
      <c r="AB513" s="84" t="s">
        <v>126</v>
      </c>
      <c r="CB513" s="26">
        <v>41934</v>
      </c>
      <c r="CC513" s="26" t="s">
        <v>853</v>
      </c>
      <c r="CD513" s="19" t="s">
        <v>2938</v>
      </c>
      <c r="CE513" s="19">
        <v>468.8</v>
      </c>
      <c r="CF513" s="19">
        <v>160</v>
      </c>
      <c r="CG513" s="26"/>
      <c r="CH513" s="19"/>
      <c r="CI513" s="19"/>
      <c r="CJ513" s="19"/>
      <c r="CK513" s="19"/>
      <c r="CM513" s="19"/>
      <c r="CN513" s="19"/>
      <c r="CO513" s="19"/>
      <c r="CP513" s="19"/>
      <c r="CR513" s="19"/>
      <c r="CS513" s="19"/>
      <c r="CT513" s="19"/>
      <c r="CU513" s="19"/>
      <c r="CW513" s="19"/>
      <c r="CX513" s="19"/>
      <c r="CY513" s="19"/>
      <c r="CZ513" s="19"/>
      <c r="DB513" s="19"/>
      <c r="DC513" s="19"/>
      <c r="DD513" s="19"/>
      <c r="DE513" s="19"/>
      <c r="DG513" s="19"/>
      <c r="DH513" s="19"/>
      <c r="DI513" s="19"/>
      <c r="DJ513" s="19"/>
      <c r="DL513" s="19"/>
      <c r="DM513" s="19"/>
      <c r="DN513" s="19"/>
      <c r="DO513" s="19"/>
      <c r="DQ513" s="19"/>
      <c r="DR513" s="19"/>
      <c r="DS513" s="19"/>
      <c r="DT513" s="19"/>
      <c r="DV513" s="19"/>
      <c r="DW513" s="19"/>
      <c r="DX513" s="19"/>
      <c r="DY513" s="19"/>
    </row>
    <row r="514" spans="1:130" x14ac:dyDescent="0.25">
      <c r="A514" s="8" t="s">
        <v>3592</v>
      </c>
      <c r="B514" s="24" t="s">
        <v>3593</v>
      </c>
      <c r="C514" s="25" t="s">
        <v>3591</v>
      </c>
      <c r="E514" s="26" t="s">
        <v>1762</v>
      </c>
      <c r="F514" s="198" t="s">
        <v>1448</v>
      </c>
      <c r="G514" s="198" t="s">
        <v>1700</v>
      </c>
      <c r="H514" s="25" t="s">
        <v>3594</v>
      </c>
      <c r="J514" s="27" t="s">
        <v>866</v>
      </c>
      <c r="R514" s="29" t="s">
        <v>853</v>
      </c>
      <c r="X514" s="84" t="s">
        <v>1700</v>
      </c>
      <c r="Y514" s="84" t="s">
        <v>2367</v>
      </c>
      <c r="AA514" s="84" t="s">
        <v>3595</v>
      </c>
      <c r="AB514" s="84" t="s">
        <v>221</v>
      </c>
      <c r="CB514" s="278">
        <v>42074</v>
      </c>
      <c r="CC514" s="278" t="s">
        <v>853</v>
      </c>
      <c r="CD514" s="8" t="s">
        <v>3596</v>
      </c>
      <c r="CE514" s="8">
        <v>448.8</v>
      </c>
      <c r="CF514" s="279">
        <v>160</v>
      </c>
      <c r="CG514" s="278"/>
    </row>
    <row r="515" spans="1:130" x14ac:dyDescent="0.25">
      <c r="A515" s="8" t="s">
        <v>1228</v>
      </c>
      <c r="B515" s="24" t="s">
        <v>1851</v>
      </c>
      <c r="D515" s="26">
        <v>26798</v>
      </c>
      <c r="E515" s="26" t="s">
        <v>1768</v>
      </c>
      <c r="F515" s="198" t="s">
        <v>1700</v>
      </c>
      <c r="G515" s="198" t="s">
        <v>1700</v>
      </c>
      <c r="H515" s="25" t="s">
        <v>1700</v>
      </c>
      <c r="J515" s="27" t="s">
        <v>866</v>
      </c>
      <c r="R515" s="29" t="s">
        <v>1763</v>
      </c>
      <c r="S515" s="8" t="s">
        <v>855</v>
      </c>
      <c r="CB515" s="26"/>
      <c r="CC515" s="26"/>
      <c r="CF515" s="8"/>
      <c r="CG515" s="26"/>
      <c r="CH515" s="8"/>
      <c r="CM515" s="8"/>
      <c r="CR515" s="8"/>
    </row>
    <row r="516" spans="1:130" x14ac:dyDescent="0.25">
      <c r="A516" s="8" t="s">
        <v>1850</v>
      </c>
      <c r="B516" s="24" t="s">
        <v>1851</v>
      </c>
      <c r="C516" s="25" t="s">
        <v>1860</v>
      </c>
      <c r="D516" s="26">
        <v>25457</v>
      </c>
      <c r="E516" s="26" t="s">
        <v>1762</v>
      </c>
      <c r="F516" s="198" t="s">
        <v>852</v>
      </c>
      <c r="G516" s="198" t="s">
        <v>1864</v>
      </c>
      <c r="H516" s="25" t="s">
        <v>1861</v>
      </c>
      <c r="I516" s="27" t="s">
        <v>3901</v>
      </c>
      <c r="J516" s="27" t="s">
        <v>866</v>
      </c>
      <c r="K516" s="28" t="s">
        <v>856</v>
      </c>
      <c r="L516" s="29" t="s">
        <v>858</v>
      </c>
      <c r="Q516" s="93"/>
      <c r="R516" s="28" t="s">
        <v>856</v>
      </c>
      <c r="S516" s="17" t="s">
        <v>858</v>
      </c>
      <c r="T516" s="18"/>
      <c r="U516" s="17"/>
      <c r="V516" s="17"/>
      <c r="W516" s="95"/>
      <c r="AE516" s="19"/>
      <c r="AF516" s="19"/>
      <c r="AG516" s="19"/>
      <c r="AI516" s="19"/>
      <c r="AJ516" s="19"/>
      <c r="AK516" s="19"/>
      <c r="AL516" s="19"/>
      <c r="AN516" s="19"/>
      <c r="AO516" s="19"/>
      <c r="AP516" s="19"/>
      <c r="AQ516" s="19"/>
      <c r="AS516" s="19"/>
      <c r="AT516" s="19"/>
      <c r="AU516" s="19"/>
      <c r="AV516" s="19"/>
      <c r="AX516" s="19"/>
      <c r="AY516" s="19"/>
      <c r="AZ516" s="19"/>
      <c r="BA516" s="19"/>
      <c r="BC516" s="19"/>
      <c r="BD516" s="19"/>
      <c r="BE516" s="19"/>
      <c r="BF516" s="19"/>
      <c r="BH516" s="19"/>
      <c r="BI516" s="19"/>
      <c r="BJ516" s="19"/>
      <c r="BK516" s="19"/>
      <c r="BM516" s="19"/>
      <c r="BN516" s="19"/>
      <c r="BO516" s="19"/>
      <c r="BP516" s="19"/>
      <c r="BR516" s="19"/>
      <c r="BS516" s="19"/>
      <c r="BT516" s="19"/>
      <c r="BU516" s="19"/>
      <c r="BW516" s="19"/>
      <c r="BX516" s="19"/>
      <c r="BY516" s="19"/>
      <c r="BZ516" s="19"/>
      <c r="CB516" s="26"/>
      <c r="CC516" s="26"/>
      <c r="CD516" s="19"/>
      <c r="CE516" s="19"/>
      <c r="CF516" s="19"/>
      <c r="CG516" s="26"/>
      <c r="CH516" s="19"/>
      <c r="CI516" s="19"/>
      <c r="CJ516" s="19"/>
      <c r="CK516" s="19"/>
      <c r="CM516" s="19"/>
      <c r="CN516" s="19"/>
      <c r="CO516" s="19"/>
      <c r="CP516" s="19"/>
      <c r="CR516" s="19"/>
      <c r="CS516" s="19"/>
      <c r="CT516" s="19"/>
      <c r="CU516" s="19"/>
      <c r="CW516" s="19"/>
      <c r="CX516" s="19"/>
      <c r="CY516" s="19"/>
      <c r="CZ516" s="19"/>
      <c r="DB516" s="19"/>
      <c r="DC516" s="19"/>
      <c r="DD516" s="19"/>
      <c r="DE516" s="19"/>
      <c r="DG516" s="19"/>
      <c r="DH516" s="19"/>
      <c r="DI516" s="19"/>
      <c r="DJ516" s="19"/>
      <c r="DL516" s="19"/>
      <c r="DM516" s="19"/>
      <c r="DN516" s="19"/>
      <c r="DO516" s="19"/>
      <c r="DQ516" s="19"/>
      <c r="DR516" s="19"/>
      <c r="DS516" s="19"/>
      <c r="DT516" s="19"/>
      <c r="DV516" s="19"/>
      <c r="DW516" s="19"/>
      <c r="DX516" s="19"/>
      <c r="DY516" s="19"/>
    </row>
    <row r="517" spans="1:130" ht="13.5" x14ac:dyDescent="0.25">
      <c r="A517" s="8" t="s">
        <v>4429</v>
      </c>
      <c r="B517" s="24" t="s">
        <v>792</v>
      </c>
      <c r="D517" s="26">
        <v>29384</v>
      </c>
      <c r="E517" s="26" t="s">
        <v>1762</v>
      </c>
      <c r="F517" s="198" t="s">
        <v>1353</v>
      </c>
      <c r="G517" s="198" t="s">
        <v>1700</v>
      </c>
      <c r="H517" s="25" t="s">
        <v>1700</v>
      </c>
      <c r="I517" s="27" t="s">
        <v>3904</v>
      </c>
      <c r="J517" s="27" t="s">
        <v>866</v>
      </c>
      <c r="K517" s="28" t="s">
        <v>855</v>
      </c>
      <c r="CB517" s="278"/>
      <c r="CG517" s="278"/>
      <c r="DZ517"/>
    </row>
    <row r="518" spans="1:130" ht="13.5" x14ac:dyDescent="0.25">
      <c r="A518" s="8" t="s">
        <v>4429</v>
      </c>
      <c r="B518" s="24" t="s">
        <v>792</v>
      </c>
      <c r="D518" s="26">
        <v>29384</v>
      </c>
      <c r="E518" s="26" t="s">
        <v>1762</v>
      </c>
      <c r="F518" s="198" t="s">
        <v>1353</v>
      </c>
      <c r="G518" s="198" t="s">
        <v>1700</v>
      </c>
      <c r="H518" s="25" t="s">
        <v>1700</v>
      </c>
      <c r="I518" s="27" t="s">
        <v>3904</v>
      </c>
      <c r="J518" s="27" t="s">
        <v>866</v>
      </c>
      <c r="K518" s="28" t="s">
        <v>855</v>
      </c>
      <c r="CB518" s="278"/>
      <c r="CG518" s="278"/>
      <c r="DZ518" s="258"/>
    </row>
    <row r="519" spans="1:130" x14ac:dyDescent="0.25">
      <c r="A519" s="8" t="s">
        <v>4171</v>
      </c>
      <c r="B519" s="24" t="s">
        <v>4172</v>
      </c>
      <c r="C519" s="25" t="s">
        <v>4170</v>
      </c>
      <c r="E519" s="26" t="s">
        <v>1762</v>
      </c>
      <c r="F519" s="198" t="s">
        <v>948</v>
      </c>
      <c r="G519" s="198" t="s">
        <v>1700</v>
      </c>
      <c r="H519" s="25" t="s">
        <v>4173</v>
      </c>
      <c r="I519" s="27" t="s">
        <v>3902</v>
      </c>
      <c r="J519" s="27" t="s">
        <v>866</v>
      </c>
      <c r="K519" s="28" t="s">
        <v>853</v>
      </c>
      <c r="W519" s="93">
        <v>160</v>
      </c>
      <c r="X519" s="84" t="s">
        <v>1700</v>
      </c>
      <c r="Y519" s="84" t="s">
        <v>2432</v>
      </c>
      <c r="AA519" s="84" t="s">
        <v>4174</v>
      </c>
      <c r="AB519" s="84" t="s">
        <v>1474</v>
      </c>
      <c r="AC519" s="26">
        <v>42313</v>
      </c>
      <c r="AD519" s="26" t="s">
        <v>853</v>
      </c>
      <c r="AE519" s="8" t="s">
        <v>4175</v>
      </c>
      <c r="AF519" s="8">
        <v>358.76</v>
      </c>
      <c r="AG519" s="8">
        <v>160</v>
      </c>
      <c r="CB519" s="278"/>
      <c r="CG519" s="278"/>
    </row>
    <row r="520" spans="1:130" x14ac:dyDescent="0.25">
      <c r="A520" s="8" t="s">
        <v>1726</v>
      </c>
      <c r="B520" s="24" t="s">
        <v>1727</v>
      </c>
      <c r="C520" s="25" t="s">
        <v>1728</v>
      </c>
      <c r="E520" s="26" t="s">
        <v>1762</v>
      </c>
      <c r="F520" s="198" t="s">
        <v>138</v>
      </c>
      <c r="G520" s="198" t="s">
        <v>1700</v>
      </c>
      <c r="H520" s="25" t="s">
        <v>4013</v>
      </c>
      <c r="I520" s="27" t="s">
        <v>3901</v>
      </c>
      <c r="J520" s="27" t="s">
        <v>866</v>
      </c>
      <c r="K520" s="28" t="s">
        <v>853</v>
      </c>
      <c r="R520" s="29" t="s">
        <v>853</v>
      </c>
      <c r="W520" s="93">
        <v>64</v>
      </c>
      <c r="X520" s="84" t="s">
        <v>1700</v>
      </c>
      <c r="Y520" s="84" t="s">
        <v>2921</v>
      </c>
      <c r="AA520" s="84" t="s">
        <v>3747</v>
      </c>
      <c r="AB520" s="84" t="s">
        <v>2388</v>
      </c>
      <c r="AC520" s="26">
        <v>42299</v>
      </c>
      <c r="AD520" s="26" t="s">
        <v>853</v>
      </c>
      <c r="AE520" s="8" t="s">
        <v>4014</v>
      </c>
      <c r="AF520" s="8">
        <v>75</v>
      </c>
      <c r="AG520" s="8">
        <v>37</v>
      </c>
      <c r="AH520" s="26">
        <v>42299</v>
      </c>
      <c r="AI520" s="8" t="s">
        <v>853</v>
      </c>
      <c r="AJ520" s="8" t="s">
        <v>4015</v>
      </c>
      <c r="AK520" s="8">
        <v>10</v>
      </c>
      <c r="AL520" s="8">
        <v>5</v>
      </c>
      <c r="AM520" s="26">
        <v>42299</v>
      </c>
      <c r="AN520" s="8" t="s">
        <v>853</v>
      </c>
      <c r="AO520" s="8" t="s">
        <v>4016</v>
      </c>
      <c r="AP520" s="8">
        <v>45</v>
      </c>
      <c r="AQ520" s="8">
        <v>22</v>
      </c>
      <c r="CB520" s="26">
        <v>41921</v>
      </c>
      <c r="CC520" s="26" t="s">
        <v>853</v>
      </c>
      <c r="CD520" s="8" t="s">
        <v>2636</v>
      </c>
      <c r="CE520" s="8">
        <v>65</v>
      </c>
      <c r="CF520" s="8">
        <v>33</v>
      </c>
      <c r="CG520" s="26">
        <v>42178</v>
      </c>
      <c r="CH520" s="8" t="s">
        <v>853</v>
      </c>
      <c r="CI520" s="8" t="s">
        <v>3748</v>
      </c>
      <c r="CJ520" s="8">
        <v>190.7</v>
      </c>
      <c r="CK520" s="8">
        <v>95</v>
      </c>
      <c r="CM520" s="8"/>
      <c r="CR520" s="8"/>
    </row>
    <row r="521" spans="1:130" x14ac:dyDescent="0.25">
      <c r="A521" s="8" t="s">
        <v>3971</v>
      </c>
      <c r="B521" s="24" t="s">
        <v>1505</v>
      </c>
      <c r="F521" s="198" t="s">
        <v>3972</v>
      </c>
      <c r="G521" s="198" t="s">
        <v>1700</v>
      </c>
      <c r="H521" s="25" t="s">
        <v>1700</v>
      </c>
      <c r="I521" s="27" t="s">
        <v>3901</v>
      </c>
      <c r="J521" s="27" t="s">
        <v>866</v>
      </c>
      <c r="K521" s="28" t="s">
        <v>858</v>
      </c>
      <c r="CB521" s="278"/>
      <c r="CG521" s="278"/>
    </row>
    <row r="522" spans="1:130" x14ac:dyDescent="0.25">
      <c r="A522" s="8" t="s">
        <v>2037</v>
      </c>
      <c r="B522" s="24" t="s">
        <v>876</v>
      </c>
      <c r="C522" s="25" t="s">
        <v>1786</v>
      </c>
      <c r="E522" s="26" t="s">
        <v>1762</v>
      </c>
      <c r="F522" s="198" t="s">
        <v>810</v>
      </c>
      <c r="G522" s="198" t="s">
        <v>1700</v>
      </c>
      <c r="H522" s="25" t="s">
        <v>1700</v>
      </c>
      <c r="J522" s="27" t="s">
        <v>866</v>
      </c>
      <c r="X522" s="84" t="s">
        <v>1700</v>
      </c>
      <c r="Y522" s="84" t="s">
        <v>743</v>
      </c>
      <c r="AA522" s="84" t="s">
        <v>1787</v>
      </c>
      <c r="AB522" s="84" t="s">
        <v>126</v>
      </c>
      <c r="AD522" s="8"/>
      <c r="BV522" s="8"/>
      <c r="CB522" s="26"/>
      <c r="CC522" s="8"/>
      <c r="CF522" s="8"/>
      <c r="CG522" s="26"/>
      <c r="CH522" s="8"/>
      <c r="CM522" s="8"/>
      <c r="CR522" s="8"/>
      <c r="DU522" s="8"/>
    </row>
    <row r="523" spans="1:130" ht="13.5" x14ac:dyDescent="0.25">
      <c r="A523" s="8" t="s">
        <v>4205</v>
      </c>
      <c r="B523" s="24" t="s">
        <v>4206</v>
      </c>
      <c r="C523" s="25" t="s">
        <v>4204</v>
      </c>
      <c r="E523" s="26" t="s">
        <v>1762</v>
      </c>
      <c r="F523" s="198" t="s">
        <v>977</v>
      </c>
      <c r="G523" s="198" t="s">
        <v>1700</v>
      </c>
      <c r="H523" s="25" t="s">
        <v>4207</v>
      </c>
      <c r="I523" s="27" t="s">
        <v>3902</v>
      </c>
      <c r="J523" s="27" t="s">
        <v>866</v>
      </c>
      <c r="K523" s="28" t="s">
        <v>853</v>
      </c>
      <c r="W523" s="93">
        <v>97</v>
      </c>
      <c r="X523" s="84" t="s">
        <v>1700</v>
      </c>
      <c r="Y523" s="84" t="s">
        <v>4208</v>
      </c>
      <c r="AA523" s="84" t="s">
        <v>4209</v>
      </c>
      <c r="AB523" s="84" t="s">
        <v>4210</v>
      </c>
      <c r="AC523" s="26">
        <v>42313</v>
      </c>
      <c r="AD523" s="26" t="s">
        <v>853</v>
      </c>
      <c r="AE523" s="8" t="s">
        <v>4211</v>
      </c>
      <c r="AF523" s="8">
        <v>195</v>
      </c>
      <c r="AG523" s="8">
        <v>97</v>
      </c>
      <c r="CB523" s="278"/>
      <c r="CG523" s="278"/>
      <c r="DZ523"/>
    </row>
    <row r="524" spans="1:130" ht="13.5" x14ac:dyDescent="0.25">
      <c r="A524" s="8" t="s">
        <v>3230</v>
      </c>
      <c r="B524" s="24" t="s">
        <v>1031</v>
      </c>
      <c r="C524" s="25" t="s">
        <v>3229</v>
      </c>
      <c r="F524" s="198" t="s">
        <v>398</v>
      </c>
      <c r="G524" s="198" t="s">
        <v>1700</v>
      </c>
      <c r="H524" s="25" t="s">
        <v>4784</v>
      </c>
      <c r="I524" s="27" t="s">
        <v>3896</v>
      </c>
      <c r="J524" s="27" t="s">
        <v>866</v>
      </c>
      <c r="K524" s="28" t="s">
        <v>853</v>
      </c>
      <c r="R524" s="29" t="s">
        <v>853</v>
      </c>
      <c r="W524" s="93">
        <v>160</v>
      </c>
      <c r="X524" s="84" t="s">
        <v>1700</v>
      </c>
      <c r="Y524" s="84" t="s">
        <v>2499</v>
      </c>
      <c r="AA524" s="84" t="s">
        <v>4785</v>
      </c>
      <c r="AB524" s="84" t="s">
        <v>126</v>
      </c>
      <c r="AC524" s="26">
        <v>42493</v>
      </c>
      <c r="AD524" s="26" t="s">
        <v>853</v>
      </c>
      <c r="AE524" s="8" t="s">
        <v>4786</v>
      </c>
      <c r="AF524" s="8">
        <v>382.8</v>
      </c>
      <c r="AG524" s="8">
        <v>160</v>
      </c>
      <c r="CB524" s="278">
        <v>41977</v>
      </c>
      <c r="CC524" s="278" t="s">
        <v>853</v>
      </c>
      <c r="CD524" s="279" t="s">
        <v>3231</v>
      </c>
      <c r="CE524" s="8">
        <v>382.8</v>
      </c>
      <c r="CF524" s="279">
        <v>160</v>
      </c>
      <c r="CG524" s="278"/>
      <c r="CH524" s="278"/>
      <c r="CI524" s="279"/>
      <c r="CK524" s="279"/>
      <c r="CL524" s="278"/>
      <c r="CM524" s="278"/>
      <c r="CN524" s="279"/>
      <c r="CP524" s="279"/>
      <c r="CQ524" s="278"/>
      <c r="CR524" s="279"/>
      <c r="CS524" s="279"/>
      <c r="CU524" s="279"/>
      <c r="CV524" s="278"/>
      <c r="CW524" s="279"/>
      <c r="CX524" s="279"/>
      <c r="CZ524" s="279"/>
      <c r="DA524" s="278"/>
      <c r="DB524" s="279"/>
      <c r="DC524" s="279"/>
      <c r="DE524" s="279"/>
      <c r="DF524" s="278"/>
      <c r="DG524" s="279"/>
      <c r="DH524" s="279"/>
      <c r="DJ524" s="279"/>
      <c r="DK524" s="278"/>
      <c r="DL524" s="279"/>
      <c r="DM524" s="279"/>
      <c r="DO524" s="279"/>
      <c r="DP524" s="278"/>
      <c r="DQ524" s="279"/>
      <c r="DR524" s="279"/>
      <c r="DT524" s="279"/>
      <c r="DU524" s="278"/>
      <c r="DV524" s="258"/>
      <c r="DW524" s="258"/>
      <c r="DY524" s="258"/>
    </row>
    <row r="525" spans="1:130" x14ac:dyDescent="0.25">
      <c r="A525" s="8" t="s">
        <v>384</v>
      </c>
      <c r="B525" s="24" t="s">
        <v>2180</v>
      </c>
      <c r="E525" s="26" t="s">
        <v>1762</v>
      </c>
      <c r="F525" s="198" t="s">
        <v>1737</v>
      </c>
      <c r="G525" s="198" t="s">
        <v>1700</v>
      </c>
      <c r="H525" s="25" t="s">
        <v>1738</v>
      </c>
      <c r="J525" s="27" t="s">
        <v>866</v>
      </c>
      <c r="CB525" s="26"/>
      <c r="CC525" s="26"/>
      <c r="CF525" s="8"/>
      <c r="CG525" s="26"/>
      <c r="CH525" s="8"/>
      <c r="CM525" s="8"/>
      <c r="CR525" s="8"/>
      <c r="DZ525" s="279"/>
    </row>
    <row r="526" spans="1:130" x14ac:dyDescent="0.25">
      <c r="A526" s="8" t="s">
        <v>384</v>
      </c>
      <c r="F526" s="198" t="s">
        <v>1700</v>
      </c>
      <c r="G526" s="198" t="s">
        <v>1700</v>
      </c>
      <c r="H526" s="25" t="s">
        <v>1700</v>
      </c>
      <c r="I526" s="27" t="s">
        <v>3893</v>
      </c>
      <c r="J526" s="27" t="s">
        <v>866</v>
      </c>
      <c r="K526" s="28" t="s">
        <v>3906</v>
      </c>
      <c r="CB526" s="278"/>
      <c r="CG526" s="278"/>
    </row>
    <row r="527" spans="1:130" x14ac:dyDescent="0.25">
      <c r="A527" s="8" t="s">
        <v>1533</v>
      </c>
      <c r="B527" s="24" t="s">
        <v>811</v>
      </c>
      <c r="C527" s="25" t="s">
        <v>1534</v>
      </c>
      <c r="D527" s="26">
        <v>20778</v>
      </c>
      <c r="E527" s="26" t="s">
        <v>1762</v>
      </c>
      <c r="F527" s="198" t="s">
        <v>405</v>
      </c>
      <c r="G527" s="198" t="s">
        <v>1700</v>
      </c>
      <c r="H527" s="25" t="s">
        <v>3279</v>
      </c>
      <c r="I527" s="27" t="s">
        <v>3903</v>
      </c>
      <c r="J527" s="27" t="s">
        <v>866</v>
      </c>
      <c r="K527" s="28" t="s">
        <v>853</v>
      </c>
      <c r="R527" s="29" t="s">
        <v>853</v>
      </c>
      <c r="S527" s="8" t="s">
        <v>1416</v>
      </c>
      <c r="W527" s="93">
        <v>160</v>
      </c>
      <c r="X527" s="84" t="s">
        <v>1700</v>
      </c>
      <c r="Y527" s="84" t="s">
        <v>791</v>
      </c>
      <c r="AA527" s="84" t="s">
        <v>1535</v>
      </c>
      <c r="AB527" s="84" t="s">
        <v>126</v>
      </c>
      <c r="AC527" s="26">
        <v>42352</v>
      </c>
      <c r="AD527" s="26" t="s">
        <v>853</v>
      </c>
      <c r="AE527" s="8" t="s">
        <v>4359</v>
      </c>
      <c r="AF527" s="8">
        <v>495</v>
      </c>
      <c r="AG527" s="8">
        <v>160</v>
      </c>
      <c r="CB527" s="26">
        <v>41977</v>
      </c>
      <c r="CC527" s="26" t="s">
        <v>853</v>
      </c>
      <c r="CD527" s="8" t="s">
        <v>3280</v>
      </c>
      <c r="CE527" s="8">
        <v>481.5</v>
      </c>
      <c r="CF527" s="8">
        <v>160</v>
      </c>
      <c r="CG527" s="26"/>
      <c r="CH527" s="8"/>
      <c r="CM527" s="8"/>
      <c r="CR527" s="8"/>
    </row>
    <row r="528" spans="1:130" x14ac:dyDescent="0.25">
      <c r="A528" s="8" t="s">
        <v>3629</v>
      </c>
      <c r="B528" s="24" t="s">
        <v>3630</v>
      </c>
      <c r="C528" s="25" t="s">
        <v>3631</v>
      </c>
      <c r="E528" s="26" t="s">
        <v>1762</v>
      </c>
      <c r="F528" s="198" t="s">
        <v>1700</v>
      </c>
      <c r="G528" s="198" t="s">
        <v>1700</v>
      </c>
      <c r="H528" s="25" t="s">
        <v>1700</v>
      </c>
      <c r="J528" s="27" t="s">
        <v>866</v>
      </c>
      <c r="R528" s="29" t="s">
        <v>859</v>
      </c>
      <c r="X528" s="84" t="s">
        <v>1700</v>
      </c>
      <c r="Y528" s="84" t="s">
        <v>3632</v>
      </c>
      <c r="AA528" s="84" t="s">
        <v>3633</v>
      </c>
      <c r="AB528" s="84" t="s">
        <v>1825</v>
      </c>
      <c r="CB528" s="278">
        <v>42097</v>
      </c>
      <c r="CC528" s="278" t="s">
        <v>859</v>
      </c>
      <c r="CD528" s="8" t="s">
        <v>3634</v>
      </c>
      <c r="CE528" s="8">
        <v>744</v>
      </c>
      <c r="CF528" s="279">
        <v>280</v>
      </c>
      <c r="CG528" s="278"/>
      <c r="DZ528" s="279"/>
    </row>
    <row r="529" spans="1:130" ht="13.5" x14ac:dyDescent="0.25">
      <c r="A529" s="8" t="s">
        <v>1621</v>
      </c>
      <c r="B529" s="24" t="s">
        <v>876</v>
      </c>
      <c r="E529" s="26" t="s">
        <v>1762</v>
      </c>
      <c r="F529" s="198" t="s">
        <v>1700</v>
      </c>
      <c r="G529" s="198" t="s">
        <v>1700</v>
      </c>
      <c r="H529" s="25" t="s">
        <v>1700</v>
      </c>
      <c r="J529" s="27" t="s">
        <v>866</v>
      </c>
      <c r="R529" s="29" t="s">
        <v>1763</v>
      </c>
      <c r="CB529" s="278"/>
      <c r="CD529" s="279"/>
      <c r="CG529" s="278"/>
      <c r="CH529" s="278"/>
      <c r="CI529" s="279"/>
      <c r="CK529" s="279"/>
      <c r="CL529" s="278"/>
      <c r="CM529" s="278"/>
      <c r="CN529" s="279"/>
      <c r="CP529" s="279"/>
      <c r="CQ529" s="278"/>
      <c r="CR529" s="279"/>
      <c r="CS529" s="279"/>
      <c r="CU529" s="279"/>
      <c r="CV529" s="278"/>
      <c r="CW529" s="279"/>
      <c r="CX529" s="279"/>
      <c r="CZ529" s="279"/>
      <c r="DA529" s="278"/>
      <c r="DB529" s="279"/>
      <c r="DC529" s="279"/>
      <c r="DE529" s="279"/>
      <c r="DF529" s="278"/>
      <c r="DG529" s="279"/>
      <c r="DH529" s="279"/>
      <c r="DJ529" s="279"/>
      <c r="DK529" s="279"/>
      <c r="DL529" s="279"/>
      <c r="DM529" s="279"/>
      <c r="DO529" s="279"/>
      <c r="DP529" s="279"/>
      <c r="DQ529" s="279"/>
      <c r="DR529" s="279"/>
      <c r="DT529" s="279"/>
      <c r="DU529" s="279"/>
      <c r="DV529" s="258"/>
      <c r="DW529" s="258"/>
      <c r="DY529" s="258"/>
    </row>
    <row r="530" spans="1:130" x14ac:dyDescent="0.25">
      <c r="A530" s="8" t="s">
        <v>1170</v>
      </c>
      <c r="B530" s="24" t="s">
        <v>1838</v>
      </c>
      <c r="C530" s="25" t="s">
        <v>1171</v>
      </c>
      <c r="E530" s="26" t="s">
        <v>1762</v>
      </c>
      <c r="F530" s="198" t="s">
        <v>1172</v>
      </c>
      <c r="G530" s="198" t="s">
        <v>1700</v>
      </c>
      <c r="H530" s="25" t="s">
        <v>1700</v>
      </c>
      <c r="I530" s="27" t="s">
        <v>3903</v>
      </c>
      <c r="J530" s="27" t="s">
        <v>866</v>
      </c>
      <c r="K530" s="28" t="s">
        <v>853</v>
      </c>
      <c r="W530" s="93">
        <v>160</v>
      </c>
      <c r="X530" s="84" t="s">
        <v>1700</v>
      </c>
      <c r="Y530" s="84" t="s">
        <v>59</v>
      </c>
      <c r="AA530" s="84" t="s">
        <v>1492</v>
      </c>
      <c r="AB530" s="84" t="s">
        <v>348</v>
      </c>
      <c r="AC530" s="26">
        <v>42352</v>
      </c>
      <c r="AD530" s="26" t="s">
        <v>853</v>
      </c>
      <c r="AE530" s="8" t="s">
        <v>4333</v>
      </c>
      <c r="AF530" s="8">
        <v>563.9</v>
      </c>
      <c r="AG530" s="8">
        <v>160</v>
      </c>
      <c r="CA530" s="19"/>
      <c r="CB530" s="26"/>
      <c r="CC530" s="26"/>
      <c r="CF530" s="8"/>
      <c r="CG530" s="26"/>
      <c r="CH530" s="8"/>
      <c r="CM530" s="8"/>
      <c r="CR530" s="8"/>
    </row>
    <row r="531" spans="1:130" x14ac:dyDescent="0.25">
      <c r="A531" s="8" t="s">
        <v>784</v>
      </c>
      <c r="B531" s="24" t="s">
        <v>876</v>
      </c>
      <c r="C531" s="25" t="s">
        <v>783</v>
      </c>
      <c r="E531" s="26" t="s">
        <v>1762</v>
      </c>
      <c r="F531" s="198" t="s">
        <v>1394</v>
      </c>
      <c r="G531" s="198" t="s">
        <v>1700</v>
      </c>
      <c r="H531" s="25" t="s">
        <v>1700</v>
      </c>
      <c r="J531" s="27" t="s">
        <v>866</v>
      </c>
      <c r="Q531" s="95"/>
      <c r="R531" s="17" t="s">
        <v>853</v>
      </c>
      <c r="S531" s="29"/>
      <c r="T531" s="29"/>
      <c r="U531" s="29"/>
      <c r="V531" s="29"/>
      <c r="X531" s="84" t="s">
        <v>1700</v>
      </c>
      <c r="Y531" s="84" t="s">
        <v>246</v>
      </c>
      <c r="AA531" s="84" t="s">
        <v>1078</v>
      </c>
      <c r="AB531" s="84" t="s">
        <v>126</v>
      </c>
      <c r="CB531" s="26">
        <v>41977</v>
      </c>
      <c r="CC531" s="26" t="s">
        <v>853</v>
      </c>
      <c r="CD531" s="8" t="s">
        <v>3292</v>
      </c>
      <c r="CE531" s="8">
        <v>151</v>
      </c>
      <c r="CF531" s="8">
        <v>76</v>
      </c>
      <c r="CG531" s="26"/>
      <c r="CH531" s="8"/>
      <c r="CM531" s="8"/>
      <c r="CR531" s="8"/>
    </row>
    <row r="532" spans="1:130" x14ac:dyDescent="0.25">
      <c r="A532" s="8" t="s">
        <v>3862</v>
      </c>
      <c r="B532" s="24" t="s">
        <v>1094</v>
      </c>
      <c r="F532" s="198" t="s">
        <v>1700</v>
      </c>
      <c r="G532" s="198" t="s">
        <v>1700</v>
      </c>
      <c r="H532" s="25" t="s">
        <v>1700</v>
      </c>
      <c r="J532" s="27" t="s">
        <v>866</v>
      </c>
      <c r="R532" s="29" t="s">
        <v>889</v>
      </c>
      <c r="CB532" s="278"/>
      <c r="CG532" s="278"/>
    </row>
    <row r="533" spans="1:130" x14ac:dyDescent="0.25">
      <c r="A533" s="8" t="s">
        <v>3510</v>
      </c>
      <c r="B533" s="24" t="s">
        <v>3511</v>
      </c>
      <c r="F533" s="198" t="s">
        <v>1392</v>
      </c>
      <c r="G533" s="198" t="s">
        <v>1700</v>
      </c>
      <c r="H533" s="25" t="s">
        <v>1700</v>
      </c>
      <c r="J533" s="27" t="s">
        <v>866</v>
      </c>
      <c r="R533" s="29" t="s">
        <v>854</v>
      </c>
      <c r="CB533" s="278"/>
      <c r="CG533" s="278"/>
    </row>
    <row r="534" spans="1:130" x14ac:dyDescent="0.25">
      <c r="A534" s="8" t="s">
        <v>2153</v>
      </c>
      <c r="B534" s="24" t="s">
        <v>2058</v>
      </c>
      <c r="E534" s="26" t="s">
        <v>877</v>
      </c>
      <c r="F534" s="198" t="s">
        <v>2153</v>
      </c>
      <c r="G534" s="198" t="s">
        <v>915</v>
      </c>
      <c r="H534" s="25" t="s">
        <v>1700</v>
      </c>
      <c r="J534" s="27" t="s">
        <v>866</v>
      </c>
      <c r="CB534" s="278"/>
      <c r="CD534" s="279"/>
      <c r="CE534" s="19"/>
      <c r="CG534" s="278"/>
      <c r="CH534" s="278"/>
      <c r="CI534" s="279"/>
      <c r="CJ534" s="19"/>
      <c r="CK534" s="279"/>
      <c r="CL534" s="278"/>
      <c r="CM534" s="278"/>
      <c r="CN534" s="279"/>
      <c r="CO534" s="19"/>
      <c r="CP534" s="279"/>
      <c r="CQ534" s="278"/>
      <c r="CR534" s="279"/>
      <c r="CS534" s="279"/>
      <c r="CT534" s="19"/>
      <c r="CU534" s="279"/>
      <c r="CV534" s="278"/>
      <c r="CW534" s="279"/>
      <c r="CX534" s="279"/>
      <c r="CY534" s="19"/>
      <c r="CZ534" s="279"/>
      <c r="DA534" s="278"/>
      <c r="DB534" s="279"/>
      <c r="DC534" s="279"/>
      <c r="DD534" s="19"/>
      <c r="DE534" s="279"/>
      <c r="DF534" s="278"/>
      <c r="DG534" s="279"/>
      <c r="DH534" s="279"/>
      <c r="DI534" s="19"/>
      <c r="DJ534" s="279"/>
      <c r="DK534" s="278"/>
      <c r="DL534" s="279"/>
      <c r="DM534" s="279"/>
      <c r="DN534" s="19"/>
      <c r="DO534" s="279"/>
      <c r="DP534" s="278"/>
      <c r="DQ534" s="279"/>
      <c r="DR534" s="279"/>
      <c r="DS534" s="19"/>
      <c r="DT534" s="279"/>
      <c r="DU534" s="278"/>
      <c r="DV534" s="279"/>
      <c r="DW534" s="279"/>
      <c r="DX534" s="19"/>
      <c r="DY534" s="279"/>
    </row>
    <row r="535" spans="1:130" x14ac:dyDescent="0.25">
      <c r="A535" s="8" t="s">
        <v>2153</v>
      </c>
      <c r="B535" s="24" t="s">
        <v>915</v>
      </c>
      <c r="C535" s="25" t="s">
        <v>2043</v>
      </c>
      <c r="E535" s="26" t="s">
        <v>1762</v>
      </c>
      <c r="F535" s="198" t="s">
        <v>49</v>
      </c>
      <c r="G535" s="198" t="s">
        <v>1700</v>
      </c>
      <c r="H535" s="25" t="s">
        <v>4268</v>
      </c>
      <c r="I535" s="27" t="s">
        <v>3902</v>
      </c>
      <c r="J535" s="27" t="s">
        <v>866</v>
      </c>
      <c r="K535" s="28" t="s">
        <v>853</v>
      </c>
      <c r="Q535" s="93"/>
      <c r="R535" s="28"/>
      <c r="S535" s="29"/>
      <c r="T535" s="29"/>
      <c r="U535" s="29"/>
      <c r="V535" s="29"/>
      <c r="W535" s="93">
        <v>160</v>
      </c>
      <c r="X535" s="84" t="s">
        <v>1700</v>
      </c>
      <c r="Y535" s="84" t="s">
        <v>2499</v>
      </c>
      <c r="AA535" s="84" t="s">
        <v>4269</v>
      </c>
      <c r="AB535" s="84" t="s">
        <v>126</v>
      </c>
      <c r="AC535" s="26">
        <v>42334</v>
      </c>
      <c r="AD535" s="26" t="s">
        <v>853</v>
      </c>
      <c r="AE535" s="8" t="s">
        <v>4270</v>
      </c>
      <c r="AF535" s="8">
        <v>800</v>
      </c>
      <c r="AG535" s="8">
        <v>160</v>
      </c>
      <c r="CB535" s="26"/>
      <c r="CC535" s="26"/>
      <c r="CF535" s="8"/>
      <c r="CG535" s="26"/>
      <c r="CH535" s="8"/>
      <c r="CM535" s="8"/>
      <c r="CR535" s="8"/>
    </row>
    <row r="536" spans="1:130" x14ac:dyDescent="0.25">
      <c r="A536" s="8" t="s">
        <v>3695</v>
      </c>
      <c r="B536" s="24" t="s">
        <v>3690</v>
      </c>
      <c r="F536" s="198" t="s">
        <v>1700</v>
      </c>
      <c r="G536" s="198" t="s">
        <v>1700</v>
      </c>
      <c r="H536" s="25" t="s">
        <v>1700</v>
      </c>
      <c r="J536" s="27" t="s">
        <v>866</v>
      </c>
      <c r="R536" s="29" t="s">
        <v>1763</v>
      </c>
      <c r="CB536" s="278"/>
      <c r="CG536" s="278"/>
    </row>
    <row r="537" spans="1:130" ht="13.5" x14ac:dyDescent="0.25">
      <c r="A537" s="8" t="s">
        <v>2196</v>
      </c>
      <c r="B537" s="24" t="s">
        <v>969</v>
      </c>
      <c r="C537" s="25" t="s">
        <v>748</v>
      </c>
      <c r="E537" s="26" t="s">
        <v>1762</v>
      </c>
      <c r="F537" s="198" t="s">
        <v>914</v>
      </c>
      <c r="G537" s="198" t="s">
        <v>1700</v>
      </c>
      <c r="H537" s="25" t="s">
        <v>2637</v>
      </c>
      <c r="I537" s="27" t="s">
        <v>3901</v>
      </c>
      <c r="J537" s="27" t="s">
        <v>866</v>
      </c>
      <c r="K537" s="28" t="s">
        <v>853</v>
      </c>
      <c r="Q537" s="93"/>
      <c r="R537" s="28" t="s">
        <v>853</v>
      </c>
      <c r="S537" s="21"/>
      <c r="T537" s="21"/>
      <c r="U537" s="21"/>
      <c r="V537" s="21"/>
      <c r="W537" s="93">
        <v>160</v>
      </c>
      <c r="X537" s="84" t="s">
        <v>1700</v>
      </c>
      <c r="Y537" s="84" t="s">
        <v>791</v>
      </c>
      <c r="AA537" s="84" t="s">
        <v>1080</v>
      </c>
      <c r="AB537" s="84" t="s">
        <v>126</v>
      </c>
      <c r="AC537" s="26">
        <v>42299</v>
      </c>
      <c r="AD537" s="26" t="s">
        <v>853</v>
      </c>
      <c r="AE537" s="8" t="s">
        <v>3946</v>
      </c>
      <c r="AF537" s="8">
        <v>930</v>
      </c>
      <c r="AG537" s="8">
        <v>160</v>
      </c>
      <c r="CB537" s="26">
        <v>41921</v>
      </c>
      <c r="CC537" s="26" t="s">
        <v>853</v>
      </c>
      <c r="CD537" s="8" t="s">
        <v>2638</v>
      </c>
      <c r="CE537" s="8">
        <v>920</v>
      </c>
      <c r="CF537" s="8">
        <v>160</v>
      </c>
      <c r="CG537" s="26"/>
      <c r="CH537" s="8"/>
      <c r="CM537" s="8"/>
      <c r="CR537" s="8"/>
      <c r="DZ537" s="258"/>
    </row>
    <row r="538" spans="1:130" x14ac:dyDescent="0.25">
      <c r="A538" s="8" t="s">
        <v>719</v>
      </c>
      <c r="B538" s="24" t="s">
        <v>1822</v>
      </c>
      <c r="C538" s="25" t="s">
        <v>720</v>
      </c>
      <c r="E538" s="26" t="s">
        <v>1762</v>
      </c>
      <c r="F538" s="198" t="s">
        <v>1317</v>
      </c>
      <c r="G538" s="198" t="s">
        <v>1700</v>
      </c>
      <c r="H538" s="25" t="s">
        <v>1700</v>
      </c>
      <c r="J538" s="27" t="s">
        <v>866</v>
      </c>
      <c r="R538" s="29" t="s">
        <v>853</v>
      </c>
      <c r="X538" s="84" t="s">
        <v>1700</v>
      </c>
      <c r="Y538" s="84" t="s">
        <v>1729</v>
      </c>
      <c r="AA538" s="84" t="s">
        <v>721</v>
      </c>
      <c r="AB538" s="84" t="s">
        <v>1494</v>
      </c>
      <c r="CB538" s="26">
        <v>41921</v>
      </c>
      <c r="CC538" s="26" t="s">
        <v>853</v>
      </c>
      <c r="CD538" s="8" t="s">
        <v>2656</v>
      </c>
      <c r="CE538" s="8">
        <v>195</v>
      </c>
      <c r="CF538" s="8">
        <v>98</v>
      </c>
      <c r="CG538" s="26"/>
      <c r="CH538" s="8"/>
      <c r="CM538" s="8"/>
      <c r="CR538" s="8"/>
    </row>
    <row r="539" spans="1:130" x14ac:dyDescent="0.25">
      <c r="A539" s="8" t="s">
        <v>2038</v>
      </c>
      <c r="B539" s="24" t="s">
        <v>915</v>
      </c>
      <c r="C539" s="25" t="s">
        <v>2039</v>
      </c>
      <c r="E539" s="26" t="s">
        <v>1764</v>
      </c>
      <c r="F539" s="198" t="s">
        <v>968</v>
      </c>
      <c r="G539" s="198" t="s">
        <v>1700</v>
      </c>
      <c r="H539" s="25" t="s">
        <v>3017</v>
      </c>
      <c r="J539" s="27" t="s">
        <v>866</v>
      </c>
      <c r="Q539" s="95"/>
      <c r="R539" s="17" t="s">
        <v>853</v>
      </c>
      <c r="S539" s="29"/>
      <c r="T539" s="29"/>
      <c r="U539" s="29"/>
      <c r="V539" s="29"/>
      <c r="X539" s="84" t="s">
        <v>1700</v>
      </c>
      <c r="Y539" s="84" t="s">
        <v>2499</v>
      </c>
      <c r="AA539" s="84" t="s">
        <v>1081</v>
      </c>
      <c r="AB539" s="84" t="s">
        <v>126</v>
      </c>
      <c r="CB539" s="26">
        <v>41943</v>
      </c>
      <c r="CC539" s="26" t="s">
        <v>853</v>
      </c>
      <c r="CD539" s="8" t="s">
        <v>3018</v>
      </c>
      <c r="CE539" s="8">
        <v>320</v>
      </c>
      <c r="CF539" s="8">
        <v>160</v>
      </c>
      <c r="CG539" s="26"/>
      <c r="CH539" s="8"/>
      <c r="CM539" s="8"/>
      <c r="CR539" s="8"/>
    </row>
    <row r="540" spans="1:130" x14ac:dyDescent="0.25">
      <c r="A540" s="8" t="s">
        <v>4037</v>
      </c>
      <c r="B540" s="24" t="s">
        <v>921</v>
      </c>
      <c r="F540" s="198" t="s">
        <v>1700</v>
      </c>
      <c r="G540" s="198" t="s">
        <v>1700</v>
      </c>
      <c r="H540" s="25" t="s">
        <v>1700</v>
      </c>
      <c r="I540" s="27" t="s">
        <v>3902</v>
      </c>
      <c r="J540" s="27" t="s">
        <v>866</v>
      </c>
      <c r="K540" s="28" t="s">
        <v>3907</v>
      </c>
      <c r="P540" s="17">
        <v>1</v>
      </c>
      <c r="CB540" s="278"/>
      <c r="CG540" s="278"/>
    </row>
    <row r="541" spans="1:130" x14ac:dyDescent="0.25">
      <c r="A541" s="8" t="s">
        <v>737</v>
      </c>
      <c r="B541" s="24" t="s">
        <v>1508</v>
      </c>
      <c r="C541" s="25" t="s">
        <v>774</v>
      </c>
      <c r="E541" s="26" t="s">
        <v>1764</v>
      </c>
      <c r="F541" s="198" t="s">
        <v>1879</v>
      </c>
      <c r="G541" s="198" t="s">
        <v>1700</v>
      </c>
      <c r="H541" s="25" t="s">
        <v>4494</v>
      </c>
      <c r="I541" s="27" t="s">
        <v>3903</v>
      </c>
      <c r="J541" s="27" t="s">
        <v>866</v>
      </c>
      <c r="K541" s="28" t="s">
        <v>853</v>
      </c>
      <c r="R541" s="29" t="s">
        <v>853</v>
      </c>
      <c r="W541" s="93">
        <v>160</v>
      </c>
      <c r="X541" s="84" t="s">
        <v>1700</v>
      </c>
      <c r="Y541" s="84" t="s">
        <v>246</v>
      </c>
      <c r="AA541" s="84" t="s">
        <v>1082</v>
      </c>
      <c r="AB541" s="84" t="s">
        <v>126</v>
      </c>
      <c r="AC541" s="26">
        <v>42360</v>
      </c>
      <c r="AD541" s="26" t="s">
        <v>853</v>
      </c>
      <c r="AE541" s="8" t="s">
        <v>4495</v>
      </c>
      <c r="AF541" s="8">
        <v>504</v>
      </c>
      <c r="AG541" s="8">
        <v>160</v>
      </c>
      <c r="CB541" s="26">
        <v>41977</v>
      </c>
      <c r="CC541" s="26" t="s">
        <v>853</v>
      </c>
      <c r="CD541" s="8" t="s">
        <v>3324</v>
      </c>
      <c r="CE541" s="8">
        <v>504</v>
      </c>
      <c r="CF541" s="8">
        <v>160</v>
      </c>
      <c r="CG541" s="26"/>
      <c r="CH541" s="8"/>
      <c r="CM541" s="8"/>
      <c r="CR541" s="8"/>
    </row>
    <row r="542" spans="1:130" x14ac:dyDescent="0.25">
      <c r="A542" s="8" t="s">
        <v>2268</v>
      </c>
      <c r="B542" s="24" t="s">
        <v>921</v>
      </c>
      <c r="E542" s="26" t="s">
        <v>1762</v>
      </c>
      <c r="F542" s="198" t="s">
        <v>1700</v>
      </c>
      <c r="G542" s="198" t="s">
        <v>1700</v>
      </c>
      <c r="H542" s="25" t="s">
        <v>1700</v>
      </c>
      <c r="J542" s="27" t="s">
        <v>866</v>
      </c>
      <c r="R542" s="29" t="s">
        <v>1763</v>
      </c>
      <c r="CB542" s="278"/>
      <c r="CD542" s="279"/>
      <c r="CG542" s="278"/>
      <c r="CH542" s="278"/>
      <c r="CI542" s="279"/>
      <c r="CK542" s="279"/>
      <c r="CL542" s="278"/>
      <c r="CM542" s="278"/>
      <c r="CN542" s="279"/>
      <c r="CP542" s="279"/>
      <c r="CQ542" s="278"/>
      <c r="CR542" s="279"/>
      <c r="CS542" s="279"/>
      <c r="CU542" s="279"/>
      <c r="CV542" s="278"/>
      <c r="CW542" s="279"/>
      <c r="CX542" s="279"/>
      <c r="CZ542" s="279"/>
      <c r="DA542" s="278"/>
      <c r="DB542" s="279"/>
      <c r="DC542" s="279"/>
      <c r="DE542" s="279"/>
      <c r="DF542" s="278"/>
      <c r="DG542" s="279"/>
      <c r="DH542" s="279"/>
      <c r="DJ542" s="279"/>
      <c r="DK542" s="278"/>
      <c r="DL542" s="279"/>
      <c r="DM542" s="279"/>
      <c r="DO542" s="279"/>
      <c r="DP542" s="278"/>
      <c r="DQ542" s="279"/>
      <c r="DR542" s="279"/>
      <c r="DT542" s="279"/>
      <c r="DU542" s="278"/>
      <c r="DV542" s="279"/>
      <c r="DW542" s="279"/>
      <c r="DY542" s="279"/>
      <c r="DZ542" s="19"/>
    </row>
    <row r="543" spans="1:130" x14ac:dyDescent="0.25">
      <c r="A543" s="8" t="s">
        <v>140</v>
      </c>
      <c r="B543" s="24" t="s">
        <v>1603</v>
      </c>
      <c r="F543" s="198" t="s">
        <v>1700</v>
      </c>
      <c r="G543" s="198" t="s">
        <v>1700</v>
      </c>
      <c r="H543" s="25" t="s">
        <v>1700</v>
      </c>
      <c r="I543" s="27" t="s">
        <v>3897</v>
      </c>
      <c r="J543" s="27" t="s">
        <v>866</v>
      </c>
      <c r="K543" s="28" t="s">
        <v>3907</v>
      </c>
      <c r="P543" s="17">
        <v>1</v>
      </c>
      <c r="CB543" s="278"/>
      <c r="CG543" s="278"/>
    </row>
    <row r="544" spans="1:130" x14ac:dyDescent="0.25">
      <c r="A544" s="8" t="s">
        <v>140</v>
      </c>
      <c r="B544" s="24" t="s">
        <v>141</v>
      </c>
      <c r="E544" s="26" t="s">
        <v>1762</v>
      </c>
      <c r="F544" s="198" t="s">
        <v>1700</v>
      </c>
      <c r="G544" s="198" t="s">
        <v>1700</v>
      </c>
      <c r="H544" s="25" t="s">
        <v>1700</v>
      </c>
      <c r="J544" s="27" t="s">
        <v>866</v>
      </c>
      <c r="R544" s="29" t="s">
        <v>1972</v>
      </c>
      <c r="CB544" s="26"/>
      <c r="CC544" s="26"/>
      <c r="CF544" s="8"/>
      <c r="CG544" s="26"/>
      <c r="CH544" s="8"/>
      <c r="CM544" s="8"/>
      <c r="CR544" s="8"/>
    </row>
    <row r="545" spans="1:225" x14ac:dyDescent="0.25">
      <c r="A545" s="8" t="s">
        <v>3680</v>
      </c>
      <c r="B545" s="24" t="s">
        <v>755</v>
      </c>
      <c r="C545" s="25" t="s">
        <v>3679</v>
      </c>
      <c r="E545" s="26" t="s">
        <v>1762</v>
      </c>
      <c r="F545" s="198" t="s">
        <v>134</v>
      </c>
      <c r="G545" s="198" t="s">
        <v>1700</v>
      </c>
      <c r="H545" s="25" t="s">
        <v>1700</v>
      </c>
      <c r="J545" s="27" t="s">
        <v>866</v>
      </c>
      <c r="R545" s="29" t="s">
        <v>1126</v>
      </c>
      <c r="CB545" s="278">
        <v>42094</v>
      </c>
      <c r="CC545" s="278" t="s">
        <v>1126</v>
      </c>
      <c r="CD545" s="8" t="s">
        <v>3675</v>
      </c>
      <c r="CE545" s="8">
        <v>40.700000000000003</v>
      </c>
      <c r="CF545" s="279">
        <v>20.350000000000001</v>
      </c>
      <c r="CG545" s="278"/>
    </row>
    <row r="546" spans="1:225" x14ac:dyDescent="0.25">
      <c r="A546" s="8" t="s">
        <v>1932</v>
      </c>
      <c r="B546" s="24" t="s">
        <v>1509</v>
      </c>
      <c r="C546" s="25" t="s">
        <v>1933</v>
      </c>
      <c r="E546" s="26" t="s">
        <v>1762</v>
      </c>
      <c r="F546" s="198" t="s">
        <v>891</v>
      </c>
      <c r="G546" s="198" t="s">
        <v>3139</v>
      </c>
      <c r="H546" s="25" t="s">
        <v>3777</v>
      </c>
      <c r="J546" s="27" t="s">
        <v>866</v>
      </c>
      <c r="R546" s="29" t="s">
        <v>853</v>
      </c>
      <c r="X546" s="84" t="s">
        <v>1700</v>
      </c>
      <c r="Y546" s="84" t="s">
        <v>791</v>
      </c>
      <c r="AA546" s="84" t="s">
        <v>1934</v>
      </c>
      <c r="AB546" s="84" t="s">
        <v>126</v>
      </c>
      <c r="CB546" s="26">
        <v>42188</v>
      </c>
      <c r="CC546" s="26" t="s">
        <v>853</v>
      </c>
      <c r="CD546" s="8" t="s">
        <v>3778</v>
      </c>
      <c r="CE546" s="8">
        <v>380</v>
      </c>
      <c r="CF546" s="8">
        <v>160</v>
      </c>
      <c r="CG546" s="26"/>
      <c r="CH546" s="8"/>
      <c r="CM546" s="8"/>
      <c r="CR546" s="8"/>
    </row>
    <row r="547" spans="1:225" x14ac:dyDescent="0.25">
      <c r="A547" s="8" t="s">
        <v>4160</v>
      </c>
      <c r="B547" s="24" t="s">
        <v>4161</v>
      </c>
      <c r="E547" s="26" t="s">
        <v>1762</v>
      </c>
      <c r="F547" s="198" t="s">
        <v>1700</v>
      </c>
      <c r="G547" s="198" t="s">
        <v>1700</v>
      </c>
      <c r="H547" s="25" t="s">
        <v>1700</v>
      </c>
      <c r="J547" s="27" t="s">
        <v>866</v>
      </c>
      <c r="L547" s="29" t="s">
        <v>3906</v>
      </c>
      <c r="CB547" s="278"/>
      <c r="CG547" s="278"/>
    </row>
    <row r="548" spans="1:225" x14ac:dyDescent="0.25">
      <c r="A548" s="8" t="s">
        <v>4940</v>
      </c>
      <c r="B548" s="24" t="s">
        <v>1655</v>
      </c>
      <c r="F548" s="198" t="s">
        <v>1700</v>
      </c>
      <c r="G548" s="198" t="s">
        <v>1700</v>
      </c>
      <c r="H548" s="25" t="s">
        <v>1700</v>
      </c>
      <c r="I548" s="27" t="s">
        <v>3898</v>
      </c>
      <c r="J548" s="27" t="s">
        <v>866</v>
      </c>
      <c r="K548" s="28" t="s">
        <v>3907</v>
      </c>
      <c r="P548" s="17">
        <v>1</v>
      </c>
      <c r="CB548" s="278"/>
      <c r="CG548" s="278"/>
    </row>
    <row r="549" spans="1:225" x14ac:dyDescent="0.25">
      <c r="A549" s="8" t="s">
        <v>634</v>
      </c>
      <c r="B549" s="24" t="s">
        <v>1130</v>
      </c>
      <c r="E549" s="26" t="s">
        <v>1762</v>
      </c>
      <c r="F549" s="198" t="s">
        <v>1700</v>
      </c>
      <c r="G549" s="198" t="s">
        <v>1700</v>
      </c>
      <c r="H549" s="25" t="s">
        <v>1700</v>
      </c>
      <c r="J549" s="27" t="s">
        <v>866</v>
      </c>
      <c r="R549" s="29" t="s">
        <v>1763</v>
      </c>
      <c r="CB549" s="26"/>
      <c r="CC549" s="26"/>
      <c r="CF549" s="8"/>
      <c r="CG549" s="26"/>
      <c r="CH549" s="8"/>
      <c r="CM549" s="8"/>
      <c r="CR549" s="8"/>
    </row>
    <row r="550" spans="1:225" ht="13.5" x14ac:dyDescent="0.25">
      <c r="A550" s="8" t="s">
        <v>520</v>
      </c>
      <c r="B550" s="24" t="s">
        <v>521</v>
      </c>
      <c r="C550" s="25" t="s">
        <v>522</v>
      </c>
      <c r="E550" s="26" t="s">
        <v>1762</v>
      </c>
      <c r="F550" s="198" t="s">
        <v>1899</v>
      </c>
      <c r="G550" s="198" t="s">
        <v>1700</v>
      </c>
      <c r="H550" s="25" t="s">
        <v>1700</v>
      </c>
      <c r="I550" s="27" t="s">
        <v>3902</v>
      </c>
      <c r="J550" s="27" t="s">
        <v>866</v>
      </c>
      <c r="K550" s="28" t="s">
        <v>854</v>
      </c>
      <c r="L550" s="29" t="s">
        <v>3907</v>
      </c>
      <c r="P550" s="17">
        <v>1</v>
      </c>
      <c r="X550" s="84" t="s">
        <v>1700</v>
      </c>
      <c r="Y550" s="84" t="s">
        <v>791</v>
      </c>
      <c r="AA550" s="84" t="s">
        <v>523</v>
      </c>
      <c r="AB550" s="84" t="s">
        <v>126</v>
      </c>
      <c r="CB550" s="26"/>
      <c r="CC550" s="26"/>
      <c r="CF550" s="8"/>
      <c r="CG550" s="26"/>
      <c r="CH550" s="8"/>
      <c r="CM550" s="8"/>
      <c r="CR550" s="8"/>
      <c r="DZ550" s="258"/>
    </row>
    <row r="551" spans="1:225" x14ac:dyDescent="0.25">
      <c r="A551" s="8" t="s">
        <v>520</v>
      </c>
      <c r="B551" s="24" t="s">
        <v>521</v>
      </c>
      <c r="D551" s="26">
        <v>31800</v>
      </c>
      <c r="E551" s="26" t="s">
        <v>1762</v>
      </c>
      <c r="F551" s="198" t="s">
        <v>1343</v>
      </c>
      <c r="G551" s="198" t="s">
        <v>1700</v>
      </c>
      <c r="H551" s="25" t="s">
        <v>1700</v>
      </c>
      <c r="J551" s="27" t="s">
        <v>866</v>
      </c>
      <c r="R551" s="29" t="s">
        <v>1763</v>
      </c>
      <c r="S551" s="8" t="s">
        <v>855</v>
      </c>
      <c r="CB551" s="278"/>
      <c r="CG551" s="278"/>
    </row>
    <row r="552" spans="1:225" x14ac:dyDescent="0.25">
      <c r="A552" s="8" t="s">
        <v>2992</v>
      </c>
      <c r="B552" s="24" t="s">
        <v>271</v>
      </c>
      <c r="C552" s="25" t="s">
        <v>2991</v>
      </c>
      <c r="E552" s="26" t="s">
        <v>1762</v>
      </c>
      <c r="F552" s="198" t="s">
        <v>874</v>
      </c>
      <c r="G552" s="198" t="s">
        <v>1700</v>
      </c>
      <c r="H552" s="25" t="s">
        <v>2993</v>
      </c>
      <c r="I552" s="27" t="s">
        <v>3902</v>
      </c>
      <c r="J552" s="27" t="s">
        <v>866</v>
      </c>
      <c r="K552" s="28" t="s">
        <v>853</v>
      </c>
      <c r="R552" s="29" t="s">
        <v>853</v>
      </c>
      <c r="W552" s="93">
        <v>153</v>
      </c>
      <c r="X552" s="84" t="s">
        <v>1700</v>
      </c>
      <c r="Y552" s="84" t="s">
        <v>2499</v>
      </c>
      <c r="AA552" s="84" t="s">
        <v>2994</v>
      </c>
      <c r="AB552" s="84" t="s">
        <v>126</v>
      </c>
      <c r="AC552" s="26">
        <v>42334</v>
      </c>
      <c r="AD552" s="26" t="s">
        <v>853</v>
      </c>
      <c r="AE552" s="8" t="s">
        <v>4312</v>
      </c>
      <c r="AF552" s="8">
        <v>144.80000000000001</v>
      </c>
      <c r="AG552" s="8">
        <v>77</v>
      </c>
      <c r="AH552" s="26">
        <v>42334</v>
      </c>
      <c r="AI552" s="8" t="s">
        <v>853</v>
      </c>
      <c r="AJ552" s="8" t="s">
        <v>4313</v>
      </c>
      <c r="AK552" s="8">
        <v>59</v>
      </c>
      <c r="AL552" s="8">
        <v>29</v>
      </c>
      <c r="AM552" s="26">
        <v>42545</v>
      </c>
      <c r="AN552" s="8" t="s">
        <v>853</v>
      </c>
      <c r="AO552" s="8" t="s">
        <v>4840</v>
      </c>
      <c r="AP552" s="8">
        <v>95</v>
      </c>
      <c r="AQ552" s="8">
        <v>47</v>
      </c>
      <c r="CB552" s="26">
        <v>41943</v>
      </c>
      <c r="CC552" s="26" t="s">
        <v>853</v>
      </c>
      <c r="CD552" s="8" t="s">
        <v>2995</v>
      </c>
      <c r="CE552" s="8">
        <v>86</v>
      </c>
      <c r="CF552" s="8">
        <v>43</v>
      </c>
      <c r="CG552" s="26">
        <v>42074</v>
      </c>
      <c r="CH552" s="8" t="s">
        <v>853</v>
      </c>
      <c r="CI552" s="8" t="s">
        <v>3525</v>
      </c>
      <c r="CJ552" s="8">
        <v>84</v>
      </c>
      <c r="CK552" s="8">
        <v>42</v>
      </c>
      <c r="CM552" s="8"/>
      <c r="CR552" s="8"/>
    </row>
    <row r="553" spans="1:225" ht="13.5" x14ac:dyDescent="0.25">
      <c r="A553" s="8" t="s">
        <v>65</v>
      </c>
      <c r="B553" s="24" t="s">
        <v>66</v>
      </c>
      <c r="F553" s="198" t="s">
        <v>1715</v>
      </c>
      <c r="G553" s="198" t="s">
        <v>1700</v>
      </c>
      <c r="H553" s="25" t="s">
        <v>67</v>
      </c>
      <c r="J553" s="27" t="s">
        <v>866</v>
      </c>
      <c r="CB553" s="278"/>
      <c r="CD553" s="279"/>
      <c r="CG553" s="278"/>
      <c r="CH553" s="278"/>
      <c r="CI553" s="279"/>
      <c r="CK553" s="279"/>
      <c r="CL553" s="278"/>
      <c r="CM553" s="278"/>
      <c r="CN553" s="279"/>
      <c r="CP553" s="279"/>
      <c r="CQ553" s="258"/>
      <c r="CR553" s="258"/>
      <c r="CS553" s="258"/>
      <c r="CU553" s="258"/>
      <c r="CV553" s="258"/>
      <c r="CW553" s="258"/>
      <c r="CX553" s="258"/>
      <c r="CZ553" s="258"/>
      <c r="DA553" s="258"/>
      <c r="DB553" s="258"/>
      <c r="DC553" s="258"/>
      <c r="DE553" s="258"/>
      <c r="DF553" s="258"/>
      <c r="DG553" s="258"/>
      <c r="DH553" s="258"/>
      <c r="DJ553" s="258"/>
      <c r="DK553" s="258"/>
      <c r="DL553" s="258"/>
      <c r="DM553" s="258"/>
      <c r="DO553" s="258"/>
      <c r="DP553" s="258"/>
      <c r="DQ553" s="258"/>
      <c r="DR553" s="258"/>
      <c r="DT553" s="258"/>
      <c r="DU553" s="258"/>
      <c r="DV553" s="258"/>
      <c r="DW553" s="258"/>
      <c r="DY553" s="258"/>
    </row>
    <row r="554" spans="1:225" x14ac:dyDescent="0.25">
      <c r="A554" s="19" t="s">
        <v>1510</v>
      </c>
      <c r="B554" s="12" t="s">
        <v>954</v>
      </c>
      <c r="C554" s="13" t="s">
        <v>1708</v>
      </c>
      <c r="D554" s="14">
        <v>22331</v>
      </c>
      <c r="E554" s="14" t="s">
        <v>1762</v>
      </c>
      <c r="F554" s="199" t="s">
        <v>1710</v>
      </c>
      <c r="G554" s="199" t="s">
        <v>1712</v>
      </c>
      <c r="H554" s="13" t="s">
        <v>1711</v>
      </c>
      <c r="I554" s="20" t="s">
        <v>3902</v>
      </c>
      <c r="J554" s="20" t="s">
        <v>866</v>
      </c>
      <c r="K554" s="17" t="s">
        <v>817</v>
      </c>
      <c r="L554" s="21"/>
      <c r="M554" s="21"/>
      <c r="N554" s="21"/>
      <c r="O554" s="21"/>
      <c r="Q554" s="95"/>
      <c r="R554" s="17" t="s">
        <v>817</v>
      </c>
      <c r="S554" s="21" t="s">
        <v>757</v>
      </c>
      <c r="T554" s="29"/>
      <c r="U554" s="29"/>
      <c r="V554" s="29"/>
      <c r="W554" s="95"/>
      <c r="AE554" s="19"/>
      <c r="AF554" s="19"/>
      <c r="AG554" s="19"/>
      <c r="AI554" s="19"/>
      <c r="AJ554" s="19"/>
      <c r="AK554" s="19"/>
      <c r="AL554" s="19"/>
      <c r="AN554" s="19"/>
      <c r="AO554" s="19"/>
      <c r="AP554" s="19"/>
      <c r="AQ554" s="19"/>
      <c r="AS554" s="19"/>
      <c r="AT554" s="19"/>
      <c r="AU554" s="19"/>
      <c r="AV554" s="19"/>
      <c r="AX554" s="19"/>
      <c r="AY554" s="19"/>
      <c r="AZ554" s="19"/>
      <c r="BA554" s="19"/>
      <c r="BC554" s="19"/>
      <c r="BD554" s="19"/>
      <c r="BE554" s="19"/>
      <c r="BF554" s="19"/>
      <c r="BH554" s="19"/>
      <c r="BI554" s="19"/>
      <c r="BJ554" s="19"/>
      <c r="BK554" s="19"/>
      <c r="BM554" s="19"/>
      <c r="BN554" s="19"/>
      <c r="BO554" s="19"/>
      <c r="BP554" s="19"/>
      <c r="BR554" s="19"/>
      <c r="BS554" s="19"/>
      <c r="BT554" s="19"/>
      <c r="BU554" s="19"/>
      <c r="BW554" s="19"/>
      <c r="BX554" s="19"/>
      <c r="BY554" s="19"/>
      <c r="BZ554" s="19"/>
      <c r="CB554" s="26"/>
      <c r="CC554" s="26"/>
      <c r="CD554" s="19"/>
      <c r="CE554" s="19"/>
      <c r="CF554" s="19"/>
      <c r="CG554" s="26"/>
      <c r="CH554" s="19"/>
      <c r="CI554" s="19"/>
      <c r="CJ554" s="19"/>
      <c r="CK554" s="19"/>
      <c r="CM554" s="19"/>
      <c r="CN554" s="19"/>
      <c r="CO554" s="19"/>
      <c r="CP554" s="19"/>
      <c r="CR554" s="19"/>
      <c r="CS554" s="19"/>
      <c r="CT554" s="19"/>
      <c r="CU554" s="19"/>
      <c r="CW554" s="19"/>
      <c r="CX554" s="19"/>
      <c r="CY554" s="19"/>
      <c r="CZ554" s="19"/>
      <c r="DB554" s="19"/>
      <c r="DC554" s="19"/>
      <c r="DD554" s="19"/>
      <c r="DE554" s="19"/>
      <c r="DG554" s="19"/>
      <c r="DH554" s="19"/>
      <c r="DI554" s="19"/>
      <c r="DJ554" s="19"/>
      <c r="DL554" s="19"/>
      <c r="DM554" s="19"/>
      <c r="DN554" s="19"/>
      <c r="DO554" s="19"/>
      <c r="DQ554" s="19"/>
      <c r="DR554" s="19"/>
      <c r="DS554" s="19"/>
      <c r="DT554" s="19"/>
      <c r="DV554" s="19"/>
      <c r="DW554" s="19"/>
      <c r="DX554" s="19"/>
      <c r="DY554" s="19"/>
    </row>
    <row r="555" spans="1:225" ht="13.5" x14ac:dyDescent="0.25">
      <c r="A555" s="8" t="s">
        <v>1033</v>
      </c>
      <c r="B555" s="24" t="s">
        <v>1034</v>
      </c>
      <c r="E555" s="26" t="s">
        <v>1762</v>
      </c>
      <c r="F555" s="198" t="s">
        <v>852</v>
      </c>
      <c r="G555" s="198" t="s">
        <v>1700</v>
      </c>
      <c r="H555" s="25" t="s">
        <v>1700</v>
      </c>
      <c r="I555" s="27" t="s">
        <v>3893</v>
      </c>
      <c r="J555" s="27" t="s">
        <v>866</v>
      </c>
      <c r="K555" s="28" t="s">
        <v>816</v>
      </c>
      <c r="R555" s="29" t="s">
        <v>1763</v>
      </c>
      <c r="S555" s="8" t="s">
        <v>816</v>
      </c>
      <c r="T555" s="8" t="s">
        <v>855</v>
      </c>
      <c r="CB555" s="278"/>
      <c r="CD555" s="279"/>
      <c r="CG555" s="278"/>
      <c r="CH555" s="278"/>
      <c r="CI555" s="279"/>
      <c r="CK555" s="279"/>
      <c r="CL555" s="278"/>
      <c r="CM555" s="278"/>
      <c r="CN555" s="279"/>
      <c r="CP555" s="279"/>
      <c r="CQ555" s="258"/>
      <c r="CR555" s="258"/>
      <c r="CS555" s="258"/>
      <c r="CU555" s="258"/>
      <c r="CV555" s="258"/>
      <c r="CW555" s="258"/>
      <c r="CX555" s="258"/>
      <c r="CZ555" s="258"/>
      <c r="DA555" s="258"/>
      <c r="DB555" s="258"/>
      <c r="DC555" s="258"/>
      <c r="DE555" s="258"/>
      <c r="DF555" s="258"/>
      <c r="DG555" s="258"/>
      <c r="DH555" s="258"/>
      <c r="DJ555" s="258"/>
      <c r="DK555" s="258"/>
      <c r="DL555" s="258"/>
      <c r="DM555" s="258"/>
      <c r="DO555" s="258"/>
      <c r="DP555" s="258"/>
      <c r="DQ555" s="258"/>
      <c r="DR555" s="258"/>
      <c r="DT555" s="258"/>
      <c r="DU555" s="258"/>
      <c r="DV555" s="258"/>
      <c r="DW555" s="258"/>
      <c r="DY555" s="258"/>
    </row>
    <row r="556" spans="1:225" ht="13.5" x14ac:dyDescent="0.25">
      <c r="A556" s="8" t="s">
        <v>3676</v>
      </c>
      <c r="B556" s="24" t="s">
        <v>2145</v>
      </c>
      <c r="C556" s="25" t="s">
        <v>3681</v>
      </c>
      <c r="E556" s="26" t="s">
        <v>1762</v>
      </c>
      <c r="F556" s="198" t="s">
        <v>134</v>
      </c>
      <c r="G556" s="198" t="s">
        <v>1700</v>
      </c>
      <c r="H556" s="25" t="s">
        <v>1700</v>
      </c>
      <c r="J556" s="27" t="s">
        <v>866</v>
      </c>
      <c r="R556" s="29" t="s">
        <v>1126</v>
      </c>
      <c r="CB556" s="278">
        <v>42094</v>
      </c>
      <c r="CC556" s="278" t="s">
        <v>1126</v>
      </c>
      <c r="CD556" s="8" t="s">
        <v>3675</v>
      </c>
      <c r="CE556" s="8">
        <v>40.700000000000003</v>
      </c>
      <c r="CF556" s="279">
        <v>20.350000000000001</v>
      </c>
      <c r="CG556" s="278"/>
      <c r="DZ556" s="258"/>
    </row>
    <row r="557" spans="1:225" x14ac:dyDescent="0.25">
      <c r="A557" s="8" t="s">
        <v>1511</v>
      </c>
      <c r="B557" s="24" t="s">
        <v>322</v>
      </c>
      <c r="C557" s="25" t="s">
        <v>321</v>
      </c>
      <c r="E557" s="26" t="s">
        <v>1762</v>
      </c>
      <c r="F557" s="198" t="s">
        <v>959</v>
      </c>
      <c r="G557" s="198" t="s">
        <v>1700</v>
      </c>
      <c r="H557" s="25" t="s">
        <v>3236</v>
      </c>
      <c r="I557" s="27" t="s">
        <v>3893</v>
      </c>
      <c r="J557" s="27" t="s">
        <v>866</v>
      </c>
      <c r="K557" s="28" t="s">
        <v>853</v>
      </c>
      <c r="Q557" s="93"/>
      <c r="R557" s="28" t="s">
        <v>853</v>
      </c>
      <c r="S557" s="29"/>
      <c r="T557" s="29"/>
      <c r="U557" s="29"/>
      <c r="V557" s="29"/>
      <c r="W557" s="93">
        <v>160</v>
      </c>
      <c r="X557" s="84" t="s">
        <v>1700</v>
      </c>
      <c r="Y557" s="84" t="s">
        <v>2499</v>
      </c>
      <c r="AA557" s="84" t="s">
        <v>1087</v>
      </c>
      <c r="AB557" s="84" t="s">
        <v>126</v>
      </c>
      <c r="AC557" s="26">
        <v>42416</v>
      </c>
      <c r="AD557" s="26" t="s">
        <v>853</v>
      </c>
      <c r="AE557" s="8" t="s">
        <v>4682</v>
      </c>
      <c r="AF557" s="8">
        <v>468</v>
      </c>
      <c r="AG557" s="8">
        <v>160</v>
      </c>
      <c r="CB557" s="26">
        <v>41977</v>
      </c>
      <c r="CC557" s="26" t="s">
        <v>853</v>
      </c>
      <c r="CD557" s="8" t="s">
        <v>3237</v>
      </c>
      <c r="CE557" s="8">
        <v>420</v>
      </c>
      <c r="CF557" s="8">
        <v>160</v>
      </c>
      <c r="CG557" s="26"/>
      <c r="CH557" s="8"/>
      <c r="CM557" s="8"/>
      <c r="CR557" s="8"/>
    </row>
    <row r="558" spans="1:225" x14ac:dyDescent="0.25">
      <c r="A558" s="8" t="s">
        <v>373</v>
      </c>
      <c r="B558" s="24" t="s">
        <v>871</v>
      </c>
      <c r="C558" s="25" t="s">
        <v>375</v>
      </c>
      <c r="D558" s="26">
        <v>30322</v>
      </c>
      <c r="E558" s="26" t="s">
        <v>1768</v>
      </c>
      <c r="F558" s="198" t="s">
        <v>374</v>
      </c>
      <c r="G558" s="198" t="s">
        <v>1700</v>
      </c>
      <c r="H558" s="25" t="s">
        <v>1700</v>
      </c>
      <c r="J558" s="27" t="s">
        <v>866</v>
      </c>
      <c r="R558" s="29" t="s">
        <v>856</v>
      </c>
      <c r="S558" s="8" t="s">
        <v>851</v>
      </c>
      <c r="CB558" s="26"/>
      <c r="CC558" s="26"/>
      <c r="CF558" s="8"/>
      <c r="CG558" s="26"/>
      <c r="CH558" s="8"/>
      <c r="CM558" s="8"/>
      <c r="CR558" s="8"/>
    </row>
    <row r="559" spans="1:225" x14ac:dyDescent="0.25">
      <c r="A559" s="8" t="s">
        <v>3205</v>
      </c>
      <c r="B559" s="24" t="s">
        <v>3206</v>
      </c>
      <c r="C559" s="25" t="s">
        <v>3204</v>
      </c>
      <c r="E559" s="26" t="s">
        <v>1762</v>
      </c>
      <c r="F559" s="198" t="s">
        <v>194</v>
      </c>
      <c r="G559" s="198" t="s">
        <v>1700</v>
      </c>
      <c r="H559" s="25" t="s">
        <v>3207</v>
      </c>
      <c r="I559" s="27" t="s">
        <v>3903</v>
      </c>
      <c r="J559" s="27" t="s">
        <v>866</v>
      </c>
      <c r="K559" s="28" t="s">
        <v>853</v>
      </c>
      <c r="R559" s="29" t="s">
        <v>853</v>
      </c>
      <c r="W559" s="93">
        <v>160</v>
      </c>
      <c r="X559" s="84" t="s">
        <v>1700</v>
      </c>
      <c r="Y559" s="84" t="s">
        <v>762</v>
      </c>
      <c r="AA559" s="84" t="s">
        <v>3208</v>
      </c>
      <c r="AB559" s="84" t="s">
        <v>1784</v>
      </c>
      <c r="AC559" s="26">
        <v>42352</v>
      </c>
      <c r="AD559" s="26" t="s">
        <v>853</v>
      </c>
      <c r="AE559" s="8" t="s">
        <v>4386</v>
      </c>
      <c r="AF559" s="8">
        <v>322</v>
      </c>
      <c r="AG559" s="8">
        <v>160</v>
      </c>
      <c r="CB559" s="26">
        <v>41977</v>
      </c>
      <c r="CC559" s="26" t="s">
        <v>853</v>
      </c>
      <c r="CD559" s="8" t="s">
        <v>3209</v>
      </c>
      <c r="CE559" s="8">
        <v>220</v>
      </c>
      <c r="CF559" s="8">
        <v>110</v>
      </c>
      <c r="CG559" s="26"/>
      <c r="CH559" s="8"/>
      <c r="CM559" s="8"/>
      <c r="CR559" s="8"/>
      <c r="EB559" s="19"/>
      <c r="EC559" s="19"/>
      <c r="ED559" s="19"/>
      <c r="EE559" s="19"/>
      <c r="EF559" s="19"/>
      <c r="EG559" s="19"/>
      <c r="EH559" s="19"/>
      <c r="EI559" s="19"/>
      <c r="EJ559" s="19"/>
      <c r="EK559" s="19"/>
      <c r="EL559" s="19"/>
      <c r="EN559" s="19"/>
      <c r="EO559" s="19"/>
      <c r="EP559" s="19"/>
      <c r="EQ559" s="19"/>
      <c r="ER559" s="19"/>
      <c r="ES559" s="19"/>
      <c r="ET559" s="19"/>
      <c r="EU559" s="19"/>
      <c r="EV559" s="19"/>
      <c r="EW559" s="19"/>
      <c r="EX559" s="19"/>
      <c r="EZ559" s="19"/>
      <c r="FA559" s="19"/>
      <c r="FB559" s="19"/>
      <c r="FC559" s="19"/>
      <c r="FD559" s="19"/>
      <c r="FE559" s="19"/>
      <c r="FF559" s="19"/>
      <c r="FG559" s="19"/>
      <c r="FH559" s="19"/>
      <c r="FI559" s="19"/>
      <c r="FJ559" s="19"/>
      <c r="FL559" s="19"/>
      <c r="FM559" s="19"/>
      <c r="FN559" s="19"/>
      <c r="FO559" s="19"/>
      <c r="FP559" s="19"/>
      <c r="FQ559" s="19"/>
      <c r="FR559" s="19"/>
      <c r="FS559" s="19"/>
      <c r="FT559" s="19"/>
      <c r="FU559" s="19"/>
      <c r="FV559" s="19"/>
      <c r="FX559" s="19"/>
      <c r="FY559" s="19"/>
      <c r="FZ559" s="19"/>
      <c r="GA559" s="19"/>
      <c r="GB559" s="19"/>
      <c r="GC559" s="19"/>
      <c r="GD559" s="19"/>
      <c r="GE559" s="19"/>
      <c r="GF559" s="19"/>
      <c r="GG559" s="19"/>
      <c r="GH559" s="19"/>
      <c r="GJ559" s="19"/>
      <c r="GK559" s="19"/>
      <c r="GL559" s="19"/>
      <c r="GM559" s="19"/>
      <c r="GN559" s="19"/>
      <c r="GO559" s="19"/>
      <c r="GP559" s="19"/>
      <c r="GQ559" s="19"/>
      <c r="GR559" s="19"/>
      <c r="GS559" s="19"/>
      <c r="GT559" s="19"/>
      <c r="GV559" s="19"/>
      <c r="GW559" s="19"/>
      <c r="GX559" s="19"/>
      <c r="GY559" s="19"/>
      <c r="GZ559" s="19"/>
      <c r="HA559" s="19"/>
      <c r="HB559" s="19"/>
      <c r="HC559" s="19"/>
      <c r="HD559" s="19"/>
      <c r="HE559" s="19"/>
      <c r="HF559" s="19"/>
      <c r="HH559" s="19"/>
      <c r="HI559" s="19"/>
      <c r="HJ559" s="19"/>
      <c r="HK559" s="19"/>
      <c r="HL559" s="19"/>
      <c r="HM559" s="19"/>
      <c r="HN559" s="19"/>
      <c r="HO559" s="19"/>
      <c r="HP559" s="19"/>
      <c r="HQ559" s="19"/>
    </row>
    <row r="560" spans="1:225" x14ac:dyDescent="0.25">
      <c r="A560" s="19" t="s">
        <v>1544</v>
      </c>
      <c r="B560" s="12" t="s">
        <v>1508</v>
      </c>
      <c r="C560" s="13" t="s">
        <v>1280</v>
      </c>
      <c r="D560" s="14">
        <v>24093</v>
      </c>
      <c r="E560" s="14" t="s">
        <v>1762</v>
      </c>
      <c r="F560" s="199" t="s">
        <v>898</v>
      </c>
      <c r="G560" s="199" t="s">
        <v>1839</v>
      </c>
      <c r="H560" s="13" t="s">
        <v>1545</v>
      </c>
      <c r="I560" s="20"/>
      <c r="J560" s="20" t="s">
        <v>866</v>
      </c>
      <c r="K560" s="17"/>
      <c r="L560" s="21"/>
      <c r="M560" s="21"/>
      <c r="N560" s="21"/>
      <c r="O560" s="21"/>
      <c r="Q560" s="95"/>
      <c r="R560" s="17"/>
      <c r="S560" s="29" t="s">
        <v>851</v>
      </c>
      <c r="T560" s="29"/>
      <c r="U560" s="29"/>
      <c r="V560" s="29"/>
      <c r="W560" s="95"/>
      <c r="AE560" s="19"/>
      <c r="AF560" s="19"/>
      <c r="AG560" s="19"/>
      <c r="AI560" s="19"/>
      <c r="AJ560" s="19"/>
      <c r="AK560" s="19"/>
      <c r="AL560" s="19"/>
      <c r="AN560" s="19"/>
      <c r="AO560" s="19"/>
      <c r="AP560" s="19"/>
      <c r="AQ560" s="19"/>
      <c r="AS560" s="19"/>
      <c r="AT560" s="19"/>
      <c r="AU560" s="19"/>
      <c r="AV560" s="19"/>
      <c r="AX560" s="19"/>
      <c r="AY560" s="19"/>
      <c r="AZ560" s="19"/>
      <c r="BA560" s="19"/>
      <c r="BC560" s="19"/>
      <c r="BD560" s="19"/>
      <c r="BE560" s="19"/>
      <c r="BF560" s="19"/>
      <c r="BH560" s="19"/>
      <c r="BI560" s="19"/>
      <c r="BJ560" s="19"/>
      <c r="BK560" s="19"/>
      <c r="BM560" s="19"/>
      <c r="BN560" s="19"/>
      <c r="BO560" s="19"/>
      <c r="BP560" s="19"/>
      <c r="BR560" s="19"/>
      <c r="BS560" s="19"/>
      <c r="BT560" s="19"/>
      <c r="BU560" s="19"/>
      <c r="BW560" s="19"/>
      <c r="BX560" s="19"/>
      <c r="BY560" s="19"/>
      <c r="BZ560" s="19"/>
      <c r="CB560" s="26"/>
      <c r="CC560" s="26"/>
      <c r="CD560" s="19"/>
      <c r="CE560" s="19"/>
      <c r="CF560" s="19"/>
      <c r="CG560" s="26"/>
      <c r="CH560" s="19"/>
      <c r="CI560" s="19"/>
      <c r="CJ560" s="19"/>
      <c r="CK560" s="19"/>
      <c r="CM560" s="19"/>
      <c r="CN560" s="19"/>
      <c r="CO560" s="19"/>
      <c r="CP560" s="19"/>
      <c r="CR560" s="19"/>
      <c r="CS560" s="19"/>
      <c r="CT560" s="19"/>
      <c r="CU560" s="19"/>
      <c r="CW560" s="19"/>
      <c r="CX560" s="19"/>
      <c r="CY560" s="19"/>
      <c r="CZ560" s="19"/>
      <c r="DB560" s="19"/>
      <c r="DC560" s="19"/>
      <c r="DD560" s="19"/>
      <c r="DE560" s="19"/>
      <c r="DG560" s="19"/>
      <c r="DH560" s="19"/>
      <c r="DI560" s="19"/>
      <c r="DJ560" s="19"/>
      <c r="DL560" s="19"/>
      <c r="DM560" s="19"/>
      <c r="DN560" s="19"/>
      <c r="DO560" s="19"/>
      <c r="DQ560" s="19"/>
      <c r="DR560" s="19"/>
      <c r="DS560" s="19"/>
      <c r="DT560" s="19"/>
      <c r="DV560" s="19"/>
      <c r="DW560" s="19"/>
      <c r="DX560" s="19"/>
      <c r="DY560" s="19"/>
    </row>
    <row r="561" spans="1:130" x14ac:dyDescent="0.25">
      <c r="A561" s="8" t="s">
        <v>4634</v>
      </c>
      <c r="B561" s="24" t="s">
        <v>2012</v>
      </c>
      <c r="E561" s="26" t="s">
        <v>877</v>
      </c>
      <c r="F561" s="198" t="s">
        <v>1471</v>
      </c>
      <c r="G561" s="198" t="s">
        <v>2009</v>
      </c>
      <c r="H561" s="25" t="s">
        <v>1700</v>
      </c>
      <c r="I561" s="27" t="s">
        <v>3893</v>
      </c>
      <c r="J561" s="27" t="s">
        <v>866</v>
      </c>
      <c r="K561" s="28" t="s">
        <v>816</v>
      </c>
      <c r="CB561" s="278"/>
      <c r="CG561" s="278"/>
      <c r="DZ561" s="19"/>
    </row>
    <row r="562" spans="1:130" ht="13.5" x14ac:dyDescent="0.25">
      <c r="A562" s="8" t="s">
        <v>3434</v>
      </c>
      <c r="B562" s="24" t="s">
        <v>873</v>
      </c>
      <c r="F562" s="198" t="s">
        <v>1700</v>
      </c>
      <c r="G562" s="198" t="s">
        <v>1700</v>
      </c>
      <c r="H562" s="25" t="s">
        <v>1700</v>
      </c>
      <c r="I562" s="27" t="s">
        <v>3902</v>
      </c>
      <c r="J562" s="27" t="s">
        <v>866</v>
      </c>
      <c r="K562" s="28" t="s">
        <v>3907</v>
      </c>
      <c r="P562" s="17">
        <v>1</v>
      </c>
      <c r="R562" s="29" t="s">
        <v>1763</v>
      </c>
      <c r="CB562" s="278"/>
      <c r="CG562" s="278"/>
      <c r="DZ562" s="258"/>
    </row>
    <row r="563" spans="1:130" x14ac:dyDescent="0.25">
      <c r="A563" s="8" t="s">
        <v>4607</v>
      </c>
      <c r="B563" s="24" t="s">
        <v>4608</v>
      </c>
      <c r="F563" s="198" t="s">
        <v>1700</v>
      </c>
      <c r="G563" s="198" t="s">
        <v>1700</v>
      </c>
      <c r="H563" s="25" t="s">
        <v>1700</v>
      </c>
      <c r="I563" s="27" t="s">
        <v>3893</v>
      </c>
      <c r="J563" s="27" t="s">
        <v>866</v>
      </c>
      <c r="K563" s="28" t="s">
        <v>851</v>
      </c>
      <c r="CB563" s="278"/>
      <c r="CG563" s="278"/>
    </row>
    <row r="564" spans="1:130" x14ac:dyDescent="0.25">
      <c r="A564" s="8" t="s">
        <v>1199</v>
      </c>
      <c r="B564" s="24" t="s">
        <v>895</v>
      </c>
      <c r="C564" s="25" t="s">
        <v>1200</v>
      </c>
      <c r="D564" s="26">
        <v>28941</v>
      </c>
      <c r="E564" s="26" t="s">
        <v>1762</v>
      </c>
      <c r="F564" s="198" t="s">
        <v>869</v>
      </c>
      <c r="G564" s="198" t="s">
        <v>1700</v>
      </c>
      <c r="H564" s="25" t="s">
        <v>2368</v>
      </c>
      <c r="J564" s="27" t="s">
        <v>866</v>
      </c>
      <c r="R564" s="29" t="s">
        <v>853</v>
      </c>
      <c r="S564" s="8" t="s">
        <v>855</v>
      </c>
      <c r="X564" s="84" t="s">
        <v>1700</v>
      </c>
      <c r="Y564" s="84" t="s">
        <v>246</v>
      </c>
      <c r="AA564" s="84" t="s">
        <v>1862</v>
      </c>
      <c r="AB564" s="84" t="s">
        <v>126</v>
      </c>
      <c r="AD564" s="8"/>
      <c r="BV564" s="8"/>
      <c r="CB564" s="26">
        <v>41921</v>
      </c>
      <c r="CC564" s="8" t="s">
        <v>853</v>
      </c>
      <c r="CD564" s="8" t="s">
        <v>2805</v>
      </c>
      <c r="CE564" s="8">
        <v>136</v>
      </c>
      <c r="CF564" s="8">
        <v>68</v>
      </c>
      <c r="CG564" s="26"/>
      <c r="CH564" s="8"/>
      <c r="CM564" s="8"/>
      <c r="CR564" s="8"/>
      <c r="DU564" s="8"/>
    </row>
    <row r="565" spans="1:130" x14ac:dyDescent="0.25">
      <c r="A565" s="8" t="s">
        <v>1310</v>
      </c>
      <c r="B565" s="24" t="s">
        <v>1417</v>
      </c>
      <c r="C565" s="25" t="s">
        <v>1311</v>
      </c>
      <c r="E565" s="26" t="s">
        <v>1762</v>
      </c>
      <c r="F565" s="198" t="s">
        <v>968</v>
      </c>
      <c r="G565" s="198" t="s">
        <v>1700</v>
      </c>
      <c r="H565" s="25" t="s">
        <v>2908</v>
      </c>
      <c r="J565" s="27" t="s">
        <v>866</v>
      </c>
      <c r="R565" s="29" t="s">
        <v>853</v>
      </c>
      <c r="X565" s="84" t="s">
        <v>1700</v>
      </c>
      <c r="Y565" s="84" t="s">
        <v>2499</v>
      </c>
      <c r="AA565" s="84" t="s">
        <v>2909</v>
      </c>
      <c r="AB565" s="84" t="s">
        <v>126</v>
      </c>
      <c r="CB565" s="26">
        <v>41934</v>
      </c>
      <c r="CC565" s="26" t="s">
        <v>853</v>
      </c>
      <c r="CD565" s="8" t="s">
        <v>2910</v>
      </c>
      <c r="CE565" s="8">
        <v>999</v>
      </c>
      <c r="CF565" s="8">
        <v>160</v>
      </c>
      <c r="CG565" s="26"/>
      <c r="CH565" s="8"/>
      <c r="CM565" s="8"/>
      <c r="CR565" s="8"/>
    </row>
    <row r="566" spans="1:130" ht="13.5" x14ac:dyDescent="0.25">
      <c r="A566" s="8" t="s">
        <v>2397</v>
      </c>
      <c r="B566" s="24" t="s">
        <v>966</v>
      </c>
      <c r="C566" s="25" t="s">
        <v>2398</v>
      </c>
      <c r="E566" s="26" t="s">
        <v>1764</v>
      </c>
      <c r="F566" s="198" t="s">
        <v>1396</v>
      </c>
      <c r="G566" s="198" t="s">
        <v>1700</v>
      </c>
      <c r="H566" s="25" t="s">
        <v>2399</v>
      </c>
      <c r="J566" s="27" t="s">
        <v>866</v>
      </c>
      <c r="X566" s="84" t="s">
        <v>1700</v>
      </c>
      <c r="Y566" s="84" t="s">
        <v>2400</v>
      </c>
      <c r="AA566" s="84" t="s">
        <v>2401</v>
      </c>
      <c r="AB566" s="84" t="s">
        <v>302</v>
      </c>
      <c r="CB566" s="26"/>
      <c r="CC566" s="26"/>
      <c r="CF566" s="8"/>
      <c r="CG566" s="26"/>
      <c r="CH566" s="8"/>
      <c r="CM566" s="8"/>
      <c r="CR566" s="8"/>
      <c r="DZ566"/>
    </row>
    <row r="567" spans="1:130" x14ac:dyDescent="0.25">
      <c r="A567" s="8" t="s">
        <v>3953</v>
      </c>
      <c r="B567" s="24" t="s">
        <v>3954</v>
      </c>
      <c r="C567" s="25" t="s">
        <v>3955</v>
      </c>
      <c r="E567" s="26" t="s">
        <v>1762</v>
      </c>
      <c r="F567" s="198" t="s">
        <v>977</v>
      </c>
      <c r="G567" s="198" t="s">
        <v>1700</v>
      </c>
      <c r="H567" s="25" t="s">
        <v>3956</v>
      </c>
      <c r="I567" s="27" t="s">
        <v>3901</v>
      </c>
      <c r="J567" s="27" t="s">
        <v>866</v>
      </c>
      <c r="K567" s="28" t="s">
        <v>853</v>
      </c>
      <c r="W567" s="93">
        <v>75</v>
      </c>
      <c r="X567" s="84" t="s">
        <v>1700</v>
      </c>
      <c r="Y567" s="84" t="s">
        <v>2921</v>
      </c>
      <c r="AA567" s="84" t="s">
        <v>3957</v>
      </c>
      <c r="AB567" s="84" t="s">
        <v>715</v>
      </c>
      <c r="AC567" s="26">
        <v>42299</v>
      </c>
      <c r="AD567" s="26" t="s">
        <v>853</v>
      </c>
      <c r="AE567" s="8" t="s">
        <v>3952</v>
      </c>
      <c r="AF567" s="8">
        <v>150</v>
      </c>
      <c r="AG567" s="8">
        <v>75</v>
      </c>
      <c r="CB567" s="278"/>
      <c r="CG567" s="278"/>
    </row>
    <row r="568" spans="1:130" ht="13.5" x14ac:dyDescent="0.25">
      <c r="A568" s="8" t="s">
        <v>1013</v>
      </c>
      <c r="B568" s="24" t="s">
        <v>1014</v>
      </c>
      <c r="F568" s="198" t="s">
        <v>1700</v>
      </c>
      <c r="G568" s="198" t="s">
        <v>1700</v>
      </c>
      <c r="H568" s="25" t="s">
        <v>1700</v>
      </c>
      <c r="J568" s="27" t="s">
        <v>866</v>
      </c>
      <c r="CB568" s="278"/>
      <c r="CD568" s="279"/>
      <c r="CG568" s="278"/>
      <c r="CH568" s="278"/>
      <c r="CI568" s="279"/>
      <c r="CK568" s="279"/>
      <c r="CL568" s="278"/>
      <c r="CM568" s="278"/>
      <c r="CN568" s="279"/>
      <c r="CP568" s="279"/>
      <c r="CQ568" s="278"/>
      <c r="CR568" s="279"/>
      <c r="CS568" s="279"/>
      <c r="CU568" s="279"/>
      <c r="CV568" s="278"/>
      <c r="CW568" s="279"/>
      <c r="CX568" s="279"/>
      <c r="CZ568" s="279"/>
      <c r="DA568" s="278"/>
      <c r="DB568" s="279"/>
      <c r="DC568" s="279"/>
      <c r="DE568" s="279"/>
      <c r="DF568" s="278"/>
      <c r="DG568" s="279"/>
      <c r="DH568" s="279"/>
      <c r="DJ568" s="279"/>
      <c r="DK568" s="278"/>
      <c r="DL568" s="279"/>
      <c r="DM568" s="279"/>
      <c r="DO568" s="279"/>
      <c r="DP568" s="278"/>
      <c r="DQ568" s="279"/>
      <c r="DR568" s="279"/>
      <c r="DT568" s="279"/>
      <c r="DU568" s="278"/>
      <c r="DV568" s="258"/>
      <c r="DW568" s="258"/>
      <c r="DY568" s="258"/>
    </row>
    <row r="569" spans="1:130" x14ac:dyDescent="0.25">
      <c r="A569" s="8" t="s">
        <v>1998</v>
      </c>
      <c r="B569" s="24" t="s">
        <v>779</v>
      </c>
      <c r="C569" s="25" t="s">
        <v>1997</v>
      </c>
      <c r="E569" s="26" t="s">
        <v>1762</v>
      </c>
      <c r="F569" s="198" t="s">
        <v>245</v>
      </c>
      <c r="G569" s="198" t="s">
        <v>1700</v>
      </c>
      <c r="H569" s="25" t="s">
        <v>4405</v>
      </c>
      <c r="I569" s="27" t="s">
        <v>3903</v>
      </c>
      <c r="J569" s="27" t="s">
        <v>866</v>
      </c>
      <c r="K569" s="28" t="s">
        <v>853</v>
      </c>
      <c r="R569" s="29" t="s">
        <v>853</v>
      </c>
      <c r="W569" s="93">
        <v>140</v>
      </c>
      <c r="X569" s="84" t="s">
        <v>1700</v>
      </c>
      <c r="Y569" s="84" t="s">
        <v>246</v>
      </c>
      <c r="AA569" s="84" t="s">
        <v>1999</v>
      </c>
      <c r="AB569" s="84" t="s">
        <v>126</v>
      </c>
      <c r="AC569" s="26">
        <v>42352</v>
      </c>
      <c r="AD569" s="26" t="s">
        <v>853</v>
      </c>
      <c r="AE569" s="8" t="s">
        <v>4406</v>
      </c>
      <c r="AF569" s="8">
        <v>190</v>
      </c>
      <c r="AG569" s="8">
        <v>95</v>
      </c>
      <c r="AH569" s="26">
        <v>42545</v>
      </c>
      <c r="AI569" s="8" t="s">
        <v>853</v>
      </c>
      <c r="AJ569" s="8" t="s">
        <v>4848</v>
      </c>
      <c r="AK569" s="8">
        <v>90</v>
      </c>
      <c r="AL569" s="8">
        <v>45</v>
      </c>
      <c r="CB569" s="26">
        <v>41921</v>
      </c>
      <c r="CC569" s="26" t="s">
        <v>853</v>
      </c>
      <c r="CD569" s="8" t="s">
        <v>2683</v>
      </c>
      <c r="CE569" s="8">
        <v>275</v>
      </c>
      <c r="CF569" s="8">
        <v>138</v>
      </c>
      <c r="CG569" s="26"/>
      <c r="CH569" s="8"/>
      <c r="CM569" s="8"/>
      <c r="CR569" s="8"/>
    </row>
    <row r="570" spans="1:130" x14ac:dyDescent="0.25">
      <c r="A570" s="8" t="s">
        <v>759</v>
      </c>
      <c r="B570" s="24" t="s">
        <v>4926</v>
      </c>
      <c r="C570" s="25" t="s">
        <v>4925</v>
      </c>
      <c r="E570" s="26" t="s">
        <v>1762</v>
      </c>
      <c r="F570" s="198" t="s">
        <v>947</v>
      </c>
      <c r="G570" s="198" t="s">
        <v>1373</v>
      </c>
      <c r="H570" s="25" t="s">
        <v>4927</v>
      </c>
      <c r="I570" s="27" t="s">
        <v>3898</v>
      </c>
      <c r="J570" s="27" t="s">
        <v>866</v>
      </c>
      <c r="K570" s="28" t="s">
        <v>853</v>
      </c>
      <c r="W570" s="93">
        <v>125</v>
      </c>
      <c r="X570" s="84" t="s">
        <v>1700</v>
      </c>
      <c r="Y570" s="84" t="s">
        <v>2367</v>
      </c>
      <c r="AA570" s="84" t="s">
        <v>4928</v>
      </c>
      <c r="AB570" s="84" t="s">
        <v>221</v>
      </c>
      <c r="AC570" s="26" t="s">
        <v>503</v>
      </c>
      <c r="AD570" s="26" t="s">
        <v>853</v>
      </c>
      <c r="AE570" s="8" t="s">
        <v>4929</v>
      </c>
      <c r="AF570" s="8">
        <v>250</v>
      </c>
      <c r="AG570" s="8">
        <v>125</v>
      </c>
      <c r="CB570" s="278"/>
      <c r="CG570" s="278"/>
    </row>
    <row r="571" spans="1:130" x14ac:dyDescent="0.25">
      <c r="A571" s="8" t="s">
        <v>759</v>
      </c>
      <c r="B571" s="24" t="s">
        <v>2184</v>
      </c>
      <c r="C571" s="25" t="s">
        <v>235</v>
      </c>
      <c r="E571" s="26" t="s">
        <v>896</v>
      </c>
      <c r="F571" s="198" t="s">
        <v>896</v>
      </c>
      <c r="G571" s="198" t="s">
        <v>1700</v>
      </c>
      <c r="H571" s="25" t="s">
        <v>3293</v>
      </c>
      <c r="J571" s="27" t="s">
        <v>866</v>
      </c>
      <c r="R571" s="29" t="s">
        <v>853</v>
      </c>
      <c r="X571" s="84" t="s">
        <v>1700</v>
      </c>
      <c r="Y571" s="84" t="s">
        <v>258</v>
      </c>
      <c r="AA571" s="84" t="s">
        <v>236</v>
      </c>
      <c r="AB571" s="84" t="s">
        <v>1749</v>
      </c>
      <c r="CB571" s="26">
        <v>41977</v>
      </c>
      <c r="CC571" s="26" t="s">
        <v>853</v>
      </c>
      <c r="CD571" s="8" t="s">
        <v>3294</v>
      </c>
      <c r="CE571" s="8">
        <v>310</v>
      </c>
      <c r="CF571" s="8">
        <v>155</v>
      </c>
      <c r="CG571" s="26"/>
      <c r="CH571" s="8"/>
      <c r="CM571" s="8"/>
      <c r="CR571" s="8"/>
    </row>
    <row r="572" spans="1:130" ht="13.5" x14ac:dyDescent="0.25">
      <c r="A572" s="8" t="s">
        <v>759</v>
      </c>
      <c r="B572" s="24" t="s">
        <v>3106</v>
      </c>
      <c r="E572" s="26" t="s">
        <v>877</v>
      </c>
      <c r="F572" s="198" t="s">
        <v>1700</v>
      </c>
      <c r="G572" s="198" t="s">
        <v>1700</v>
      </c>
      <c r="H572" s="25" t="s">
        <v>1700</v>
      </c>
      <c r="J572" s="27" t="s">
        <v>866</v>
      </c>
      <c r="R572" s="29" t="s">
        <v>1763</v>
      </c>
      <c r="CB572" s="278"/>
      <c r="CD572" s="279"/>
      <c r="CG572" s="278"/>
      <c r="CH572" s="278"/>
      <c r="CI572" s="279"/>
      <c r="CK572" s="279"/>
      <c r="CL572" s="278"/>
      <c r="CM572" s="278"/>
      <c r="CN572" s="279"/>
      <c r="CP572" s="279"/>
      <c r="CQ572" s="278"/>
      <c r="CR572" s="279"/>
      <c r="CS572" s="279"/>
      <c r="CU572" s="279"/>
      <c r="CV572" s="278"/>
      <c r="CW572" s="279"/>
      <c r="CX572" s="279"/>
      <c r="CZ572" s="279"/>
      <c r="DA572" s="278"/>
      <c r="DB572" s="279"/>
      <c r="DC572" s="279"/>
      <c r="DE572" s="279"/>
      <c r="DF572" s="278"/>
      <c r="DG572" s="279"/>
      <c r="DH572" s="279"/>
      <c r="DJ572" s="279"/>
      <c r="DK572" s="278"/>
      <c r="DL572" s="279"/>
      <c r="DM572" s="279"/>
      <c r="DO572" s="279"/>
      <c r="DP572" s="278"/>
      <c r="DQ572" s="279"/>
      <c r="DR572" s="279"/>
      <c r="DT572" s="279"/>
      <c r="DU572" s="278"/>
      <c r="DV572" s="258"/>
      <c r="DW572" s="258"/>
      <c r="DY572" s="258"/>
      <c r="DZ572" s="258"/>
    </row>
    <row r="573" spans="1:130" x14ac:dyDescent="0.25">
      <c r="A573" s="8" t="s">
        <v>1940</v>
      </c>
      <c r="B573" s="24" t="s">
        <v>1949</v>
      </c>
      <c r="C573" s="25" t="s">
        <v>1941</v>
      </c>
      <c r="E573" s="26" t="s">
        <v>1762</v>
      </c>
      <c r="F573" s="198" t="s">
        <v>786</v>
      </c>
      <c r="G573" s="198" t="s">
        <v>1700</v>
      </c>
      <c r="H573" s="25" t="s">
        <v>3153</v>
      </c>
      <c r="I573" s="27" t="s">
        <v>3903</v>
      </c>
      <c r="J573" s="27" t="s">
        <v>866</v>
      </c>
      <c r="K573" s="28" t="s">
        <v>853</v>
      </c>
      <c r="R573" s="29" t="s">
        <v>853</v>
      </c>
      <c r="W573" s="93">
        <v>160</v>
      </c>
      <c r="X573" s="84" t="s">
        <v>1700</v>
      </c>
      <c r="Y573" s="84" t="s">
        <v>791</v>
      </c>
      <c r="AA573" s="84" t="s">
        <v>1942</v>
      </c>
      <c r="AB573" s="84" t="s">
        <v>126</v>
      </c>
      <c r="AC573" s="26">
        <v>42352</v>
      </c>
      <c r="AD573" s="26" t="s">
        <v>853</v>
      </c>
      <c r="AE573" s="8" t="s">
        <v>4377</v>
      </c>
      <c r="AF573" s="8">
        <v>335</v>
      </c>
      <c r="AG573" s="8">
        <v>160</v>
      </c>
      <c r="CB573" s="26">
        <v>41977</v>
      </c>
      <c r="CC573" s="26" t="s">
        <v>853</v>
      </c>
      <c r="CD573" s="8" t="s">
        <v>3154</v>
      </c>
      <c r="CE573" s="8">
        <v>235</v>
      </c>
      <c r="CF573" s="8">
        <v>118</v>
      </c>
      <c r="CG573" s="26"/>
      <c r="CH573" s="8"/>
      <c r="CM573" s="8"/>
      <c r="CR573" s="8"/>
    </row>
    <row r="574" spans="1:130" x14ac:dyDescent="0.25">
      <c r="A574" s="8" t="s">
        <v>1046</v>
      </c>
      <c r="B574" s="24" t="s">
        <v>976</v>
      </c>
      <c r="C574" s="25" t="s">
        <v>1047</v>
      </c>
      <c r="E574" s="26" t="s">
        <v>1762</v>
      </c>
      <c r="F574" s="198" t="s">
        <v>1700</v>
      </c>
      <c r="G574" s="198" t="s">
        <v>1700</v>
      </c>
      <c r="H574" s="25" t="s">
        <v>1700</v>
      </c>
      <c r="J574" s="27" t="s">
        <v>866</v>
      </c>
      <c r="R574" s="29" t="s">
        <v>1416</v>
      </c>
      <c r="S574" s="8" t="s">
        <v>1972</v>
      </c>
      <c r="T574" s="8" t="s">
        <v>859</v>
      </c>
      <c r="U574" s="8" t="s">
        <v>855</v>
      </c>
      <c r="X574" s="84" t="s">
        <v>1700</v>
      </c>
      <c r="Y574" s="84" t="s">
        <v>1700</v>
      </c>
      <c r="AA574" s="84" t="s">
        <v>2259</v>
      </c>
      <c r="AB574" s="84" t="s">
        <v>126</v>
      </c>
      <c r="CB574" s="26">
        <v>42060</v>
      </c>
      <c r="CC574" s="26" t="s">
        <v>859</v>
      </c>
      <c r="CD574" s="8" t="s">
        <v>3516</v>
      </c>
      <c r="CE574" s="8">
        <v>624</v>
      </c>
      <c r="CF574" s="8">
        <v>280</v>
      </c>
      <c r="CG574" s="26"/>
      <c r="CH574" s="8"/>
      <c r="CM574" s="8"/>
      <c r="CR574" s="8"/>
    </row>
    <row r="575" spans="1:130" x14ac:dyDescent="0.25">
      <c r="A575" s="8" t="s">
        <v>2068</v>
      </c>
      <c r="B575" s="24" t="s">
        <v>153</v>
      </c>
      <c r="F575" s="198" t="s">
        <v>1700</v>
      </c>
      <c r="G575" s="198" t="s">
        <v>1700</v>
      </c>
      <c r="H575" s="25" t="s">
        <v>1700</v>
      </c>
      <c r="J575" s="27" t="s">
        <v>866</v>
      </c>
      <c r="CB575" s="26"/>
      <c r="CC575" s="26"/>
      <c r="CF575" s="8"/>
      <c r="CG575" s="26"/>
      <c r="CH575" s="8"/>
      <c r="CM575" s="8"/>
      <c r="CR575" s="8"/>
    </row>
    <row r="576" spans="1:130" x14ac:dyDescent="0.25">
      <c r="A576" s="8" t="s">
        <v>1038</v>
      </c>
      <c r="B576" s="24" t="s">
        <v>1505</v>
      </c>
      <c r="C576" s="25" t="s">
        <v>1039</v>
      </c>
      <c r="E576" s="26" t="s">
        <v>1764</v>
      </c>
      <c r="F576" s="198" t="s">
        <v>948</v>
      </c>
      <c r="G576" s="198" t="s">
        <v>1700</v>
      </c>
      <c r="H576" s="25" t="s">
        <v>3155</v>
      </c>
      <c r="J576" s="27" t="s">
        <v>866</v>
      </c>
      <c r="R576" s="29" t="s">
        <v>853</v>
      </c>
      <c r="X576" s="84" t="s">
        <v>1700</v>
      </c>
      <c r="Y576" s="84" t="s">
        <v>1764</v>
      </c>
      <c r="AA576" s="84" t="s">
        <v>3338</v>
      </c>
      <c r="AB576" s="84" t="s">
        <v>1650</v>
      </c>
      <c r="CB576" s="26">
        <v>41977</v>
      </c>
      <c r="CC576" s="26" t="s">
        <v>853</v>
      </c>
      <c r="CD576" s="8" t="s">
        <v>3156</v>
      </c>
      <c r="CE576" s="8">
        <v>266.63</v>
      </c>
      <c r="CF576" s="8">
        <v>134</v>
      </c>
      <c r="CG576" s="26">
        <v>41989</v>
      </c>
      <c r="CH576" s="8" t="s">
        <v>853</v>
      </c>
      <c r="CI576" s="8" t="s">
        <v>3156</v>
      </c>
      <c r="CJ576" s="8">
        <v>266.63</v>
      </c>
      <c r="CK576" s="8">
        <v>134</v>
      </c>
      <c r="CM576" s="8"/>
      <c r="CR576" s="8"/>
    </row>
    <row r="577" spans="1:130" x14ac:dyDescent="0.25">
      <c r="A577" s="8" t="s">
        <v>305</v>
      </c>
      <c r="B577" s="24" t="s">
        <v>3827</v>
      </c>
      <c r="D577" s="26">
        <v>28339</v>
      </c>
      <c r="E577" s="26" t="s">
        <v>1764</v>
      </c>
      <c r="F577" s="198" t="s">
        <v>1977</v>
      </c>
      <c r="G577" s="198" t="s">
        <v>1700</v>
      </c>
      <c r="H577" s="25" t="s">
        <v>1700</v>
      </c>
      <c r="J577" s="27" t="s">
        <v>866</v>
      </c>
      <c r="R577" s="29" t="s">
        <v>889</v>
      </c>
      <c r="S577" s="8" t="s">
        <v>855</v>
      </c>
      <c r="T577" s="8" t="s">
        <v>1416</v>
      </c>
      <c r="CB577" s="26"/>
      <c r="CC577" s="26"/>
      <c r="CF577" s="8"/>
      <c r="CG577" s="26"/>
      <c r="CH577" s="8"/>
      <c r="CM577" s="8"/>
      <c r="CR577" s="8"/>
    </row>
    <row r="578" spans="1:130" x14ac:dyDescent="0.25">
      <c r="A578" s="8" t="s">
        <v>2266</v>
      </c>
      <c r="B578" s="24" t="s">
        <v>2267</v>
      </c>
      <c r="F578" s="198" t="s">
        <v>1700</v>
      </c>
      <c r="G578" s="198" t="s">
        <v>1700</v>
      </c>
      <c r="H578" s="25" t="s">
        <v>1700</v>
      </c>
      <c r="J578" s="27" t="s">
        <v>866</v>
      </c>
      <c r="CB578" s="26"/>
      <c r="CC578" s="26"/>
      <c r="CF578" s="8"/>
      <c r="CG578" s="26"/>
      <c r="CH578" s="8"/>
      <c r="CM578" s="8"/>
      <c r="CR578" s="8"/>
    </row>
    <row r="579" spans="1:130" x14ac:dyDescent="0.25">
      <c r="A579" s="8" t="s">
        <v>1059</v>
      </c>
      <c r="B579" s="24" t="s">
        <v>1060</v>
      </c>
      <c r="C579" s="25" t="s">
        <v>504</v>
      </c>
      <c r="E579" s="26" t="s">
        <v>1762</v>
      </c>
      <c r="F579" s="198" t="s">
        <v>746</v>
      </c>
      <c r="G579" s="198" t="s">
        <v>1700</v>
      </c>
      <c r="H579" s="25" t="s">
        <v>1700</v>
      </c>
      <c r="I579" s="27" t="s">
        <v>3903</v>
      </c>
      <c r="J579" s="27" t="s">
        <v>866</v>
      </c>
      <c r="K579" s="28" t="s">
        <v>853</v>
      </c>
      <c r="R579" s="29" t="s">
        <v>853</v>
      </c>
      <c r="S579" s="8" t="s">
        <v>816</v>
      </c>
      <c r="W579" s="93">
        <v>160</v>
      </c>
      <c r="X579" s="84" t="s">
        <v>1700</v>
      </c>
      <c r="Y579" s="84" t="s">
        <v>195</v>
      </c>
      <c r="AA579" s="84" t="s">
        <v>1881</v>
      </c>
      <c r="AB579" s="84" t="s">
        <v>1957</v>
      </c>
      <c r="AC579" s="26">
        <v>42360</v>
      </c>
      <c r="AD579" s="8" t="s">
        <v>853</v>
      </c>
      <c r="AE579" s="8" t="s">
        <v>4452</v>
      </c>
      <c r="AF579" s="8">
        <v>170</v>
      </c>
      <c r="AG579" s="8">
        <v>85</v>
      </c>
      <c r="AH579" s="26">
        <v>42416</v>
      </c>
      <c r="AI579" s="8" t="s">
        <v>853</v>
      </c>
      <c r="AJ579" s="8" t="s">
        <v>4657</v>
      </c>
      <c r="AK579" s="8">
        <v>160</v>
      </c>
      <c r="AL579" s="8">
        <v>75</v>
      </c>
      <c r="BL579" s="8"/>
      <c r="BQ579" s="8"/>
      <c r="BV579" s="8"/>
      <c r="CB579" s="26">
        <v>41943</v>
      </c>
      <c r="CC579" s="8" t="s">
        <v>853</v>
      </c>
      <c r="CD579" s="8" t="s">
        <v>2989</v>
      </c>
      <c r="CE579" s="8">
        <v>170</v>
      </c>
      <c r="CF579" s="8">
        <v>85</v>
      </c>
      <c r="CG579" s="26">
        <v>41943</v>
      </c>
      <c r="CH579" s="8" t="s">
        <v>853</v>
      </c>
      <c r="CI579" s="8" t="s">
        <v>2990</v>
      </c>
      <c r="CJ579" s="8">
        <v>160</v>
      </c>
      <c r="CK579" s="8">
        <v>75</v>
      </c>
      <c r="CM579" s="8"/>
      <c r="CR579" s="8"/>
      <c r="DK579" s="8"/>
      <c r="DP579" s="8"/>
      <c r="DU579" s="8"/>
    </row>
    <row r="580" spans="1:130" x14ac:dyDescent="0.25">
      <c r="A580" s="8" t="s">
        <v>257</v>
      </c>
      <c r="B580" s="24" t="s">
        <v>944</v>
      </c>
      <c r="C580" s="25" t="s">
        <v>1281</v>
      </c>
      <c r="D580" s="26">
        <v>23208</v>
      </c>
      <c r="E580" s="26" t="s">
        <v>1764</v>
      </c>
      <c r="F580" s="198" t="s">
        <v>4026</v>
      </c>
      <c r="G580" s="198" t="s">
        <v>1700</v>
      </c>
      <c r="H580" s="25" t="s">
        <v>2868</v>
      </c>
      <c r="I580" s="27" t="s">
        <v>3902</v>
      </c>
      <c r="J580" s="27" t="s">
        <v>866</v>
      </c>
      <c r="K580" s="28" t="s">
        <v>817</v>
      </c>
      <c r="L580" s="29" t="s">
        <v>853</v>
      </c>
      <c r="Q580" s="93"/>
      <c r="R580" s="28" t="s">
        <v>817</v>
      </c>
      <c r="S580" s="21" t="s">
        <v>853</v>
      </c>
      <c r="T580" s="21"/>
      <c r="U580" s="21"/>
      <c r="V580" s="21"/>
      <c r="W580" s="95">
        <v>160</v>
      </c>
      <c r="X580" s="84" t="s">
        <v>1700</v>
      </c>
      <c r="Y580" s="84" t="s">
        <v>258</v>
      </c>
      <c r="AA580" s="84" t="s">
        <v>1091</v>
      </c>
      <c r="AB580" s="84" t="s">
        <v>126</v>
      </c>
      <c r="AC580" s="26">
        <v>42352</v>
      </c>
      <c r="AD580" s="26" t="s">
        <v>853</v>
      </c>
      <c r="AE580" s="19" t="s">
        <v>4384</v>
      </c>
      <c r="AF580" s="19">
        <v>536.5</v>
      </c>
      <c r="AG580" s="19">
        <v>160</v>
      </c>
      <c r="AI580" s="19"/>
      <c r="AJ580" s="19"/>
      <c r="AK580" s="19"/>
      <c r="AL580" s="19"/>
      <c r="AN580" s="19"/>
      <c r="AO580" s="19"/>
      <c r="AP580" s="19"/>
      <c r="AQ580" s="19"/>
      <c r="AS580" s="19"/>
      <c r="AT580" s="19"/>
      <c r="AU580" s="19"/>
      <c r="AV580" s="19"/>
      <c r="AX580" s="19"/>
      <c r="AY580" s="19"/>
      <c r="AZ580" s="19"/>
      <c r="BA580" s="19"/>
      <c r="BC580" s="19"/>
      <c r="BD580" s="19"/>
      <c r="BE580" s="19"/>
      <c r="BF580" s="19"/>
      <c r="BH580" s="19"/>
      <c r="BI580" s="19"/>
      <c r="BJ580" s="19"/>
      <c r="BK580" s="19"/>
      <c r="BM580" s="19"/>
      <c r="BN580" s="19"/>
      <c r="BO580" s="19"/>
      <c r="BP580" s="19"/>
      <c r="BR580" s="19"/>
      <c r="BS580" s="19"/>
      <c r="BT580" s="19"/>
      <c r="BU580" s="19"/>
      <c r="BW580" s="19"/>
      <c r="BX580" s="19"/>
      <c r="BY580" s="19"/>
      <c r="BZ580" s="19"/>
      <c r="CB580" s="26">
        <v>41934</v>
      </c>
      <c r="CC580" s="26" t="s">
        <v>853</v>
      </c>
      <c r="CD580" s="19" t="s">
        <v>2869</v>
      </c>
      <c r="CE580" s="19">
        <v>153</v>
      </c>
      <c r="CF580" s="19">
        <v>77</v>
      </c>
      <c r="CG580" s="26">
        <v>41977</v>
      </c>
      <c r="CH580" s="19" t="s">
        <v>853</v>
      </c>
      <c r="CI580" s="19" t="s">
        <v>3278</v>
      </c>
      <c r="CJ580" s="19">
        <v>50</v>
      </c>
      <c r="CK580" s="19">
        <v>25</v>
      </c>
      <c r="CM580" s="19"/>
      <c r="CN580" s="19"/>
      <c r="CO580" s="19"/>
      <c r="CP580" s="19"/>
      <c r="CR580" s="19"/>
      <c r="CS580" s="19"/>
      <c r="CT580" s="19"/>
      <c r="CU580" s="19"/>
      <c r="CW580" s="19"/>
      <c r="CX580" s="19"/>
      <c r="CY580" s="19"/>
      <c r="CZ580" s="19"/>
      <c r="DB580" s="19"/>
      <c r="DC580" s="19"/>
      <c r="DD580" s="19"/>
      <c r="DE580" s="19"/>
      <c r="DG580" s="19"/>
      <c r="DH580" s="19"/>
      <c r="DI580" s="19"/>
      <c r="DJ580" s="19"/>
      <c r="DL580" s="19"/>
      <c r="DM580" s="19"/>
      <c r="DN580" s="19"/>
      <c r="DO580" s="19"/>
      <c r="DQ580" s="19"/>
      <c r="DR580" s="19"/>
      <c r="DS580" s="19"/>
      <c r="DT580" s="19"/>
      <c r="DV580" s="19"/>
      <c r="DW580" s="19"/>
      <c r="DX580" s="19"/>
      <c r="DY580" s="19"/>
    </row>
    <row r="581" spans="1:130" x14ac:dyDescent="0.25">
      <c r="A581" s="8" t="s">
        <v>1717</v>
      </c>
      <c r="B581" s="24" t="s">
        <v>1718</v>
      </c>
      <c r="D581" s="26">
        <v>18273</v>
      </c>
      <c r="E581" s="26" t="s">
        <v>877</v>
      </c>
      <c r="F581" s="198" t="s">
        <v>1700</v>
      </c>
      <c r="G581" s="198" t="s">
        <v>1700</v>
      </c>
      <c r="H581" s="25" t="s">
        <v>1700</v>
      </c>
      <c r="I581" s="27" t="s">
        <v>3902</v>
      </c>
      <c r="J581" s="27" t="s">
        <v>866</v>
      </c>
      <c r="K581" s="28" t="s">
        <v>817</v>
      </c>
      <c r="R581" s="29" t="s">
        <v>817</v>
      </c>
      <c r="S581" s="8" t="s">
        <v>757</v>
      </c>
      <c r="CB581" s="26"/>
      <c r="CC581" s="26"/>
      <c r="CF581" s="8"/>
      <c r="CG581" s="26"/>
      <c r="CH581" s="8"/>
      <c r="CM581" s="8"/>
      <c r="CR581" s="8"/>
    </row>
    <row r="582" spans="1:130" x14ac:dyDescent="0.25">
      <c r="A582" s="8" t="s">
        <v>364</v>
      </c>
      <c r="B582" s="24" t="s">
        <v>139</v>
      </c>
      <c r="C582" s="25" t="s">
        <v>365</v>
      </c>
      <c r="E582" s="26" t="s">
        <v>1762</v>
      </c>
      <c r="F582" s="198" t="s">
        <v>2195</v>
      </c>
      <c r="G582" s="198" t="s">
        <v>1700</v>
      </c>
      <c r="H582" s="25" t="s">
        <v>3160</v>
      </c>
      <c r="I582" s="27" t="s">
        <v>3902</v>
      </c>
      <c r="J582" s="27" t="s">
        <v>866</v>
      </c>
      <c r="K582" s="28" t="s">
        <v>853</v>
      </c>
      <c r="Q582" s="93"/>
      <c r="R582" s="28" t="s">
        <v>853</v>
      </c>
      <c r="S582" s="21"/>
      <c r="T582" s="21"/>
      <c r="U582" s="21"/>
      <c r="V582" s="21"/>
      <c r="W582" s="93">
        <v>52</v>
      </c>
      <c r="X582" s="84" t="s">
        <v>1700</v>
      </c>
      <c r="Y582" s="84" t="s">
        <v>246</v>
      </c>
      <c r="AA582" s="84" t="s">
        <v>1092</v>
      </c>
      <c r="AB582" s="84" t="s">
        <v>126</v>
      </c>
      <c r="AC582" s="26">
        <v>42334</v>
      </c>
      <c r="AD582" s="26" t="s">
        <v>853</v>
      </c>
      <c r="AE582" s="8" t="s">
        <v>4300</v>
      </c>
      <c r="AF582" s="8">
        <v>105</v>
      </c>
      <c r="AG582" s="8">
        <v>52</v>
      </c>
      <c r="CB582" s="26">
        <v>41977</v>
      </c>
      <c r="CC582" s="26" t="s">
        <v>853</v>
      </c>
      <c r="CD582" s="8" t="s">
        <v>3161</v>
      </c>
      <c r="CE582" s="8">
        <v>105</v>
      </c>
      <c r="CF582" s="8">
        <v>53</v>
      </c>
      <c r="CG582" s="26"/>
      <c r="CH582" s="8"/>
      <c r="CM582" s="8"/>
      <c r="CR582" s="8"/>
    </row>
    <row r="583" spans="1:130" x14ac:dyDescent="0.25">
      <c r="A583" s="8" t="s">
        <v>4493</v>
      </c>
      <c r="B583" s="24" t="s">
        <v>1603</v>
      </c>
      <c r="C583" s="25" t="s">
        <v>1475</v>
      </c>
      <c r="E583" s="26" t="s">
        <v>1762</v>
      </c>
      <c r="F583" s="198" t="s">
        <v>1547</v>
      </c>
      <c r="G583" s="198" t="s">
        <v>1700</v>
      </c>
      <c r="H583" s="25" t="s">
        <v>4490</v>
      </c>
      <c r="I583" s="27" t="s">
        <v>3903</v>
      </c>
      <c r="J583" s="27" t="s">
        <v>866</v>
      </c>
      <c r="K583" s="28" t="s">
        <v>853</v>
      </c>
      <c r="R583" s="29" t="s">
        <v>853</v>
      </c>
      <c r="W583" s="93">
        <v>160</v>
      </c>
      <c r="X583" s="84" t="s">
        <v>1700</v>
      </c>
      <c r="Y583" s="84" t="s">
        <v>791</v>
      </c>
      <c r="AA583" s="84" t="s">
        <v>4491</v>
      </c>
      <c r="AB583" s="84" t="s">
        <v>126</v>
      </c>
      <c r="AC583" s="26">
        <v>42360</v>
      </c>
      <c r="AD583" s="26" t="s">
        <v>853</v>
      </c>
      <c r="AE583" s="8" t="s">
        <v>4492</v>
      </c>
      <c r="AF583" s="8">
        <v>600</v>
      </c>
      <c r="AG583" s="8">
        <v>160</v>
      </c>
      <c r="CB583" s="26">
        <v>42249</v>
      </c>
      <c r="CC583" s="26" t="s">
        <v>853</v>
      </c>
      <c r="CD583" s="8" t="s">
        <v>3890</v>
      </c>
      <c r="CE583" s="8">
        <v>480</v>
      </c>
      <c r="CF583" s="8">
        <v>160</v>
      </c>
      <c r="CG583" s="26"/>
      <c r="CH583" s="8"/>
      <c r="CM583" s="8"/>
      <c r="CR583" s="8"/>
    </row>
    <row r="584" spans="1:130" x14ac:dyDescent="0.25">
      <c r="A584" s="8" t="s">
        <v>1619</v>
      </c>
      <c r="B584" s="24" t="s">
        <v>1620</v>
      </c>
      <c r="F584" s="198" t="s">
        <v>1700</v>
      </c>
      <c r="G584" s="198" t="s">
        <v>1700</v>
      </c>
      <c r="H584" s="25" t="s">
        <v>1700</v>
      </c>
      <c r="J584" s="27" t="s">
        <v>866</v>
      </c>
      <c r="R584" s="29" t="s">
        <v>1763</v>
      </c>
      <c r="CB584" s="26"/>
      <c r="CC584" s="26"/>
      <c r="CF584" s="8"/>
      <c r="CG584" s="26"/>
      <c r="CH584" s="8"/>
      <c r="CM584" s="8"/>
      <c r="CR584" s="8"/>
    </row>
    <row r="585" spans="1:130" ht="13.5" x14ac:dyDescent="0.25">
      <c r="A585" s="8" t="s">
        <v>658</v>
      </c>
      <c r="B585" s="24" t="s">
        <v>659</v>
      </c>
      <c r="C585" s="25" t="s">
        <v>660</v>
      </c>
      <c r="E585" s="26" t="s">
        <v>1764</v>
      </c>
      <c r="F585" s="198" t="s">
        <v>1408</v>
      </c>
      <c r="G585" s="198" t="s">
        <v>1700</v>
      </c>
      <c r="H585" s="25" t="s">
        <v>3219</v>
      </c>
      <c r="J585" s="27" t="s">
        <v>866</v>
      </c>
      <c r="R585" s="29" t="s">
        <v>853</v>
      </c>
      <c r="X585" s="84" t="s">
        <v>1700</v>
      </c>
      <c r="Y585" s="84" t="s">
        <v>2932</v>
      </c>
      <c r="AA585" s="84" t="s">
        <v>3220</v>
      </c>
      <c r="AB585" s="84" t="s">
        <v>821</v>
      </c>
      <c r="CB585" s="26">
        <v>41977</v>
      </c>
      <c r="CC585" s="26" t="s">
        <v>853</v>
      </c>
      <c r="CD585" s="8" t="s">
        <v>3221</v>
      </c>
      <c r="CE585" s="8">
        <v>290</v>
      </c>
      <c r="CF585" s="8">
        <v>145</v>
      </c>
      <c r="CG585" s="26"/>
      <c r="CH585" s="8"/>
      <c r="CM585" s="8"/>
      <c r="CR585" s="8"/>
      <c r="DZ585" s="258"/>
    </row>
    <row r="586" spans="1:130" x14ac:dyDescent="0.25">
      <c r="A586" s="8" t="s">
        <v>430</v>
      </c>
      <c r="B586" s="24" t="s">
        <v>172</v>
      </c>
      <c r="C586" s="25" t="s">
        <v>431</v>
      </c>
      <c r="E586" s="26" t="s">
        <v>1762</v>
      </c>
      <c r="F586" s="198" t="s">
        <v>722</v>
      </c>
      <c r="G586" s="198" t="s">
        <v>1700</v>
      </c>
      <c r="H586" s="25" t="s">
        <v>1700</v>
      </c>
      <c r="J586" s="27" t="s">
        <v>866</v>
      </c>
      <c r="X586" s="84" t="s">
        <v>1700</v>
      </c>
      <c r="Y586" s="84" t="s">
        <v>498</v>
      </c>
      <c r="AA586" s="84" t="s">
        <v>432</v>
      </c>
      <c r="AB586" s="84" t="s">
        <v>1749</v>
      </c>
      <c r="CB586" s="26"/>
      <c r="CC586" s="26"/>
      <c r="CF586" s="8"/>
      <c r="CG586" s="26"/>
      <c r="CH586" s="8"/>
      <c r="CM586" s="8"/>
      <c r="CR586" s="8"/>
    </row>
    <row r="587" spans="1:130" x14ac:dyDescent="0.25">
      <c r="A587" s="8" t="s">
        <v>1077</v>
      </c>
      <c r="B587" s="24" t="s">
        <v>1855</v>
      </c>
      <c r="C587" s="25" t="s">
        <v>2154</v>
      </c>
      <c r="D587" s="26">
        <v>28159</v>
      </c>
      <c r="E587" s="26" t="s">
        <v>1768</v>
      </c>
      <c r="F587" s="198" t="s">
        <v>898</v>
      </c>
      <c r="G587" s="198" t="s">
        <v>2155</v>
      </c>
      <c r="H587" s="25" t="s">
        <v>1865</v>
      </c>
      <c r="J587" s="27" t="s">
        <v>866</v>
      </c>
      <c r="Q587" s="93"/>
      <c r="R587" s="28" t="s">
        <v>1763</v>
      </c>
      <c r="S587" s="29"/>
      <c r="T587" s="29"/>
      <c r="U587" s="29"/>
      <c r="V587" s="29"/>
      <c r="W587" s="95"/>
      <c r="X587" s="86"/>
      <c r="Y587" s="86"/>
      <c r="Z587" s="86"/>
      <c r="AA587" s="86"/>
      <c r="AB587" s="86"/>
      <c r="AE587" s="19"/>
      <c r="AF587" s="19"/>
      <c r="AG587" s="19"/>
      <c r="AI587" s="19"/>
      <c r="AJ587" s="19"/>
      <c r="AK587" s="19"/>
      <c r="AL587" s="19"/>
      <c r="AN587" s="19"/>
      <c r="AO587" s="19"/>
      <c r="AP587" s="19"/>
      <c r="AQ587" s="19"/>
      <c r="AS587" s="19"/>
      <c r="AT587" s="19"/>
      <c r="AU587" s="19"/>
      <c r="AV587" s="19"/>
      <c r="AX587" s="19"/>
      <c r="AY587" s="19"/>
      <c r="AZ587" s="19"/>
      <c r="BA587" s="19"/>
      <c r="BC587" s="19"/>
      <c r="BD587" s="19"/>
      <c r="BE587" s="19"/>
      <c r="BF587" s="19"/>
      <c r="BH587" s="19"/>
      <c r="BI587" s="19"/>
      <c r="BJ587" s="19"/>
      <c r="BK587" s="19"/>
      <c r="BM587" s="19"/>
      <c r="BN587" s="19"/>
      <c r="BO587" s="19"/>
      <c r="BP587" s="19"/>
      <c r="BR587" s="19"/>
      <c r="BS587" s="19"/>
      <c r="BT587" s="19"/>
      <c r="BU587" s="19"/>
      <c r="BW587" s="19"/>
      <c r="BX587" s="19"/>
      <c r="BY587" s="19"/>
      <c r="BZ587" s="19"/>
      <c r="CB587" s="26"/>
      <c r="CC587" s="26"/>
      <c r="CF587" s="8"/>
      <c r="CG587" s="26"/>
      <c r="CH587" s="8"/>
      <c r="CM587" s="8"/>
      <c r="CR587" s="8"/>
    </row>
    <row r="588" spans="1:130" x14ac:dyDescent="0.25">
      <c r="A588" s="8" t="s">
        <v>1077</v>
      </c>
      <c r="B588" s="24" t="s">
        <v>1855</v>
      </c>
      <c r="C588" s="25" t="s">
        <v>2154</v>
      </c>
      <c r="D588" s="26">
        <v>28159</v>
      </c>
      <c r="E588" s="26" t="s">
        <v>1768</v>
      </c>
      <c r="F588" s="198" t="s">
        <v>898</v>
      </c>
      <c r="G588" s="198" t="s">
        <v>1700</v>
      </c>
      <c r="H588" s="25" t="s">
        <v>2541</v>
      </c>
      <c r="J588" s="27" t="s">
        <v>866</v>
      </c>
      <c r="CB588" s="26"/>
      <c r="CC588" s="26"/>
      <c r="CF588" s="8"/>
      <c r="CG588" s="26"/>
      <c r="CH588" s="8"/>
      <c r="CM588" s="8"/>
      <c r="CR588" s="8"/>
    </row>
    <row r="589" spans="1:130" x14ac:dyDescent="0.25">
      <c r="A589" s="8" t="s">
        <v>3328</v>
      </c>
      <c r="B589" s="24" t="s">
        <v>1417</v>
      </c>
      <c r="F589" s="198" t="s">
        <v>1700</v>
      </c>
      <c r="G589" s="198" t="s">
        <v>1700</v>
      </c>
      <c r="H589" s="25" t="s">
        <v>1700</v>
      </c>
      <c r="I589" s="27" t="s">
        <v>3893</v>
      </c>
      <c r="J589" s="27" t="s">
        <v>866</v>
      </c>
      <c r="K589" s="28" t="s">
        <v>3907</v>
      </c>
      <c r="P589" s="17">
        <v>1</v>
      </c>
      <c r="R589" s="29" t="s">
        <v>1763</v>
      </c>
      <c r="CB589" s="278"/>
      <c r="CG589" s="278"/>
      <c r="CH589" s="278"/>
      <c r="CK589" s="279"/>
      <c r="CL589" s="278"/>
      <c r="CM589" s="278"/>
      <c r="CP589" s="279"/>
    </row>
    <row r="590" spans="1:130" x14ac:dyDescent="0.25">
      <c r="A590" s="8" t="s">
        <v>4047</v>
      </c>
      <c r="B590" s="24" t="s">
        <v>1417</v>
      </c>
      <c r="F590" s="198" t="s">
        <v>1700</v>
      </c>
      <c r="G590" s="198" t="s">
        <v>1700</v>
      </c>
      <c r="H590" s="25" t="s">
        <v>1700</v>
      </c>
      <c r="I590" s="27" t="s">
        <v>3902</v>
      </c>
      <c r="J590" s="27" t="s">
        <v>866</v>
      </c>
      <c r="K590" s="28" t="s">
        <v>3907</v>
      </c>
      <c r="P590" s="17">
        <v>1</v>
      </c>
      <c r="CB590" s="278"/>
      <c r="CG590" s="278"/>
    </row>
    <row r="591" spans="1:130" x14ac:dyDescent="0.25">
      <c r="A591" s="8" t="s">
        <v>4039</v>
      </c>
      <c r="B591" s="24" t="s">
        <v>1595</v>
      </c>
      <c r="F591" s="198" t="s">
        <v>1700</v>
      </c>
      <c r="G591" s="198" t="s">
        <v>1700</v>
      </c>
      <c r="H591" s="25" t="s">
        <v>1700</v>
      </c>
      <c r="I591" s="27" t="s">
        <v>3902</v>
      </c>
      <c r="J591" s="27" t="s">
        <v>866</v>
      </c>
      <c r="K591" s="28" t="s">
        <v>3907</v>
      </c>
      <c r="P591" s="17">
        <v>1</v>
      </c>
      <c r="CB591" s="278"/>
      <c r="CG591" s="278"/>
    </row>
    <row r="592" spans="1:130" x14ac:dyDescent="0.25">
      <c r="A592" s="8" t="s">
        <v>2645</v>
      </c>
      <c r="B592" s="24" t="s">
        <v>1466</v>
      </c>
      <c r="C592" s="25" t="s">
        <v>2646</v>
      </c>
      <c r="E592" s="26" t="s">
        <v>1762</v>
      </c>
      <c r="F592" s="198" t="s">
        <v>2647</v>
      </c>
      <c r="G592" s="198" t="s">
        <v>1700</v>
      </c>
      <c r="H592" s="25" t="s">
        <v>2648</v>
      </c>
      <c r="I592" s="27" t="s">
        <v>3902</v>
      </c>
      <c r="J592" s="27" t="s">
        <v>866</v>
      </c>
      <c r="K592" s="28" t="s">
        <v>853</v>
      </c>
      <c r="R592" s="29" t="s">
        <v>853</v>
      </c>
      <c r="W592" s="93">
        <v>98</v>
      </c>
      <c r="X592" s="84" t="s">
        <v>1700</v>
      </c>
      <c r="Y592" s="84" t="s">
        <v>2499</v>
      </c>
      <c r="AA592" s="84" t="s">
        <v>2649</v>
      </c>
      <c r="AB592" s="84" t="s">
        <v>126</v>
      </c>
      <c r="AC592" s="26">
        <v>42313</v>
      </c>
      <c r="AD592" s="26" t="s">
        <v>853</v>
      </c>
      <c r="AE592" s="8" t="s">
        <v>4212</v>
      </c>
      <c r="AF592" s="8">
        <v>196</v>
      </c>
      <c r="AG592" s="8">
        <v>98</v>
      </c>
      <c r="CB592" s="26">
        <v>41921</v>
      </c>
      <c r="CC592" s="26" t="s">
        <v>853</v>
      </c>
      <c r="CD592" s="19" t="s">
        <v>2650</v>
      </c>
      <c r="CE592" s="19">
        <v>196</v>
      </c>
      <c r="CF592" s="19">
        <v>98</v>
      </c>
      <c r="CG592" s="26"/>
      <c r="CH592" s="19"/>
      <c r="CI592" s="19"/>
      <c r="CJ592" s="19"/>
      <c r="CK592" s="19"/>
      <c r="CM592" s="19"/>
      <c r="CN592" s="19"/>
      <c r="CO592" s="19"/>
      <c r="CP592" s="19"/>
      <c r="CR592" s="19"/>
      <c r="CS592" s="19"/>
      <c r="CT592" s="19"/>
      <c r="CU592" s="19"/>
      <c r="CW592" s="19"/>
      <c r="CX592" s="19"/>
      <c r="CY592" s="19"/>
      <c r="CZ592" s="19"/>
      <c r="DB592" s="19"/>
      <c r="DC592" s="19"/>
      <c r="DD592" s="19"/>
      <c r="DE592" s="19"/>
      <c r="DG592" s="19"/>
      <c r="DH592" s="19"/>
      <c r="DI592" s="19"/>
      <c r="DJ592" s="19"/>
      <c r="DL592" s="19"/>
      <c r="DM592" s="19"/>
      <c r="DN592" s="19"/>
      <c r="DO592" s="19"/>
      <c r="DQ592" s="19"/>
      <c r="DR592" s="19"/>
      <c r="DS592" s="19"/>
      <c r="DT592" s="19"/>
      <c r="DV592" s="19"/>
      <c r="DW592" s="19"/>
      <c r="DX592" s="19"/>
      <c r="DY592" s="19"/>
    </row>
    <row r="593" spans="1:129" x14ac:dyDescent="0.25">
      <c r="A593" s="8" t="s">
        <v>808</v>
      </c>
      <c r="B593" s="24" t="s">
        <v>1991</v>
      </c>
      <c r="E593" s="26" t="s">
        <v>1762</v>
      </c>
      <c r="F593" s="198" t="s">
        <v>898</v>
      </c>
      <c r="G593" s="198" t="s">
        <v>1700</v>
      </c>
      <c r="H593" s="25" t="s">
        <v>1700</v>
      </c>
      <c r="I593" s="27" t="s">
        <v>3902</v>
      </c>
      <c r="J593" s="27" t="s">
        <v>866</v>
      </c>
      <c r="K593" s="28" t="s">
        <v>3906</v>
      </c>
      <c r="CB593" s="278"/>
      <c r="CD593" s="279"/>
      <c r="CG593" s="278"/>
      <c r="CH593" s="278"/>
      <c r="CI593" s="279"/>
      <c r="CK593" s="279"/>
      <c r="CL593" s="278"/>
      <c r="CM593" s="278"/>
      <c r="CN593" s="279"/>
      <c r="CP593" s="279"/>
      <c r="CQ593" s="278"/>
      <c r="CR593" s="279"/>
      <c r="CS593" s="279"/>
      <c r="CU593" s="279"/>
      <c r="CV593" s="278"/>
      <c r="CW593" s="279"/>
      <c r="CX593" s="279"/>
      <c r="CZ593" s="279"/>
      <c r="DA593" s="278"/>
      <c r="DB593" s="279"/>
      <c r="DC593" s="279"/>
      <c r="DE593" s="279"/>
      <c r="DF593" s="278"/>
      <c r="DG593" s="279"/>
      <c r="DH593" s="279"/>
      <c r="DJ593" s="279"/>
      <c r="DK593" s="278"/>
      <c r="DL593" s="279"/>
      <c r="DM593" s="279"/>
      <c r="DO593" s="279"/>
      <c r="DP593" s="278"/>
      <c r="DQ593" s="279"/>
      <c r="DR593" s="279"/>
      <c r="DT593" s="279"/>
      <c r="DU593" s="279"/>
      <c r="DV593" s="279"/>
      <c r="DW593" s="279"/>
      <c r="DY593" s="279"/>
    </row>
    <row r="594" spans="1:129" x14ac:dyDescent="0.25">
      <c r="A594" s="8" t="s">
        <v>1319</v>
      </c>
      <c r="B594" s="24" t="s">
        <v>1138</v>
      </c>
      <c r="C594" s="25" t="s">
        <v>1320</v>
      </c>
      <c r="E594" s="26" t="s">
        <v>1762</v>
      </c>
      <c r="F594" s="198" t="s">
        <v>1396</v>
      </c>
      <c r="G594" s="198" t="s">
        <v>1700</v>
      </c>
      <c r="H594" s="25" t="s">
        <v>3093</v>
      </c>
      <c r="J594" s="27" t="s">
        <v>866</v>
      </c>
      <c r="R594" s="29" t="s">
        <v>853</v>
      </c>
      <c r="X594" s="84" t="s">
        <v>1700</v>
      </c>
      <c r="Y594" s="84" t="s">
        <v>3094</v>
      </c>
      <c r="AA594" s="84" t="s">
        <v>1321</v>
      </c>
      <c r="AB594" s="84" t="s">
        <v>1575</v>
      </c>
      <c r="CB594" s="26">
        <v>41943</v>
      </c>
      <c r="CC594" s="26" t="s">
        <v>853</v>
      </c>
      <c r="CD594" s="8" t="s">
        <v>3095</v>
      </c>
      <c r="CE594" s="8">
        <v>85</v>
      </c>
      <c r="CF594" s="8">
        <v>43</v>
      </c>
      <c r="CG594" s="26"/>
      <c r="CH594" s="8"/>
      <c r="CM594" s="8"/>
      <c r="CR594" s="8"/>
    </row>
    <row r="595" spans="1:129" x14ac:dyDescent="0.25">
      <c r="A595" s="8" t="s">
        <v>2003</v>
      </c>
      <c r="B595" s="24" t="s">
        <v>861</v>
      </c>
      <c r="C595" s="25" t="s">
        <v>1605</v>
      </c>
      <c r="E595" s="26" t="s">
        <v>1762</v>
      </c>
      <c r="F595" s="198" t="s">
        <v>1700</v>
      </c>
      <c r="G595" s="198" t="s">
        <v>1700</v>
      </c>
      <c r="H595" s="25" t="s">
        <v>1700</v>
      </c>
      <c r="J595" s="27" t="s">
        <v>866</v>
      </c>
      <c r="R595" s="29" t="s">
        <v>857</v>
      </c>
      <c r="S595" s="8" t="s">
        <v>1416</v>
      </c>
      <c r="X595" s="84" t="s">
        <v>1700</v>
      </c>
      <c r="Y595" s="84" t="s">
        <v>1606</v>
      </c>
      <c r="AA595" s="84" t="s">
        <v>1607</v>
      </c>
      <c r="AB595" s="84" t="s">
        <v>126</v>
      </c>
      <c r="CB595" s="26"/>
      <c r="CC595" s="26"/>
      <c r="CF595" s="8"/>
      <c r="CG595" s="26"/>
      <c r="CH595" s="8"/>
      <c r="CM595" s="8"/>
      <c r="CR595" s="8"/>
    </row>
    <row r="596" spans="1:129" x14ac:dyDescent="0.25">
      <c r="A596" s="8" t="s">
        <v>2064</v>
      </c>
      <c r="B596" s="24" t="s">
        <v>1471</v>
      </c>
      <c r="C596" s="25" t="s">
        <v>2065</v>
      </c>
      <c r="E596" s="26" t="s">
        <v>1762</v>
      </c>
      <c r="F596" s="198" t="s">
        <v>945</v>
      </c>
      <c r="G596" s="198" t="s">
        <v>1700</v>
      </c>
      <c r="H596" s="25" t="s">
        <v>1700</v>
      </c>
      <c r="J596" s="27" t="s">
        <v>866</v>
      </c>
      <c r="X596" s="84" t="s">
        <v>1700</v>
      </c>
      <c r="Y596" s="84" t="s">
        <v>791</v>
      </c>
      <c r="AA596" s="84" t="s">
        <v>2066</v>
      </c>
      <c r="AB596" s="84" t="s">
        <v>126</v>
      </c>
      <c r="CB596" s="26"/>
      <c r="CC596" s="26"/>
      <c r="CF596" s="8"/>
      <c r="CG596" s="26"/>
      <c r="CH596" s="8"/>
      <c r="CM596" s="8"/>
      <c r="CR596" s="8"/>
    </row>
    <row r="597" spans="1:129" x14ac:dyDescent="0.25">
      <c r="A597" s="8" t="s">
        <v>1147</v>
      </c>
      <c r="B597" s="24" t="s">
        <v>1428</v>
      </c>
      <c r="C597" s="25" t="s">
        <v>295</v>
      </c>
      <c r="E597" s="26" t="s">
        <v>1764</v>
      </c>
      <c r="F597" s="198" t="s">
        <v>1394</v>
      </c>
      <c r="G597" s="198" t="s">
        <v>1700</v>
      </c>
      <c r="H597" s="25" t="s">
        <v>2723</v>
      </c>
      <c r="I597" s="27" t="s">
        <v>3901</v>
      </c>
      <c r="J597" s="27" t="s">
        <v>866</v>
      </c>
      <c r="K597" s="28" t="s">
        <v>853</v>
      </c>
      <c r="R597" s="29" t="s">
        <v>853</v>
      </c>
      <c r="W597" s="93">
        <v>140</v>
      </c>
      <c r="X597" s="84" t="s">
        <v>1700</v>
      </c>
      <c r="Y597" s="84" t="s">
        <v>403</v>
      </c>
      <c r="AA597" s="84" t="s">
        <v>1165</v>
      </c>
      <c r="AB597" s="84" t="s">
        <v>1650</v>
      </c>
      <c r="AC597" s="26">
        <v>42311</v>
      </c>
      <c r="AD597" s="26" t="s">
        <v>853</v>
      </c>
      <c r="AE597" s="8" t="s">
        <v>4081</v>
      </c>
      <c r="AF597" s="8">
        <v>140</v>
      </c>
      <c r="AG597" s="8">
        <v>70</v>
      </c>
      <c r="AH597" s="26">
        <v>42311</v>
      </c>
      <c r="AI597" s="8" t="s">
        <v>853</v>
      </c>
      <c r="AJ597" s="8" t="s">
        <v>4082</v>
      </c>
      <c r="AK597" s="8">
        <v>140</v>
      </c>
      <c r="AL597" s="8">
        <v>70</v>
      </c>
      <c r="CA597" s="19"/>
      <c r="CB597" s="26">
        <v>41921</v>
      </c>
      <c r="CC597" s="26" t="s">
        <v>853</v>
      </c>
      <c r="CD597" s="8" t="s">
        <v>2724</v>
      </c>
      <c r="CE597" s="8">
        <v>260</v>
      </c>
      <c r="CF597" s="8">
        <v>130</v>
      </c>
      <c r="CG597" s="26"/>
      <c r="CH597" s="8"/>
      <c r="CM597" s="8"/>
      <c r="CR597" s="8"/>
    </row>
    <row r="598" spans="1:129" x14ac:dyDescent="0.25">
      <c r="A598" s="8" t="s">
        <v>4645</v>
      </c>
      <c r="B598" s="24" t="s">
        <v>1417</v>
      </c>
      <c r="C598" s="25" t="s">
        <v>4917</v>
      </c>
      <c r="F598" s="198" t="s">
        <v>1700</v>
      </c>
      <c r="G598" s="198" t="s">
        <v>1700</v>
      </c>
      <c r="H598" s="25" t="s">
        <v>1700</v>
      </c>
      <c r="I598" s="27" t="s">
        <v>3893</v>
      </c>
      <c r="J598" s="27" t="s">
        <v>866</v>
      </c>
      <c r="K598" s="28" t="s">
        <v>816</v>
      </c>
      <c r="L598" s="29" t="s">
        <v>853</v>
      </c>
      <c r="W598" s="93">
        <v>160</v>
      </c>
      <c r="X598" s="84" t="s">
        <v>1700</v>
      </c>
      <c r="Y598" s="84" t="s">
        <v>258</v>
      </c>
      <c r="AA598" s="84" t="s">
        <v>4918</v>
      </c>
      <c r="AB598" s="84" t="s">
        <v>1749</v>
      </c>
      <c r="AC598" s="26" t="s">
        <v>503</v>
      </c>
      <c r="AD598" s="26" t="s">
        <v>853</v>
      </c>
      <c r="AE598" s="8" t="s">
        <v>4919</v>
      </c>
      <c r="AF598" s="8">
        <v>437</v>
      </c>
      <c r="AG598" s="8">
        <v>160</v>
      </c>
      <c r="CB598" s="278"/>
      <c r="CG598" s="278"/>
    </row>
    <row r="599" spans="1:129" x14ac:dyDescent="0.25">
      <c r="A599" s="8" t="s">
        <v>3859</v>
      </c>
      <c r="B599" s="24" t="s">
        <v>871</v>
      </c>
      <c r="E599" s="26" t="s">
        <v>1762</v>
      </c>
      <c r="F599" s="198" t="s">
        <v>1700</v>
      </c>
      <c r="G599" s="198" t="s">
        <v>1700</v>
      </c>
      <c r="H599" s="25" t="s">
        <v>1700</v>
      </c>
      <c r="J599" s="27" t="s">
        <v>866</v>
      </c>
      <c r="L599" s="29" t="s">
        <v>3908</v>
      </c>
      <c r="R599" s="29" t="s">
        <v>1973</v>
      </c>
      <c r="CB599" s="278"/>
      <c r="CG599" s="278"/>
    </row>
    <row r="600" spans="1:129" x14ac:dyDescent="0.25">
      <c r="A600" s="8" t="s">
        <v>4028</v>
      </c>
      <c r="B600" s="24" t="s">
        <v>934</v>
      </c>
      <c r="D600" s="26">
        <v>27187</v>
      </c>
      <c r="E600" s="26" t="s">
        <v>877</v>
      </c>
      <c r="F600" s="198" t="s">
        <v>1700</v>
      </c>
      <c r="G600" s="198" t="s">
        <v>1700</v>
      </c>
      <c r="H600" s="25" t="s">
        <v>1700</v>
      </c>
      <c r="I600" s="27" t="s">
        <v>3902</v>
      </c>
      <c r="J600" s="27" t="s">
        <v>866</v>
      </c>
      <c r="K600" s="28" t="s">
        <v>817</v>
      </c>
      <c r="CB600" s="278"/>
      <c r="CG600" s="278"/>
    </row>
    <row r="601" spans="1:129" x14ac:dyDescent="0.25">
      <c r="A601" s="19" t="s">
        <v>1578</v>
      </c>
      <c r="B601" s="12" t="s">
        <v>1579</v>
      </c>
      <c r="C601" s="13" t="s">
        <v>31</v>
      </c>
      <c r="D601" s="14"/>
      <c r="E601" s="14" t="s">
        <v>1764</v>
      </c>
      <c r="F601" s="199" t="s">
        <v>852</v>
      </c>
      <c r="G601" s="199" t="s">
        <v>1700</v>
      </c>
      <c r="H601" s="13" t="s">
        <v>1700</v>
      </c>
      <c r="I601" s="22" t="s">
        <v>3894</v>
      </c>
      <c r="J601" s="22" t="s">
        <v>866</v>
      </c>
      <c r="K601" s="17" t="s">
        <v>859</v>
      </c>
      <c r="L601" s="17"/>
      <c r="M601" s="21"/>
      <c r="N601" s="21"/>
      <c r="O601" s="21"/>
      <c r="Q601" s="95"/>
      <c r="R601" s="17" t="s">
        <v>859</v>
      </c>
      <c r="S601" s="29"/>
      <c r="T601" s="29"/>
      <c r="U601" s="29"/>
      <c r="V601" s="29"/>
      <c r="W601" s="93">
        <v>280</v>
      </c>
      <c r="X601" s="84" t="s">
        <v>1700</v>
      </c>
      <c r="Y601" s="84" t="s">
        <v>791</v>
      </c>
      <c r="AA601" s="84" t="s">
        <v>355</v>
      </c>
      <c r="AB601" s="84" t="s">
        <v>1650</v>
      </c>
      <c r="AC601" s="26">
        <v>42439</v>
      </c>
      <c r="AD601" s="26" t="s">
        <v>859</v>
      </c>
      <c r="AE601" s="8" t="s">
        <v>4698</v>
      </c>
      <c r="AF601" s="8">
        <v>624</v>
      </c>
      <c r="AG601" s="8">
        <v>280</v>
      </c>
      <c r="CB601" s="26">
        <v>42060</v>
      </c>
      <c r="CC601" s="26" t="s">
        <v>859</v>
      </c>
      <c r="CD601" s="8" t="s">
        <v>2231</v>
      </c>
      <c r="CE601" s="8">
        <v>624</v>
      </c>
      <c r="CF601" s="8">
        <v>280</v>
      </c>
      <c r="CG601" s="26"/>
      <c r="CH601" s="8"/>
      <c r="CM601" s="8"/>
      <c r="CR601" s="8"/>
    </row>
    <row r="602" spans="1:129" x14ac:dyDescent="0.25">
      <c r="A602" s="8" t="s">
        <v>807</v>
      </c>
      <c r="B602" s="24" t="s">
        <v>1876</v>
      </c>
      <c r="E602" s="26" t="s">
        <v>877</v>
      </c>
      <c r="F602" s="198" t="s">
        <v>1700</v>
      </c>
      <c r="G602" s="198" t="s">
        <v>1700</v>
      </c>
      <c r="H602" s="25" t="s">
        <v>1700</v>
      </c>
      <c r="J602" s="27" t="s">
        <v>866</v>
      </c>
      <c r="AD602" s="8"/>
      <c r="BL602" s="8"/>
      <c r="BQ602" s="8"/>
      <c r="BV602" s="8"/>
      <c r="CB602" s="26"/>
      <c r="CC602" s="26"/>
      <c r="CF602" s="8"/>
      <c r="CG602" s="26"/>
      <c r="CH602" s="8"/>
      <c r="CM602" s="8"/>
      <c r="CR602" s="8"/>
    </row>
    <row r="603" spans="1:129" x14ac:dyDescent="0.25">
      <c r="A603" s="8" t="s">
        <v>806</v>
      </c>
      <c r="B603" s="24" t="s">
        <v>873</v>
      </c>
      <c r="E603" s="26" t="s">
        <v>1762</v>
      </c>
      <c r="F603" s="198" t="s">
        <v>1700</v>
      </c>
      <c r="G603" s="198" t="s">
        <v>1700</v>
      </c>
      <c r="H603" s="25" t="s">
        <v>1700</v>
      </c>
      <c r="I603" s="27" t="s">
        <v>3903</v>
      </c>
      <c r="J603" s="27" t="s">
        <v>866</v>
      </c>
      <c r="K603" s="28" t="s">
        <v>3907</v>
      </c>
      <c r="P603" s="17">
        <v>1</v>
      </c>
      <c r="R603" s="29" t="s">
        <v>1763</v>
      </c>
      <c r="CB603" s="278"/>
      <c r="CD603" s="279"/>
      <c r="CG603" s="278"/>
      <c r="CH603" s="278"/>
      <c r="CI603" s="279"/>
      <c r="CK603" s="279"/>
      <c r="CL603" s="278"/>
      <c r="CM603" s="278"/>
      <c r="CN603" s="279"/>
      <c r="CP603" s="279"/>
      <c r="CQ603" s="278"/>
      <c r="CR603" s="279"/>
      <c r="CS603" s="279"/>
      <c r="CU603" s="279"/>
      <c r="CV603" s="278"/>
      <c r="CW603" s="279"/>
      <c r="CX603" s="279"/>
      <c r="CZ603" s="279"/>
      <c r="DA603" s="278"/>
      <c r="DB603" s="279"/>
      <c r="DC603" s="279"/>
      <c r="DE603" s="279"/>
      <c r="DF603" s="278"/>
      <c r="DG603" s="279"/>
      <c r="DH603" s="279"/>
      <c r="DJ603" s="279"/>
      <c r="DK603" s="278"/>
      <c r="DL603" s="279"/>
      <c r="DM603" s="279"/>
      <c r="DO603" s="279"/>
      <c r="DP603" s="278"/>
      <c r="DQ603" s="279"/>
      <c r="DR603" s="279"/>
      <c r="DT603" s="279"/>
      <c r="DU603" s="278"/>
      <c r="DV603" s="279"/>
      <c r="DW603" s="279"/>
      <c r="DY603" s="279"/>
    </row>
    <row r="604" spans="1:129" x14ac:dyDescent="0.25">
      <c r="A604" s="8" t="s">
        <v>1139</v>
      </c>
      <c r="B604" s="24" t="s">
        <v>1471</v>
      </c>
      <c r="C604" s="25" t="s">
        <v>1140</v>
      </c>
      <c r="E604" s="26" t="s">
        <v>1762</v>
      </c>
      <c r="F604" s="198" t="s">
        <v>1467</v>
      </c>
      <c r="G604" s="198" t="s">
        <v>1700</v>
      </c>
      <c r="H604" s="25" t="s">
        <v>4197</v>
      </c>
      <c r="I604" s="27" t="s">
        <v>3902</v>
      </c>
      <c r="J604" s="27" t="s">
        <v>866</v>
      </c>
      <c r="K604" s="28" t="s">
        <v>853</v>
      </c>
      <c r="R604" s="29" t="s">
        <v>853</v>
      </c>
      <c r="W604" s="93">
        <v>131</v>
      </c>
      <c r="X604" s="84" t="s">
        <v>1700</v>
      </c>
      <c r="Y604" s="84" t="s">
        <v>791</v>
      </c>
      <c r="AA604" s="84" t="s">
        <v>1141</v>
      </c>
      <c r="AB604" s="84" t="s">
        <v>126</v>
      </c>
      <c r="AC604" s="26">
        <v>42313</v>
      </c>
      <c r="AD604" s="26" t="s">
        <v>853</v>
      </c>
      <c r="AE604" s="8" t="s">
        <v>4198</v>
      </c>
      <c r="AF604" s="8">
        <v>263.10000000000002</v>
      </c>
      <c r="AG604" s="8">
        <v>131</v>
      </c>
      <c r="CB604" s="26">
        <v>41943</v>
      </c>
      <c r="CC604" s="26" t="s">
        <v>853</v>
      </c>
      <c r="CD604" s="8" t="s">
        <v>3033</v>
      </c>
      <c r="CE604" s="8">
        <v>239.4</v>
      </c>
      <c r="CF604" s="8">
        <v>120</v>
      </c>
      <c r="CG604" s="26"/>
      <c r="CH604" s="8"/>
      <c r="CM604" s="8"/>
      <c r="CR604" s="8"/>
    </row>
    <row r="605" spans="1:129" x14ac:dyDescent="0.25">
      <c r="A605" s="19" t="s">
        <v>1580</v>
      </c>
      <c r="B605" s="12" t="s">
        <v>950</v>
      </c>
      <c r="C605" s="13"/>
      <c r="D605" s="14">
        <v>24867</v>
      </c>
      <c r="E605" s="14" t="s">
        <v>1762</v>
      </c>
      <c r="F605" s="200" t="s">
        <v>1729</v>
      </c>
      <c r="G605" s="200"/>
      <c r="H605" s="15">
        <v>8433</v>
      </c>
      <c r="I605" s="20" t="s">
        <v>3902</v>
      </c>
      <c r="J605" s="20" t="s">
        <v>866</v>
      </c>
      <c r="K605" s="17" t="s">
        <v>855</v>
      </c>
      <c r="L605" s="21" t="s">
        <v>3907</v>
      </c>
      <c r="M605" s="21"/>
      <c r="N605" s="21"/>
      <c r="O605" s="21"/>
      <c r="P605" s="17">
        <v>1</v>
      </c>
      <c r="Q605" s="95"/>
      <c r="R605" s="17" t="s">
        <v>855</v>
      </c>
      <c r="S605" s="29" t="s">
        <v>1763</v>
      </c>
      <c r="T605" s="29" t="s">
        <v>1416</v>
      </c>
      <c r="U605" s="29"/>
      <c r="V605" s="29"/>
      <c r="CB605" s="26"/>
      <c r="CC605" s="26"/>
      <c r="CF605" s="8"/>
      <c r="CG605" s="26"/>
      <c r="CH605" s="8"/>
      <c r="CM605" s="8"/>
      <c r="CR605" s="8"/>
    </row>
    <row r="606" spans="1:129" x14ac:dyDescent="0.25">
      <c r="A606" s="8" t="s">
        <v>989</v>
      </c>
      <c r="B606" s="24" t="s">
        <v>1859</v>
      </c>
      <c r="C606" s="25" t="s">
        <v>92</v>
      </c>
      <c r="E606" s="26" t="s">
        <v>1762</v>
      </c>
      <c r="F606" s="198" t="s">
        <v>3372</v>
      </c>
      <c r="G606" s="198" t="s">
        <v>2344</v>
      </c>
      <c r="H606" s="25" t="s">
        <v>3373</v>
      </c>
      <c r="I606" s="27" t="s">
        <v>3902</v>
      </c>
      <c r="J606" s="27" t="s">
        <v>866</v>
      </c>
      <c r="K606" s="28" t="s">
        <v>853</v>
      </c>
      <c r="R606" s="29" t="s">
        <v>853</v>
      </c>
      <c r="W606" s="93">
        <v>150</v>
      </c>
      <c r="X606" s="84" t="s">
        <v>1700</v>
      </c>
      <c r="Y606" s="84" t="s">
        <v>2499</v>
      </c>
      <c r="AA606" s="84" t="s">
        <v>1369</v>
      </c>
      <c r="AB606" s="84" t="s">
        <v>126</v>
      </c>
      <c r="AC606" s="26">
        <v>42313</v>
      </c>
      <c r="AD606" s="26" t="s">
        <v>853</v>
      </c>
      <c r="AE606" s="8" t="s">
        <v>4241</v>
      </c>
      <c r="AF606" s="8">
        <v>300</v>
      </c>
      <c r="AG606" s="8">
        <v>150</v>
      </c>
      <c r="CB606" s="26">
        <v>42011</v>
      </c>
      <c r="CC606" s="26" t="s">
        <v>853</v>
      </c>
      <c r="CD606" s="8" t="s">
        <v>3374</v>
      </c>
      <c r="CE606" s="8">
        <v>468</v>
      </c>
      <c r="CF606" s="8">
        <v>160</v>
      </c>
      <c r="CG606" s="26"/>
      <c r="CH606" s="8"/>
      <c r="CM606" s="8"/>
      <c r="CR606" s="8"/>
    </row>
    <row r="607" spans="1:129" x14ac:dyDescent="0.25">
      <c r="A607" s="8" t="s">
        <v>3432</v>
      </c>
      <c r="B607" s="24" t="s">
        <v>3433</v>
      </c>
      <c r="F607" s="198" t="s">
        <v>1700</v>
      </c>
      <c r="G607" s="198" t="s">
        <v>1700</v>
      </c>
      <c r="H607" s="25" t="s">
        <v>1700</v>
      </c>
      <c r="J607" s="27" t="s">
        <v>866</v>
      </c>
      <c r="R607" s="29" t="s">
        <v>1763</v>
      </c>
      <c r="CB607" s="278"/>
      <c r="CG607" s="278"/>
    </row>
    <row r="608" spans="1:129" x14ac:dyDescent="0.25">
      <c r="A608" s="8" t="s">
        <v>778</v>
      </c>
      <c r="B608" s="24" t="s">
        <v>944</v>
      </c>
      <c r="C608" s="25" t="s">
        <v>584</v>
      </c>
      <c r="D608" s="26">
        <v>21071</v>
      </c>
      <c r="E608" s="26" t="s">
        <v>1762</v>
      </c>
      <c r="F608" s="198" t="s">
        <v>852</v>
      </c>
      <c r="G608" s="198" t="s">
        <v>1700</v>
      </c>
      <c r="H608" s="25" t="s">
        <v>1700</v>
      </c>
      <c r="I608" s="27" t="s">
        <v>3901</v>
      </c>
      <c r="J608" s="27" t="s">
        <v>866</v>
      </c>
      <c r="K608" s="28" t="s">
        <v>3908</v>
      </c>
      <c r="Q608" s="93"/>
      <c r="R608" s="28" t="s">
        <v>857</v>
      </c>
      <c r="S608" s="29"/>
      <c r="T608" s="29"/>
      <c r="U608" s="29"/>
      <c r="V608" s="29"/>
      <c r="CB608" s="26"/>
      <c r="CC608" s="26"/>
      <c r="CF608" s="8"/>
      <c r="CG608" s="26"/>
      <c r="CH608" s="8"/>
      <c r="CM608" s="8"/>
      <c r="CR608" s="8"/>
    </row>
    <row r="609" spans="1:130" x14ac:dyDescent="0.25">
      <c r="A609" s="8" t="s">
        <v>3105</v>
      </c>
      <c r="B609" s="24" t="s">
        <v>1822</v>
      </c>
      <c r="E609" s="26" t="s">
        <v>1762</v>
      </c>
      <c r="F609" s="198" t="s">
        <v>1700</v>
      </c>
      <c r="G609" s="198" t="s">
        <v>1700</v>
      </c>
      <c r="H609" s="25" t="s">
        <v>1700</v>
      </c>
      <c r="J609" s="27" t="s">
        <v>866</v>
      </c>
      <c r="R609" s="29" t="s">
        <v>1763</v>
      </c>
      <c r="CB609" s="26"/>
      <c r="CC609" s="26"/>
      <c r="CF609" s="8"/>
      <c r="CG609" s="26"/>
      <c r="CH609" s="8"/>
      <c r="CM609" s="8"/>
      <c r="CR609" s="8"/>
    </row>
    <row r="610" spans="1:130" ht="13.5" x14ac:dyDescent="0.25">
      <c r="A610" s="8" t="s">
        <v>3974</v>
      </c>
      <c r="B610" s="24" t="s">
        <v>271</v>
      </c>
      <c r="C610" s="25" t="s">
        <v>3973</v>
      </c>
      <c r="E610" s="26" t="s">
        <v>1762</v>
      </c>
      <c r="F610" s="198" t="s">
        <v>1848</v>
      </c>
      <c r="G610" s="198" t="s">
        <v>1700</v>
      </c>
      <c r="H610" s="25" t="s">
        <v>3975</v>
      </c>
      <c r="I610" s="27" t="s">
        <v>3901</v>
      </c>
      <c r="J610" s="27" t="s">
        <v>866</v>
      </c>
      <c r="K610" s="28" t="s">
        <v>853</v>
      </c>
      <c r="W610" s="93">
        <v>21</v>
      </c>
      <c r="X610" s="84" t="s">
        <v>1700</v>
      </c>
      <c r="Y610" s="84" t="s">
        <v>2499</v>
      </c>
      <c r="AA610" s="84" t="s">
        <v>3977</v>
      </c>
      <c r="AB610" s="84" t="s">
        <v>126</v>
      </c>
      <c r="AC610" s="26">
        <v>42299</v>
      </c>
      <c r="AD610" s="26" t="s">
        <v>853</v>
      </c>
      <c r="AE610" s="8" t="s">
        <v>3978</v>
      </c>
      <c r="AF610" s="8">
        <v>42</v>
      </c>
      <c r="AG610" s="8">
        <v>21</v>
      </c>
      <c r="CB610" s="278"/>
      <c r="CG610" s="278"/>
      <c r="DZ610" s="258"/>
    </row>
    <row r="611" spans="1:130" x14ac:dyDescent="0.25">
      <c r="A611" s="8" t="s">
        <v>1229</v>
      </c>
      <c r="B611" s="24" t="s">
        <v>1230</v>
      </c>
      <c r="D611" s="26">
        <v>27101</v>
      </c>
      <c r="E611" s="26" t="s">
        <v>1762</v>
      </c>
      <c r="F611" s="198" t="s">
        <v>3813</v>
      </c>
      <c r="G611" s="198" t="s">
        <v>1700</v>
      </c>
      <c r="H611" s="25" t="s">
        <v>1700</v>
      </c>
      <c r="J611" s="27" t="s">
        <v>866</v>
      </c>
      <c r="L611" s="29" t="s">
        <v>816</v>
      </c>
      <c r="R611" s="29" t="s">
        <v>855</v>
      </c>
      <c r="CB611" s="26"/>
      <c r="CC611" s="26"/>
      <c r="CF611" s="8"/>
      <c r="CG611" s="26"/>
      <c r="CH611" s="8"/>
      <c r="CM611" s="8"/>
      <c r="CR611" s="8"/>
    </row>
    <row r="612" spans="1:130" x14ac:dyDescent="0.25">
      <c r="A612" s="8" t="s">
        <v>3856</v>
      </c>
      <c r="B612" s="24" t="s">
        <v>966</v>
      </c>
      <c r="E612" s="26" t="s">
        <v>1762</v>
      </c>
      <c r="F612" s="198" t="s">
        <v>1700</v>
      </c>
      <c r="G612" s="198" t="s">
        <v>1700</v>
      </c>
      <c r="H612" s="25" t="s">
        <v>1700</v>
      </c>
      <c r="J612" s="27" t="s">
        <v>866</v>
      </c>
      <c r="R612" s="29" t="s">
        <v>1973</v>
      </c>
      <c r="CB612" s="278"/>
      <c r="CG612" s="278"/>
    </row>
    <row r="613" spans="1:130" x14ac:dyDescent="0.25">
      <c r="A613" s="8" t="s">
        <v>4653</v>
      </c>
      <c r="B613" s="24" t="s">
        <v>861</v>
      </c>
      <c r="C613" s="25" t="s">
        <v>4652</v>
      </c>
      <c r="E613" s="26" t="s">
        <v>1762</v>
      </c>
      <c r="F613" s="198" t="s">
        <v>1609</v>
      </c>
      <c r="G613" s="198" t="s">
        <v>1700</v>
      </c>
      <c r="H613" s="25" t="s">
        <v>4654</v>
      </c>
      <c r="I613" s="27" t="s">
        <v>3904</v>
      </c>
      <c r="J613" s="27" t="s">
        <v>866</v>
      </c>
      <c r="K613" s="28" t="s">
        <v>853</v>
      </c>
      <c r="W613" s="93">
        <v>122</v>
      </c>
      <c r="X613" s="84" t="s">
        <v>1700</v>
      </c>
      <c r="Y613" s="84" t="s">
        <v>2499</v>
      </c>
      <c r="AA613" s="84" t="s">
        <v>4655</v>
      </c>
      <c r="AB613" s="84" t="s">
        <v>126</v>
      </c>
      <c r="AC613" s="26">
        <v>42416</v>
      </c>
      <c r="AD613" s="26" t="s">
        <v>853</v>
      </c>
      <c r="AE613" s="8" t="s">
        <v>4656</v>
      </c>
      <c r="AF613" s="8">
        <v>244</v>
      </c>
      <c r="AG613" s="8">
        <v>122</v>
      </c>
      <c r="CB613" s="278"/>
      <c r="CG613" s="278"/>
    </row>
    <row r="614" spans="1:130" x14ac:dyDescent="0.25">
      <c r="A614" s="8" t="s">
        <v>3970</v>
      </c>
      <c r="B614" s="24" t="s">
        <v>951</v>
      </c>
      <c r="F614" s="198" t="s">
        <v>2096</v>
      </c>
      <c r="G614" s="198" t="s">
        <v>1700</v>
      </c>
      <c r="H614" s="25" t="s">
        <v>1700</v>
      </c>
      <c r="I614" s="27" t="s">
        <v>3901</v>
      </c>
      <c r="J614" s="27" t="s">
        <v>866</v>
      </c>
      <c r="K614" s="28" t="s">
        <v>858</v>
      </c>
      <c r="L614" s="29" t="s">
        <v>3907</v>
      </c>
      <c r="P614" s="17">
        <v>1</v>
      </c>
      <c r="CB614" s="278"/>
      <c r="CG614" s="278"/>
    </row>
    <row r="615" spans="1:130" x14ac:dyDescent="0.25">
      <c r="A615" s="8" t="s">
        <v>204</v>
      </c>
      <c r="B615" s="24" t="s">
        <v>2184</v>
      </c>
      <c r="C615" s="25" t="s">
        <v>200</v>
      </c>
      <c r="E615" s="26" t="s">
        <v>1762</v>
      </c>
      <c r="F615" s="198" t="s">
        <v>975</v>
      </c>
      <c r="G615" s="198" t="s">
        <v>1700</v>
      </c>
      <c r="H615" s="25" t="s">
        <v>3179</v>
      </c>
      <c r="I615" s="27" t="s">
        <v>3903</v>
      </c>
      <c r="J615" s="27" t="s">
        <v>866</v>
      </c>
      <c r="K615" s="28" t="s">
        <v>853</v>
      </c>
      <c r="Q615" s="93"/>
      <c r="R615" s="28" t="s">
        <v>853</v>
      </c>
      <c r="S615" s="29"/>
      <c r="T615" s="29"/>
      <c r="U615" s="29"/>
      <c r="V615" s="29"/>
      <c r="W615" s="93">
        <v>104</v>
      </c>
      <c r="X615" s="84" t="s">
        <v>1700</v>
      </c>
      <c r="Y615" s="84" t="s">
        <v>246</v>
      </c>
      <c r="AA615" s="84" t="s">
        <v>1093</v>
      </c>
      <c r="AB615" s="84" t="s">
        <v>126</v>
      </c>
      <c r="AC615" s="26">
        <v>42360</v>
      </c>
      <c r="AD615" s="26" t="s">
        <v>853</v>
      </c>
      <c r="AE615" s="8" t="s">
        <v>4499</v>
      </c>
      <c r="AF615" s="8">
        <v>75</v>
      </c>
      <c r="AG615" s="8">
        <v>37</v>
      </c>
      <c r="AH615" s="26">
        <v>42360</v>
      </c>
      <c r="AI615" s="8" t="s">
        <v>853</v>
      </c>
      <c r="AJ615" s="8" t="s">
        <v>4500</v>
      </c>
      <c r="AK615" s="8">
        <v>135</v>
      </c>
      <c r="AL615" s="8">
        <v>67</v>
      </c>
      <c r="CB615" s="26">
        <v>41977</v>
      </c>
      <c r="CC615" s="26" t="s">
        <v>853</v>
      </c>
      <c r="CD615" s="8" t="s">
        <v>3180</v>
      </c>
      <c r="CE615" s="8">
        <v>130</v>
      </c>
      <c r="CF615" s="8">
        <v>65</v>
      </c>
      <c r="CG615" s="26">
        <v>42178</v>
      </c>
      <c r="CH615" s="8" t="s">
        <v>853</v>
      </c>
      <c r="CI615" s="8" t="s">
        <v>3762</v>
      </c>
      <c r="CJ615" s="8">
        <v>72</v>
      </c>
      <c r="CK615" s="8">
        <v>36</v>
      </c>
      <c r="CM615" s="8"/>
      <c r="CR615" s="8"/>
    </row>
    <row r="616" spans="1:130" x14ac:dyDescent="0.25">
      <c r="A616" s="8" t="s">
        <v>3588</v>
      </c>
      <c r="B616" s="24" t="s">
        <v>153</v>
      </c>
      <c r="F616" s="198" t="s">
        <v>1700</v>
      </c>
      <c r="G616" s="198" t="s">
        <v>1700</v>
      </c>
      <c r="H616" s="25" t="s">
        <v>1700</v>
      </c>
      <c r="J616" s="27" t="s">
        <v>866</v>
      </c>
      <c r="R616" s="29" t="s">
        <v>1763</v>
      </c>
      <c r="CB616" s="278"/>
      <c r="CG616" s="278"/>
    </row>
    <row r="617" spans="1:130" ht="13.5" x14ac:dyDescent="0.25">
      <c r="A617" s="8" t="s">
        <v>52</v>
      </c>
      <c r="B617" s="24" t="s">
        <v>244</v>
      </c>
      <c r="D617" s="26">
        <v>29539</v>
      </c>
      <c r="E617" s="26" t="s">
        <v>1762</v>
      </c>
      <c r="F617" s="198" t="s">
        <v>549</v>
      </c>
      <c r="G617" s="198" t="s">
        <v>1700</v>
      </c>
      <c r="H617" s="25" t="s">
        <v>1700</v>
      </c>
      <c r="I617" s="27" t="s">
        <v>3902</v>
      </c>
      <c r="J617" s="27" t="s">
        <v>866</v>
      </c>
      <c r="K617" s="28" t="s">
        <v>817</v>
      </c>
      <c r="CB617" s="278"/>
      <c r="CD617"/>
      <c r="CG617" s="278"/>
      <c r="CH617" s="278"/>
      <c r="CI617"/>
      <c r="CK617" s="279"/>
      <c r="CL617" s="278"/>
      <c r="CM617" s="278"/>
      <c r="CN617"/>
      <c r="CP617" s="279"/>
      <c r="CQ617"/>
      <c r="CR617"/>
      <c r="CS617"/>
      <c r="CU617"/>
      <c r="CV617"/>
      <c r="CW617"/>
      <c r="CX617"/>
      <c r="CZ617"/>
      <c r="DA617"/>
      <c r="DB617"/>
      <c r="DC617"/>
      <c r="DE617"/>
      <c r="DF617"/>
      <c r="DG617"/>
      <c r="DH617"/>
      <c r="DJ617"/>
      <c r="DK617"/>
      <c r="DL617"/>
      <c r="DM617"/>
      <c r="DO617"/>
      <c r="DP617"/>
      <c r="DQ617"/>
      <c r="DR617"/>
      <c r="DT617"/>
      <c r="DU617"/>
      <c r="DV617"/>
      <c r="DW617"/>
      <c r="DY617"/>
    </row>
    <row r="618" spans="1:130" ht="13.5" x14ac:dyDescent="0.25">
      <c r="A618" s="8" t="s">
        <v>781</v>
      </c>
      <c r="B618" s="24" t="s">
        <v>1581</v>
      </c>
      <c r="F618" s="198" t="s">
        <v>1700</v>
      </c>
      <c r="G618" s="198" t="s">
        <v>1700</v>
      </c>
      <c r="H618" s="25" t="s">
        <v>1700</v>
      </c>
      <c r="J618" s="27" t="s">
        <v>866</v>
      </c>
      <c r="R618" s="29" t="s">
        <v>1972</v>
      </c>
      <c r="CB618" s="278"/>
      <c r="CD618" s="279"/>
      <c r="CG618" s="278"/>
      <c r="CH618" s="278"/>
      <c r="CI618" s="279"/>
      <c r="CK618" s="279"/>
      <c r="CL618" s="278"/>
      <c r="CM618" s="278"/>
      <c r="CN618" s="279"/>
      <c r="CP618" s="279"/>
      <c r="CQ618" s="278"/>
      <c r="CR618" s="279"/>
      <c r="CS618" s="279"/>
      <c r="CU618" s="279"/>
      <c r="CV618" s="278"/>
      <c r="CW618" s="279"/>
      <c r="CX618" s="279"/>
      <c r="CZ618" s="279"/>
      <c r="DA618" s="278"/>
      <c r="DB618" s="279"/>
      <c r="DC618" s="279"/>
      <c r="DE618" s="279"/>
      <c r="DF618" s="278"/>
      <c r="DG618" s="279"/>
      <c r="DH618" s="279"/>
      <c r="DJ618" s="279"/>
      <c r="DK618" s="278"/>
      <c r="DL618" s="279"/>
      <c r="DM618" s="279"/>
      <c r="DO618" s="279"/>
      <c r="DP618" s="278"/>
      <c r="DQ618" s="279"/>
      <c r="DR618" s="279"/>
      <c r="DT618" s="279"/>
      <c r="DU618" s="278"/>
      <c r="DV618" s="258"/>
      <c r="DW618" s="258"/>
      <c r="DY618" s="258"/>
    </row>
    <row r="619" spans="1:130" ht="13.5" x14ac:dyDescent="0.25">
      <c r="A619" s="8" t="s">
        <v>3038</v>
      </c>
      <c r="B619" s="24" t="s">
        <v>3039</v>
      </c>
      <c r="C619" s="25" t="s">
        <v>3040</v>
      </c>
      <c r="E619" s="26" t="s">
        <v>1762</v>
      </c>
      <c r="F619" s="198" t="s">
        <v>1700</v>
      </c>
      <c r="G619" s="198" t="s">
        <v>1700</v>
      </c>
      <c r="H619" s="25" t="s">
        <v>1700</v>
      </c>
      <c r="J619" s="27" t="s">
        <v>866</v>
      </c>
      <c r="R619" s="29" t="s">
        <v>859</v>
      </c>
      <c r="X619" s="84" t="s">
        <v>1700</v>
      </c>
      <c r="Y619" s="84" t="s">
        <v>1530</v>
      </c>
      <c r="AA619" s="84" t="s">
        <v>3041</v>
      </c>
      <c r="AB619" s="84" t="s">
        <v>1465</v>
      </c>
      <c r="CB619" s="26">
        <v>41943</v>
      </c>
      <c r="CC619" s="26" t="s">
        <v>859</v>
      </c>
      <c r="CD619" s="8" t="s">
        <v>2237</v>
      </c>
      <c r="CE619" s="8">
        <v>588</v>
      </c>
      <c r="CF619" s="8">
        <v>280</v>
      </c>
      <c r="CG619" s="26"/>
      <c r="CH619" s="8"/>
      <c r="CM619" s="8"/>
      <c r="CR619" s="8"/>
      <c r="DZ619" s="258"/>
    </row>
    <row r="620" spans="1:130" x14ac:dyDescent="0.25">
      <c r="A620" s="8" t="s">
        <v>3835</v>
      </c>
      <c r="B620" s="24" t="s">
        <v>205</v>
      </c>
      <c r="C620" s="25" t="s">
        <v>3836</v>
      </c>
      <c r="E620" s="26" t="s">
        <v>1762</v>
      </c>
      <c r="F620" s="198" t="s">
        <v>1609</v>
      </c>
      <c r="G620" s="198" t="s">
        <v>1700</v>
      </c>
      <c r="H620" s="25" t="s">
        <v>3837</v>
      </c>
      <c r="J620" s="27" t="s">
        <v>866</v>
      </c>
      <c r="R620" s="29" t="s">
        <v>853</v>
      </c>
      <c r="X620" s="84" t="s">
        <v>1700</v>
      </c>
      <c r="Y620" s="84" t="s">
        <v>2921</v>
      </c>
      <c r="AA620" s="84" t="s">
        <v>3838</v>
      </c>
      <c r="AB620" s="84" t="s">
        <v>1938</v>
      </c>
      <c r="CB620" s="278">
        <v>42219</v>
      </c>
      <c r="CC620" s="278" t="s">
        <v>853</v>
      </c>
      <c r="CD620" s="8" t="s">
        <v>3839</v>
      </c>
      <c r="CE620" s="8">
        <v>165.5</v>
      </c>
      <c r="CF620" s="279">
        <v>82</v>
      </c>
      <c r="CG620" s="278">
        <v>42219</v>
      </c>
      <c r="CH620" s="26" t="s">
        <v>853</v>
      </c>
      <c r="CI620" s="8" t="s">
        <v>3840</v>
      </c>
      <c r="CJ620" s="8">
        <v>164.5</v>
      </c>
      <c r="CK620" s="8">
        <v>78</v>
      </c>
    </row>
    <row r="621" spans="1:130" x14ac:dyDescent="0.25">
      <c r="A621" s="8" t="s">
        <v>1582</v>
      </c>
      <c r="B621" s="24" t="s">
        <v>969</v>
      </c>
      <c r="C621" s="25" t="s">
        <v>3519</v>
      </c>
      <c r="E621" s="26" t="s">
        <v>1762</v>
      </c>
      <c r="F621" s="198" t="s">
        <v>968</v>
      </c>
      <c r="G621" s="198" t="s">
        <v>1700</v>
      </c>
      <c r="H621" s="25" t="s">
        <v>3520</v>
      </c>
      <c r="J621" s="27" t="s">
        <v>866</v>
      </c>
      <c r="R621" s="29" t="s">
        <v>853</v>
      </c>
      <c r="X621" s="84" t="s">
        <v>1700</v>
      </c>
      <c r="Y621" s="84" t="s">
        <v>2921</v>
      </c>
      <c r="AA621" s="84" t="s">
        <v>3521</v>
      </c>
      <c r="AB621" s="84" t="s">
        <v>1794</v>
      </c>
      <c r="CB621" s="278">
        <v>42074</v>
      </c>
      <c r="CC621" s="278" t="s">
        <v>853</v>
      </c>
      <c r="CD621" s="8" t="s">
        <v>3522</v>
      </c>
      <c r="CE621" s="8">
        <v>172</v>
      </c>
      <c r="CF621" s="279">
        <v>86</v>
      </c>
      <c r="CG621" s="278"/>
    </row>
    <row r="622" spans="1:130" x14ac:dyDescent="0.25">
      <c r="A622" s="8" t="s">
        <v>1582</v>
      </c>
      <c r="B622" s="24" t="s">
        <v>356</v>
      </c>
      <c r="C622" s="25" t="s">
        <v>2062</v>
      </c>
      <c r="E622" s="26" t="s">
        <v>1762</v>
      </c>
      <c r="F622" s="198" t="s">
        <v>869</v>
      </c>
      <c r="G622" s="198" t="s">
        <v>1700</v>
      </c>
      <c r="H622" s="25" t="s">
        <v>1700</v>
      </c>
      <c r="J622" s="27" t="s">
        <v>866</v>
      </c>
      <c r="R622" s="29" t="s">
        <v>855</v>
      </c>
      <c r="X622" s="84" t="s">
        <v>1700</v>
      </c>
      <c r="Y622" s="84" t="s">
        <v>319</v>
      </c>
      <c r="AA622" s="84" t="s">
        <v>2063</v>
      </c>
      <c r="AB622" s="84" t="s">
        <v>302</v>
      </c>
      <c r="CB622" s="26"/>
      <c r="CC622" s="26"/>
      <c r="CF622" s="8"/>
      <c r="CG622" s="26"/>
      <c r="CH622" s="8"/>
      <c r="CM622" s="8"/>
      <c r="CR622" s="8"/>
    </row>
    <row r="623" spans="1:130" ht="13.5" x14ac:dyDescent="0.25">
      <c r="A623" s="8" t="s">
        <v>2269</v>
      </c>
      <c r="B623" s="24" t="s">
        <v>951</v>
      </c>
      <c r="F623" s="198" t="s">
        <v>1700</v>
      </c>
      <c r="G623" s="198" t="s">
        <v>1700</v>
      </c>
      <c r="H623" s="25" t="s">
        <v>1700</v>
      </c>
      <c r="J623" s="27" t="s">
        <v>866</v>
      </c>
      <c r="R623" s="29" t="s">
        <v>1763</v>
      </c>
      <c r="CB623" s="278"/>
      <c r="CD623"/>
      <c r="CG623" s="278"/>
      <c r="CH623" s="278"/>
      <c r="CI623"/>
      <c r="CK623" s="279"/>
      <c r="CL623" s="278"/>
      <c r="CM623" s="278"/>
      <c r="CN623"/>
      <c r="CP623" s="279"/>
      <c r="CQ623"/>
      <c r="CR623"/>
      <c r="CS623"/>
      <c r="CU623"/>
      <c r="CV623"/>
      <c r="CW623"/>
      <c r="CX623"/>
      <c r="CZ623"/>
      <c r="DA623"/>
      <c r="DB623"/>
      <c r="DC623"/>
      <c r="DE623"/>
      <c r="DF623"/>
      <c r="DG623"/>
      <c r="DH623"/>
      <c r="DJ623"/>
      <c r="DK623"/>
      <c r="DL623"/>
      <c r="DM623"/>
      <c r="DO623"/>
      <c r="DP623"/>
      <c r="DQ623"/>
      <c r="DR623"/>
      <c r="DT623"/>
      <c r="DU623"/>
      <c r="DV623"/>
      <c r="DW623"/>
      <c r="DY623"/>
    </row>
    <row r="624" spans="1:130" x14ac:dyDescent="0.25">
      <c r="A624" s="8" t="s">
        <v>4541</v>
      </c>
      <c r="B624" s="24" t="s">
        <v>1746</v>
      </c>
      <c r="C624" s="25" t="s">
        <v>4540</v>
      </c>
      <c r="E624" s="26" t="s">
        <v>1764</v>
      </c>
      <c r="F624" s="198" t="s">
        <v>350</v>
      </c>
      <c r="G624" s="198" t="s">
        <v>1700</v>
      </c>
      <c r="H624" s="25" t="s">
        <v>4542</v>
      </c>
      <c r="I624" s="27" t="s">
        <v>3904</v>
      </c>
      <c r="J624" s="27" t="s">
        <v>866</v>
      </c>
      <c r="K624" s="28" t="s">
        <v>853</v>
      </c>
      <c r="W624" s="93">
        <v>45</v>
      </c>
      <c r="X624" s="84" t="s">
        <v>1700</v>
      </c>
      <c r="Y624" s="84" t="s">
        <v>1764</v>
      </c>
      <c r="AA624" s="84" t="s">
        <v>4543</v>
      </c>
      <c r="AB624" s="84" t="s">
        <v>1650</v>
      </c>
      <c r="AC624" s="26">
        <v>42360</v>
      </c>
      <c r="AD624" s="26" t="s">
        <v>853</v>
      </c>
      <c r="AE624" s="8" t="s">
        <v>4544</v>
      </c>
      <c r="AF624" s="8">
        <v>90.17</v>
      </c>
      <c r="AG624" s="8">
        <v>45</v>
      </c>
      <c r="CB624" s="278"/>
      <c r="CG624" s="278"/>
    </row>
    <row r="625" spans="1:130" x14ac:dyDescent="0.25">
      <c r="A625" s="8" t="s">
        <v>3826</v>
      </c>
      <c r="B625" s="24" t="s">
        <v>1553</v>
      </c>
      <c r="D625" s="26">
        <v>25699</v>
      </c>
      <c r="E625" s="26" t="s">
        <v>1762</v>
      </c>
      <c r="F625" s="198" t="s">
        <v>1353</v>
      </c>
      <c r="G625" s="198" t="s">
        <v>1700</v>
      </c>
      <c r="H625" s="25" t="s">
        <v>1700</v>
      </c>
      <c r="J625" s="27" t="s">
        <v>866</v>
      </c>
      <c r="R625" s="29" t="s">
        <v>855</v>
      </c>
      <c r="CB625" s="278"/>
      <c r="CG625" s="278"/>
    </row>
    <row r="626" spans="1:130" ht="13.5" x14ac:dyDescent="0.25">
      <c r="A626" s="8" t="s">
        <v>4605</v>
      </c>
      <c r="B626" s="24" t="s">
        <v>895</v>
      </c>
      <c r="F626" s="198" t="s">
        <v>1700</v>
      </c>
      <c r="G626" s="198" t="s">
        <v>1700</v>
      </c>
      <c r="H626" s="25" t="s">
        <v>1700</v>
      </c>
      <c r="I626" s="27" t="s">
        <v>3904</v>
      </c>
      <c r="J626" s="27" t="s">
        <v>866</v>
      </c>
      <c r="K626" s="28" t="s">
        <v>3907</v>
      </c>
      <c r="P626" s="17">
        <v>1</v>
      </c>
      <c r="CB626" s="278"/>
      <c r="CG626" s="278"/>
      <c r="DZ626" s="258"/>
    </row>
    <row r="627" spans="1:130" x14ac:dyDescent="0.25">
      <c r="A627" s="8" t="s">
        <v>3288</v>
      </c>
      <c r="B627" s="24" t="s">
        <v>962</v>
      </c>
      <c r="C627" s="25" t="s">
        <v>3287</v>
      </c>
      <c r="E627" s="26" t="s">
        <v>1764</v>
      </c>
      <c r="F627" s="198" t="s">
        <v>867</v>
      </c>
      <c r="G627" s="198" t="s">
        <v>1700</v>
      </c>
      <c r="H627" s="25" t="s">
        <v>3289</v>
      </c>
      <c r="J627" s="27" t="s">
        <v>866</v>
      </c>
      <c r="R627" s="29" t="s">
        <v>853</v>
      </c>
      <c r="X627" s="84" t="s">
        <v>1700</v>
      </c>
      <c r="Y627" s="84" t="s">
        <v>2711</v>
      </c>
      <c r="AA627" s="84" t="s">
        <v>3290</v>
      </c>
      <c r="AB627" s="84" t="s">
        <v>2629</v>
      </c>
      <c r="CB627" s="278">
        <v>41977</v>
      </c>
      <c r="CC627" s="278" t="s">
        <v>853</v>
      </c>
      <c r="CD627" s="279" t="s">
        <v>3291</v>
      </c>
      <c r="CE627" s="8">
        <v>100</v>
      </c>
      <c r="CF627" s="279">
        <v>50</v>
      </c>
      <c r="CG627" s="278"/>
      <c r="CH627" s="278"/>
      <c r="CI627" s="279"/>
      <c r="CK627" s="279"/>
      <c r="CL627" s="278"/>
      <c r="CM627" s="278"/>
      <c r="CN627" s="279"/>
      <c r="CP627" s="279"/>
      <c r="CQ627" s="279"/>
      <c r="CR627" s="279"/>
      <c r="CS627" s="279"/>
      <c r="CU627" s="279"/>
      <c r="CV627" s="279"/>
      <c r="CW627" s="279"/>
      <c r="CX627" s="279"/>
      <c r="CZ627" s="279"/>
      <c r="DA627" s="279"/>
      <c r="DB627" s="279"/>
      <c r="DC627" s="279"/>
      <c r="DE627" s="279"/>
      <c r="DF627" s="279"/>
      <c r="DG627" s="279"/>
      <c r="DH627" s="279"/>
      <c r="DJ627" s="279"/>
      <c r="DK627" s="279"/>
      <c r="DL627" s="279"/>
      <c r="DM627" s="279"/>
      <c r="DO627" s="279"/>
      <c r="DP627" s="279"/>
      <c r="DQ627" s="279"/>
      <c r="DR627" s="279"/>
      <c r="DT627" s="279"/>
      <c r="DU627" s="279"/>
      <c r="DV627" s="279"/>
      <c r="DW627" s="279"/>
      <c r="DY627" s="279"/>
    </row>
    <row r="628" spans="1:130" x14ac:dyDescent="0.25">
      <c r="A628" s="8" t="s">
        <v>3854</v>
      </c>
      <c r="B628" s="24" t="s">
        <v>3855</v>
      </c>
      <c r="E628" s="26" t="s">
        <v>1762</v>
      </c>
      <c r="F628" s="198" t="s">
        <v>1700</v>
      </c>
      <c r="G628" s="198" t="s">
        <v>1700</v>
      </c>
      <c r="H628" s="25" t="s">
        <v>1700</v>
      </c>
      <c r="J628" s="27" t="s">
        <v>866</v>
      </c>
      <c r="R628" s="29" t="s">
        <v>1973</v>
      </c>
      <c r="CB628" s="278"/>
      <c r="CG628" s="278"/>
    </row>
    <row r="629" spans="1:130" x14ac:dyDescent="0.25">
      <c r="A629" s="8" t="s">
        <v>440</v>
      </c>
      <c r="B629" s="24" t="s">
        <v>921</v>
      </c>
      <c r="C629" s="25" t="s">
        <v>441</v>
      </c>
      <c r="E629" s="26" t="s">
        <v>1762</v>
      </c>
      <c r="F629" s="198" t="s">
        <v>948</v>
      </c>
      <c r="G629" s="198" t="s">
        <v>1700</v>
      </c>
      <c r="H629" s="25" t="s">
        <v>2815</v>
      </c>
      <c r="I629" s="27" t="s">
        <v>3902</v>
      </c>
      <c r="J629" s="27" t="s">
        <v>866</v>
      </c>
      <c r="K629" s="28" t="s">
        <v>853</v>
      </c>
      <c r="R629" s="29" t="s">
        <v>853</v>
      </c>
      <c r="W629" s="93">
        <v>160</v>
      </c>
      <c r="X629" s="84" t="s">
        <v>1700</v>
      </c>
      <c r="Y629" s="84" t="s">
        <v>2817</v>
      </c>
      <c r="AA629" s="84" t="s">
        <v>2818</v>
      </c>
      <c r="AB629" s="84" t="s">
        <v>2816</v>
      </c>
      <c r="AC629" s="26">
        <v>42313</v>
      </c>
      <c r="AD629" s="26" t="s">
        <v>853</v>
      </c>
      <c r="AE629" s="8" t="s">
        <v>4176</v>
      </c>
      <c r="AF629" s="8">
        <v>459</v>
      </c>
      <c r="AG629" s="8">
        <v>160</v>
      </c>
      <c r="CB629" s="26">
        <v>41921</v>
      </c>
      <c r="CC629" s="26" t="s">
        <v>853</v>
      </c>
      <c r="CD629" s="8" t="s">
        <v>2819</v>
      </c>
      <c r="CE629" s="8">
        <v>205</v>
      </c>
      <c r="CF629" s="8">
        <v>103</v>
      </c>
      <c r="CG629" s="26"/>
      <c r="CH629" s="8"/>
      <c r="CM629" s="8"/>
      <c r="CR629" s="8"/>
    </row>
    <row r="630" spans="1:130" x14ac:dyDescent="0.25">
      <c r="A630" s="8" t="s">
        <v>2863</v>
      </c>
      <c r="B630" s="24" t="s">
        <v>2864</v>
      </c>
      <c r="E630" s="26" t="s">
        <v>1762</v>
      </c>
      <c r="F630" s="198" t="s">
        <v>916</v>
      </c>
      <c r="G630" s="198" t="s">
        <v>1700</v>
      </c>
      <c r="H630" s="25" t="s">
        <v>1700</v>
      </c>
      <c r="J630" s="27" t="s">
        <v>866</v>
      </c>
      <c r="R630" s="29" t="s">
        <v>855</v>
      </c>
      <c r="CB630" s="278"/>
      <c r="CD630" s="279"/>
      <c r="CG630" s="278"/>
      <c r="CH630" s="278"/>
      <c r="CI630" s="279"/>
      <c r="CK630" s="279"/>
      <c r="CL630" s="278"/>
      <c r="CM630" s="278"/>
      <c r="CN630" s="279"/>
      <c r="CP630" s="279"/>
      <c r="CQ630" s="278"/>
      <c r="CR630" s="279"/>
      <c r="CS630" s="279"/>
      <c r="CU630" s="279"/>
      <c r="CV630" s="278"/>
      <c r="CW630" s="279"/>
      <c r="CX630" s="279"/>
      <c r="CZ630" s="279"/>
      <c r="DA630" s="278"/>
      <c r="DB630" s="279"/>
      <c r="DC630" s="279"/>
      <c r="DE630" s="279"/>
      <c r="DF630" s="278"/>
      <c r="DG630" s="279"/>
      <c r="DH630" s="279"/>
      <c r="DJ630" s="279"/>
      <c r="DK630" s="278"/>
      <c r="DL630" s="279"/>
      <c r="DM630" s="279"/>
      <c r="DO630" s="279"/>
      <c r="DP630" s="278"/>
      <c r="DQ630" s="279"/>
      <c r="DR630" s="279"/>
      <c r="DT630" s="279"/>
      <c r="DU630" s="278"/>
      <c r="DV630" s="279"/>
      <c r="DW630" s="279"/>
      <c r="DY630" s="279"/>
    </row>
    <row r="631" spans="1:130" x14ac:dyDescent="0.25">
      <c r="A631" s="8" t="s">
        <v>3046</v>
      </c>
      <c r="B631" s="24" t="s">
        <v>1471</v>
      </c>
      <c r="C631" s="25" t="s">
        <v>3045</v>
      </c>
      <c r="E631" s="26" t="s">
        <v>1762</v>
      </c>
      <c r="F631" s="198" t="s">
        <v>948</v>
      </c>
      <c r="G631" s="198" t="s">
        <v>1700</v>
      </c>
      <c r="H631" s="25" t="s">
        <v>3047</v>
      </c>
      <c r="I631" s="27" t="s">
        <v>3903</v>
      </c>
      <c r="J631" s="27" t="s">
        <v>866</v>
      </c>
      <c r="K631" s="28" t="s">
        <v>853</v>
      </c>
      <c r="R631" s="29" t="s">
        <v>853</v>
      </c>
      <c r="W631" s="93">
        <v>92</v>
      </c>
      <c r="X631" s="84" t="s">
        <v>1700</v>
      </c>
      <c r="Y631" s="84" t="s">
        <v>629</v>
      </c>
      <c r="AA631" s="84" t="s">
        <v>3048</v>
      </c>
      <c r="AB631" s="84" t="s">
        <v>630</v>
      </c>
      <c r="AC631" s="26">
        <v>42360</v>
      </c>
      <c r="AD631" s="26" t="s">
        <v>853</v>
      </c>
      <c r="AE631" s="8" t="s">
        <v>4489</v>
      </c>
      <c r="AF631" s="8">
        <v>184.8</v>
      </c>
      <c r="AG631" s="8">
        <v>92</v>
      </c>
      <c r="CB631" s="26">
        <v>41943</v>
      </c>
      <c r="CC631" s="26" t="s">
        <v>853</v>
      </c>
      <c r="CD631" s="8" t="s">
        <v>3049</v>
      </c>
      <c r="CE631" s="8">
        <v>176</v>
      </c>
      <c r="CF631" s="8">
        <v>88</v>
      </c>
      <c r="CG631" s="26"/>
      <c r="CH631" s="8"/>
      <c r="CM631" s="8"/>
      <c r="CR631" s="8"/>
    </row>
    <row r="632" spans="1:130" x14ac:dyDescent="0.25">
      <c r="A632" s="8" t="s">
        <v>3334</v>
      </c>
      <c r="B632" s="24" t="s">
        <v>1185</v>
      </c>
      <c r="C632" s="25" t="s">
        <v>3336</v>
      </c>
      <c r="D632" s="26">
        <v>33157</v>
      </c>
      <c r="E632" s="26" t="s">
        <v>1762</v>
      </c>
      <c r="F632" s="198" t="s">
        <v>87</v>
      </c>
      <c r="G632" s="198" t="s">
        <v>3337</v>
      </c>
      <c r="H632" s="25" t="s">
        <v>3335</v>
      </c>
      <c r="J632" s="27" t="s">
        <v>866</v>
      </c>
      <c r="R632" s="29" t="s">
        <v>856</v>
      </c>
      <c r="S632" s="8" t="s">
        <v>1972</v>
      </c>
      <c r="CB632" s="26"/>
      <c r="CC632" s="26"/>
      <c r="CF632" s="8"/>
      <c r="CG632" s="26"/>
      <c r="CH632" s="8"/>
      <c r="CM632" s="8"/>
      <c r="CR632" s="8"/>
    </row>
    <row r="633" spans="1:130" x14ac:dyDescent="0.25">
      <c r="A633" s="8" t="s">
        <v>3620</v>
      </c>
      <c r="B633" s="24" t="s">
        <v>944</v>
      </c>
      <c r="C633" s="25" t="s">
        <v>3619</v>
      </c>
      <c r="E633" s="26" t="s">
        <v>1762</v>
      </c>
      <c r="F633" s="198" t="s">
        <v>891</v>
      </c>
      <c r="G633" s="198" t="s">
        <v>3573</v>
      </c>
      <c r="H633" s="25" t="s">
        <v>3621</v>
      </c>
      <c r="I633" s="27" t="s">
        <v>3897</v>
      </c>
      <c r="J633" s="27" t="s">
        <v>866</v>
      </c>
      <c r="K633" s="28" t="s">
        <v>853</v>
      </c>
      <c r="R633" s="29" t="s">
        <v>853</v>
      </c>
      <c r="W633" s="93">
        <v>160</v>
      </c>
      <c r="X633" s="84" t="s">
        <v>1700</v>
      </c>
      <c r="Y633" s="84" t="s">
        <v>2499</v>
      </c>
      <c r="AA633" s="84" t="s">
        <v>3622</v>
      </c>
      <c r="AB633" s="84" t="s">
        <v>126</v>
      </c>
      <c r="AC633" s="26">
        <v>42545</v>
      </c>
      <c r="AD633" s="26" t="s">
        <v>853</v>
      </c>
      <c r="AE633" s="8" t="s">
        <v>4862</v>
      </c>
      <c r="AF633" s="8">
        <v>365</v>
      </c>
      <c r="AG633" s="8">
        <v>160</v>
      </c>
      <c r="CB633" s="278">
        <v>42074</v>
      </c>
      <c r="CC633" s="278" t="s">
        <v>853</v>
      </c>
      <c r="CD633" s="8" t="s">
        <v>3623</v>
      </c>
      <c r="CE633" s="8">
        <v>115</v>
      </c>
      <c r="CF633" s="279">
        <v>58</v>
      </c>
      <c r="CG633" s="278"/>
    </row>
    <row r="634" spans="1:130" x14ac:dyDescent="0.25">
      <c r="A634" s="8" t="s">
        <v>25</v>
      </c>
      <c r="B634" s="24" t="s">
        <v>26</v>
      </c>
      <c r="F634" s="198" t="s">
        <v>1700</v>
      </c>
      <c r="G634" s="198" t="s">
        <v>1700</v>
      </c>
      <c r="H634" s="25" t="s">
        <v>1700</v>
      </c>
      <c r="J634" s="27" t="s">
        <v>866</v>
      </c>
      <c r="CA634" s="19"/>
      <c r="CB634" s="26"/>
      <c r="CC634" s="26"/>
      <c r="CF634" s="8"/>
      <c r="CG634" s="26"/>
      <c r="CH634" s="8"/>
      <c r="CM634" s="8"/>
      <c r="CR634" s="8"/>
    </row>
    <row r="635" spans="1:130" ht="13.5" x14ac:dyDescent="0.25">
      <c r="A635" s="8" t="s">
        <v>1338</v>
      </c>
      <c r="B635" s="24" t="s">
        <v>895</v>
      </c>
      <c r="C635" s="25" t="s">
        <v>1339</v>
      </c>
      <c r="E635" s="26" t="s">
        <v>1762</v>
      </c>
      <c r="F635" s="198" t="s">
        <v>1396</v>
      </c>
      <c r="G635" s="198" t="s">
        <v>1700</v>
      </c>
      <c r="H635" s="25" t="s">
        <v>2456</v>
      </c>
      <c r="J635" s="27" t="s">
        <v>866</v>
      </c>
      <c r="X635" s="84" t="s">
        <v>1700</v>
      </c>
      <c r="Y635" s="84" t="s">
        <v>791</v>
      </c>
      <c r="AA635" s="84" t="s">
        <v>1340</v>
      </c>
      <c r="AB635" s="84" t="s">
        <v>126</v>
      </c>
      <c r="CB635" s="26"/>
      <c r="CC635" s="26"/>
      <c r="CF635" s="8"/>
      <c r="CG635" s="26"/>
      <c r="CH635" s="8"/>
      <c r="CM635" s="8"/>
      <c r="CR635" s="8"/>
      <c r="DZ635" s="258"/>
    </row>
    <row r="636" spans="1:130" x14ac:dyDescent="0.25">
      <c r="A636" s="8" t="s">
        <v>3814</v>
      </c>
      <c r="B636" s="24" t="s">
        <v>53</v>
      </c>
      <c r="C636" s="25" t="s">
        <v>4076</v>
      </c>
      <c r="D636" s="26">
        <v>33756</v>
      </c>
      <c r="E636" s="26" t="s">
        <v>1762</v>
      </c>
      <c r="F636" s="198" t="s">
        <v>1554</v>
      </c>
      <c r="G636" s="198" t="s">
        <v>1700</v>
      </c>
      <c r="H636" s="25" t="s">
        <v>4077</v>
      </c>
      <c r="I636" s="27" t="s">
        <v>3901</v>
      </c>
      <c r="J636" s="27" t="s">
        <v>866</v>
      </c>
      <c r="K636" s="28" t="s">
        <v>853</v>
      </c>
      <c r="R636" s="29" t="s">
        <v>855</v>
      </c>
      <c r="W636" s="93">
        <v>160</v>
      </c>
      <c r="X636" s="84" t="s">
        <v>1700</v>
      </c>
      <c r="Y636" s="84" t="s">
        <v>4078</v>
      </c>
      <c r="AA636" s="84" t="s">
        <v>4079</v>
      </c>
      <c r="AB636" s="84" t="s">
        <v>1957</v>
      </c>
      <c r="AC636" s="26">
        <v>42311</v>
      </c>
      <c r="AD636" s="26" t="s">
        <v>853</v>
      </c>
      <c r="AE636" s="8" t="s">
        <v>4080</v>
      </c>
      <c r="AF636" s="8">
        <v>682</v>
      </c>
      <c r="AG636" s="8">
        <v>160</v>
      </c>
      <c r="CB636" s="278"/>
      <c r="CG636" s="278"/>
    </row>
    <row r="637" spans="1:130" x14ac:dyDescent="0.25">
      <c r="A637" s="8" t="s">
        <v>4942</v>
      </c>
      <c r="B637" s="24" t="s">
        <v>4604</v>
      </c>
      <c r="E637" s="26" t="s">
        <v>1762</v>
      </c>
      <c r="F637" s="198" t="s">
        <v>1700</v>
      </c>
      <c r="G637" s="198" t="s">
        <v>1700</v>
      </c>
      <c r="H637" s="25" t="s">
        <v>1700</v>
      </c>
      <c r="I637" s="27" t="s">
        <v>3901</v>
      </c>
      <c r="J637" s="27" t="s">
        <v>866</v>
      </c>
      <c r="K637" s="28" t="s">
        <v>3908</v>
      </c>
      <c r="CB637" s="278"/>
      <c r="CG637" s="278"/>
    </row>
    <row r="638" spans="1:130" x14ac:dyDescent="0.25">
      <c r="A638" s="8" t="s">
        <v>1903</v>
      </c>
      <c r="B638" s="24" t="s">
        <v>2054</v>
      </c>
      <c r="C638" s="25" t="s">
        <v>419</v>
      </c>
      <c r="D638" s="26">
        <v>29622</v>
      </c>
      <c r="E638" s="26" t="s">
        <v>1762</v>
      </c>
      <c r="F638" s="198" t="s">
        <v>1899</v>
      </c>
      <c r="G638" s="198" t="s">
        <v>1700</v>
      </c>
      <c r="H638" s="25" t="s">
        <v>3738</v>
      </c>
      <c r="I638" s="27" t="s">
        <v>3903</v>
      </c>
      <c r="J638" s="27" t="s">
        <v>866</v>
      </c>
      <c r="K638" s="28" t="s">
        <v>853</v>
      </c>
      <c r="R638" s="29" t="s">
        <v>853</v>
      </c>
      <c r="S638" s="8" t="s">
        <v>855</v>
      </c>
      <c r="W638" s="93">
        <v>102</v>
      </c>
      <c r="X638" s="84" t="s">
        <v>1700</v>
      </c>
      <c r="Y638" s="84" t="s">
        <v>791</v>
      </c>
      <c r="AA638" s="84" t="s">
        <v>420</v>
      </c>
      <c r="AB638" s="84" t="s">
        <v>126</v>
      </c>
      <c r="AC638" s="26">
        <v>42360</v>
      </c>
      <c r="AD638" s="26" t="s">
        <v>853</v>
      </c>
      <c r="AE638" s="8" t="s">
        <v>4468</v>
      </c>
      <c r="AF638" s="8">
        <v>205</v>
      </c>
      <c r="AG638" s="8">
        <v>102</v>
      </c>
      <c r="CB638" s="26">
        <v>42178</v>
      </c>
      <c r="CC638" s="26" t="s">
        <v>853</v>
      </c>
      <c r="CD638" s="8" t="s">
        <v>3739</v>
      </c>
      <c r="CE638" s="8">
        <v>205</v>
      </c>
      <c r="CF638" s="8">
        <v>103</v>
      </c>
      <c r="CG638" s="26">
        <v>42178</v>
      </c>
      <c r="CH638" s="8" t="s">
        <v>853</v>
      </c>
      <c r="CI638" s="8" t="s">
        <v>3740</v>
      </c>
      <c r="CJ638" s="8">
        <v>133</v>
      </c>
      <c r="CK638" s="8">
        <v>57</v>
      </c>
      <c r="CM638" s="8"/>
      <c r="CR638" s="8"/>
    </row>
    <row r="639" spans="1:130" x14ac:dyDescent="0.25">
      <c r="A639" s="8" t="s">
        <v>1903</v>
      </c>
      <c r="B639" s="24" t="s">
        <v>950</v>
      </c>
      <c r="C639" s="25" t="s">
        <v>1521</v>
      </c>
      <c r="E639" s="26" t="s">
        <v>896</v>
      </c>
      <c r="F639" s="198" t="s">
        <v>896</v>
      </c>
      <c r="G639" s="198" t="s">
        <v>1700</v>
      </c>
      <c r="H639" s="25" t="s">
        <v>3308</v>
      </c>
      <c r="J639" s="27" t="s">
        <v>866</v>
      </c>
      <c r="R639" s="29" t="s">
        <v>853</v>
      </c>
      <c r="X639" s="84" t="s">
        <v>1700</v>
      </c>
      <c r="Y639" s="84" t="s">
        <v>791</v>
      </c>
      <c r="AA639" s="84" t="s">
        <v>1522</v>
      </c>
      <c r="AB639" s="84" t="s">
        <v>126</v>
      </c>
      <c r="CB639" s="26">
        <v>41977</v>
      </c>
      <c r="CC639" s="26" t="s">
        <v>853</v>
      </c>
      <c r="CD639" s="8" t="s">
        <v>3309</v>
      </c>
      <c r="CE639" s="8">
        <v>368</v>
      </c>
      <c r="CF639" s="8">
        <v>160</v>
      </c>
      <c r="CG639" s="26"/>
      <c r="CH639" s="8"/>
      <c r="CM639" s="8"/>
      <c r="CR639" s="8"/>
    </row>
    <row r="640" spans="1:130" ht="13.5" x14ac:dyDescent="0.25">
      <c r="A640" s="8" t="s">
        <v>1903</v>
      </c>
      <c r="B640" s="24" t="s">
        <v>139</v>
      </c>
      <c r="C640" s="25" t="s">
        <v>2674</v>
      </c>
      <c r="E640" s="26" t="s">
        <v>1764</v>
      </c>
      <c r="F640" s="198" t="s">
        <v>2676</v>
      </c>
      <c r="G640" s="198" t="s">
        <v>1700</v>
      </c>
      <c r="H640" s="25" t="s">
        <v>2675</v>
      </c>
      <c r="I640" s="27" t="s">
        <v>3901</v>
      </c>
      <c r="J640" s="27" t="s">
        <v>866</v>
      </c>
      <c r="K640" s="28" t="s">
        <v>853</v>
      </c>
      <c r="R640" s="29" t="s">
        <v>853</v>
      </c>
      <c r="W640" s="93">
        <v>119</v>
      </c>
      <c r="X640" s="84" t="s">
        <v>1700</v>
      </c>
      <c r="Y640" s="84" t="s">
        <v>2499</v>
      </c>
      <c r="AA640" s="84" t="s">
        <v>2691</v>
      </c>
      <c r="AB640" s="84" t="s">
        <v>126</v>
      </c>
      <c r="AC640" s="26">
        <v>42299</v>
      </c>
      <c r="AD640" s="26" t="s">
        <v>853</v>
      </c>
      <c r="AE640" s="8" t="s">
        <v>4002</v>
      </c>
      <c r="AF640" s="8">
        <v>238.8</v>
      </c>
      <c r="AG640" s="8">
        <v>119</v>
      </c>
      <c r="CB640" s="278">
        <v>41921</v>
      </c>
      <c r="CC640" s="278" t="s">
        <v>853</v>
      </c>
      <c r="CD640" s="279" t="s">
        <v>2692</v>
      </c>
      <c r="CE640" s="8">
        <v>215.7</v>
      </c>
      <c r="CF640" s="279">
        <v>108</v>
      </c>
      <c r="CG640" s="278"/>
      <c r="CH640" s="278"/>
      <c r="CI640" s="258"/>
      <c r="CK640" s="279"/>
      <c r="CL640" s="278"/>
      <c r="CM640" s="278"/>
      <c r="CN640" s="258"/>
      <c r="CP640" s="279"/>
      <c r="CQ640" s="258"/>
      <c r="CR640" s="258"/>
      <c r="CS640" s="258"/>
      <c r="CU640" s="258"/>
      <c r="CV640" s="258"/>
      <c r="CW640" s="258"/>
      <c r="CX640" s="258"/>
      <c r="CZ640" s="258"/>
      <c r="DA640" s="258"/>
      <c r="DB640" s="258"/>
      <c r="DC640" s="258"/>
      <c r="DE640" s="258"/>
      <c r="DF640" s="258"/>
      <c r="DG640" s="258"/>
      <c r="DH640" s="258"/>
      <c r="DJ640" s="258"/>
      <c r="DK640" s="258"/>
      <c r="DL640" s="258"/>
      <c r="DM640" s="258"/>
      <c r="DO640" s="258"/>
      <c r="DP640" s="258"/>
      <c r="DQ640" s="258"/>
      <c r="DR640" s="258"/>
      <c r="DT640" s="258"/>
      <c r="DU640" s="258"/>
      <c r="DV640" s="258"/>
      <c r="DW640" s="258"/>
      <c r="DY640" s="258"/>
    </row>
    <row r="641" spans="1:130" x14ac:dyDescent="0.25">
      <c r="A641" s="8" t="s">
        <v>1722</v>
      </c>
      <c r="B641" s="24" t="s">
        <v>897</v>
      </c>
      <c r="C641" s="25" t="s">
        <v>1724</v>
      </c>
      <c r="E641" s="26" t="s">
        <v>1762</v>
      </c>
      <c r="F641" s="198" t="s">
        <v>276</v>
      </c>
      <c r="G641" s="198" t="s">
        <v>1700</v>
      </c>
      <c r="H641" s="25" t="s">
        <v>3794</v>
      </c>
      <c r="I641" s="27" t="s">
        <v>3903</v>
      </c>
      <c r="J641" s="27" t="s">
        <v>866</v>
      </c>
      <c r="K641" s="28" t="s">
        <v>853</v>
      </c>
      <c r="R641" s="29" t="s">
        <v>853</v>
      </c>
      <c r="W641" s="93">
        <v>142</v>
      </c>
      <c r="X641" s="84" t="s">
        <v>1700</v>
      </c>
      <c r="Y641" s="84" t="s">
        <v>791</v>
      </c>
      <c r="AA641" s="84" t="s">
        <v>1725</v>
      </c>
      <c r="AB641" s="84" t="s">
        <v>126</v>
      </c>
      <c r="AC641" s="26">
        <v>42352</v>
      </c>
      <c r="AD641" s="26" t="s">
        <v>853</v>
      </c>
      <c r="AE641" s="8" t="s">
        <v>4360</v>
      </c>
      <c r="AF641" s="8">
        <v>160</v>
      </c>
      <c r="AG641" s="8">
        <v>80</v>
      </c>
      <c r="AH641" s="26">
        <v>42352</v>
      </c>
      <c r="AI641" s="8" t="s">
        <v>853</v>
      </c>
      <c r="AJ641" s="8" t="s">
        <v>4361</v>
      </c>
      <c r="AK641" s="8">
        <v>125</v>
      </c>
      <c r="AL641" s="8">
        <v>62</v>
      </c>
      <c r="CB641" s="26">
        <v>42188</v>
      </c>
      <c r="CC641" s="26" t="s">
        <v>853</v>
      </c>
      <c r="CD641" s="8" t="s">
        <v>3795</v>
      </c>
      <c r="CE641" s="8">
        <v>125</v>
      </c>
      <c r="CF641" s="8">
        <v>63</v>
      </c>
      <c r="CG641" s="26"/>
      <c r="CH641" s="8"/>
      <c r="CM641" s="8"/>
      <c r="CR641" s="8"/>
    </row>
    <row r="642" spans="1:130" x14ac:dyDescent="0.25">
      <c r="A642" s="8" t="s">
        <v>2812</v>
      </c>
      <c r="B642" s="24" t="s">
        <v>966</v>
      </c>
      <c r="C642" s="25" t="s">
        <v>402</v>
      </c>
      <c r="E642" s="26" t="s">
        <v>1764</v>
      </c>
      <c r="F642" s="198" t="s">
        <v>948</v>
      </c>
      <c r="G642" s="198" t="s">
        <v>1700</v>
      </c>
      <c r="H642" s="25" t="s">
        <v>4303</v>
      </c>
      <c r="I642" s="27" t="s">
        <v>3902</v>
      </c>
      <c r="J642" s="27" t="s">
        <v>866</v>
      </c>
      <c r="K642" s="28" t="s">
        <v>853</v>
      </c>
      <c r="Q642" s="95"/>
      <c r="R642" s="17" t="s">
        <v>853</v>
      </c>
      <c r="S642" s="29"/>
      <c r="T642" s="29"/>
      <c r="U642" s="29"/>
      <c r="V642" s="29"/>
      <c r="W642" s="93">
        <v>160</v>
      </c>
      <c r="X642" s="84" t="s">
        <v>1700</v>
      </c>
      <c r="Y642" s="84" t="s">
        <v>290</v>
      </c>
      <c r="AA642" s="84" t="s">
        <v>1123</v>
      </c>
      <c r="AB642" s="84" t="s">
        <v>1650</v>
      </c>
      <c r="AC642" s="26">
        <v>42334</v>
      </c>
      <c r="AD642" s="26" t="s">
        <v>853</v>
      </c>
      <c r="AE642" s="8" t="s">
        <v>4304</v>
      </c>
      <c r="AF642" s="8">
        <v>325</v>
      </c>
      <c r="AG642" s="8">
        <v>160</v>
      </c>
      <c r="CB642" s="26">
        <v>41921</v>
      </c>
      <c r="CC642" s="26" t="s">
        <v>853</v>
      </c>
      <c r="CD642" s="8" t="s">
        <v>2811</v>
      </c>
      <c r="CE642" s="8">
        <v>308</v>
      </c>
      <c r="CF642" s="8">
        <v>154</v>
      </c>
      <c r="CG642" s="26"/>
      <c r="CH642" s="8"/>
      <c r="CM642" s="8"/>
      <c r="CR642" s="8"/>
    </row>
    <row r="643" spans="1:130" ht="13.5" x14ac:dyDescent="0.25">
      <c r="A643" s="8" t="s">
        <v>4555</v>
      </c>
      <c r="B643" s="24" t="s">
        <v>1960</v>
      </c>
      <c r="C643" s="25" t="s">
        <v>4554</v>
      </c>
      <c r="E643" s="26" t="s">
        <v>1764</v>
      </c>
      <c r="F643" s="198" t="s">
        <v>891</v>
      </c>
      <c r="G643" s="198" t="s">
        <v>1700</v>
      </c>
      <c r="H643" s="25" t="s">
        <v>4556</v>
      </c>
      <c r="I643" s="27" t="s">
        <v>3904</v>
      </c>
      <c r="J643" s="27" t="s">
        <v>866</v>
      </c>
      <c r="K643" s="28" t="s">
        <v>853</v>
      </c>
      <c r="W643" s="93">
        <v>160</v>
      </c>
      <c r="X643" s="84" t="s">
        <v>1700</v>
      </c>
      <c r="Y643" s="84" t="s">
        <v>195</v>
      </c>
      <c r="AA643" s="84" t="s">
        <v>4557</v>
      </c>
      <c r="AB643" s="84" t="s">
        <v>4117</v>
      </c>
      <c r="AC643" s="26">
        <v>42360</v>
      </c>
      <c r="AD643" s="26" t="s">
        <v>853</v>
      </c>
      <c r="AE643" s="8" t="s">
        <v>4558</v>
      </c>
      <c r="AF643" s="8">
        <v>180</v>
      </c>
      <c r="AG643" s="8">
        <v>90</v>
      </c>
      <c r="AH643" s="26">
        <v>42360</v>
      </c>
      <c r="AI643" s="8" t="s">
        <v>853</v>
      </c>
      <c r="AJ643" s="8" t="s">
        <v>4559</v>
      </c>
      <c r="AK643" s="8">
        <v>164</v>
      </c>
      <c r="AL643" s="8">
        <v>70</v>
      </c>
      <c r="CB643" s="278"/>
      <c r="CG643" s="278"/>
      <c r="DZ643" s="258"/>
    </row>
    <row r="644" spans="1:130" x14ac:dyDescent="0.25">
      <c r="A644" s="8" t="s">
        <v>437</v>
      </c>
      <c r="B644" s="24" t="s">
        <v>1537</v>
      </c>
      <c r="C644" s="25" t="s">
        <v>438</v>
      </c>
      <c r="E644" s="26" t="s">
        <v>1764</v>
      </c>
      <c r="F644" s="198" t="s">
        <v>746</v>
      </c>
      <c r="G644" s="198" t="s">
        <v>1700</v>
      </c>
      <c r="H644" s="25" t="s">
        <v>1700</v>
      </c>
      <c r="J644" s="27" t="s">
        <v>866</v>
      </c>
      <c r="X644" s="84" t="s">
        <v>1700</v>
      </c>
      <c r="Y644" s="84" t="s">
        <v>498</v>
      </c>
      <c r="AA644" s="84" t="s">
        <v>439</v>
      </c>
      <c r="AB644" s="84" t="s">
        <v>1749</v>
      </c>
      <c r="CB644" s="26"/>
      <c r="CC644" s="26"/>
      <c r="CF644" s="8"/>
      <c r="CG644" s="26"/>
      <c r="CH644" s="8"/>
      <c r="CM644" s="8"/>
      <c r="CR644" s="8"/>
    </row>
    <row r="645" spans="1:130" x14ac:dyDescent="0.25">
      <c r="A645" s="8" t="s">
        <v>3853</v>
      </c>
      <c r="B645" s="24" t="s">
        <v>1185</v>
      </c>
      <c r="E645" s="26" t="s">
        <v>1762</v>
      </c>
      <c r="F645" s="198" t="s">
        <v>1700</v>
      </c>
      <c r="G645" s="198" t="s">
        <v>1700</v>
      </c>
      <c r="H645" s="25" t="s">
        <v>1700</v>
      </c>
      <c r="J645" s="27" t="s">
        <v>866</v>
      </c>
      <c r="R645" s="29" t="s">
        <v>1973</v>
      </c>
      <c r="CB645" s="278"/>
      <c r="CG645" s="278"/>
    </row>
    <row r="646" spans="1:130" x14ac:dyDescent="0.25">
      <c r="A646" s="8" t="s">
        <v>2899</v>
      </c>
      <c r="B646" s="24" t="s">
        <v>357</v>
      </c>
      <c r="C646" s="25" t="s">
        <v>2898</v>
      </c>
      <c r="E646" s="26" t="s">
        <v>1762</v>
      </c>
      <c r="F646" s="198" t="s">
        <v>1448</v>
      </c>
      <c r="G646" s="198" t="s">
        <v>1700</v>
      </c>
      <c r="H646" s="25" t="s">
        <v>2900</v>
      </c>
      <c r="I646" s="27" t="s">
        <v>3894</v>
      </c>
      <c r="J646" s="27" t="s">
        <v>866</v>
      </c>
      <c r="K646" s="28" t="s">
        <v>853</v>
      </c>
      <c r="R646" s="29" t="s">
        <v>853</v>
      </c>
      <c r="W646" s="93">
        <v>160</v>
      </c>
      <c r="X646" s="84" t="s">
        <v>1700</v>
      </c>
      <c r="Y646" s="84" t="s">
        <v>2499</v>
      </c>
      <c r="AA646" s="84" t="s">
        <v>2901</v>
      </c>
      <c r="AB646" s="84" t="s">
        <v>126</v>
      </c>
      <c r="AC646" s="26">
        <v>42453</v>
      </c>
      <c r="AD646" s="26" t="s">
        <v>853</v>
      </c>
      <c r="AE646" s="8" t="s">
        <v>4746</v>
      </c>
      <c r="AF646" s="8">
        <v>380</v>
      </c>
      <c r="AG646" s="8">
        <v>160</v>
      </c>
      <c r="CB646" s="26">
        <v>41934</v>
      </c>
      <c r="CC646" s="26" t="s">
        <v>853</v>
      </c>
      <c r="CD646" s="19" t="s">
        <v>2902</v>
      </c>
      <c r="CE646" s="19">
        <v>340</v>
      </c>
      <c r="CF646" s="19">
        <v>160</v>
      </c>
      <c r="CG646" s="26"/>
      <c r="CH646" s="19"/>
      <c r="CI646" s="19"/>
      <c r="CJ646" s="19"/>
      <c r="CK646" s="19"/>
      <c r="CM646" s="19"/>
      <c r="CN646" s="19"/>
      <c r="CO646" s="19"/>
      <c r="CP646" s="19"/>
      <c r="CR646" s="19"/>
      <c r="CS646" s="19"/>
      <c r="CT646" s="19"/>
      <c r="CU646" s="19"/>
      <c r="CW646" s="19"/>
      <c r="CX646" s="19"/>
      <c r="CY646" s="19"/>
      <c r="CZ646" s="19"/>
      <c r="DB646" s="19"/>
      <c r="DC646" s="19"/>
      <c r="DD646" s="19"/>
      <c r="DE646" s="19"/>
      <c r="DG646" s="19"/>
      <c r="DH646" s="19"/>
      <c r="DI646" s="19"/>
      <c r="DJ646" s="19"/>
      <c r="DL646" s="19"/>
      <c r="DM646" s="19"/>
      <c r="DN646" s="19"/>
      <c r="DO646" s="19"/>
      <c r="DQ646" s="19"/>
      <c r="DR646" s="19"/>
      <c r="DS646" s="19"/>
      <c r="DT646" s="19"/>
      <c r="DV646" s="19"/>
      <c r="DW646" s="19"/>
      <c r="DX646" s="19"/>
      <c r="DY646" s="19"/>
    </row>
    <row r="647" spans="1:130" x14ac:dyDescent="0.25">
      <c r="A647" s="8" t="s">
        <v>1371</v>
      </c>
      <c r="B647" s="24" t="s">
        <v>940</v>
      </c>
      <c r="C647" s="25" t="s">
        <v>1372</v>
      </c>
      <c r="E647" s="26" t="s">
        <v>1762</v>
      </c>
      <c r="F647" s="198" t="s">
        <v>1373</v>
      </c>
      <c r="G647" s="198" t="s">
        <v>1700</v>
      </c>
      <c r="H647" s="25" t="s">
        <v>1700</v>
      </c>
      <c r="J647" s="27" t="s">
        <v>866</v>
      </c>
      <c r="X647" s="84" t="s">
        <v>1700</v>
      </c>
      <c r="Y647" s="84" t="s">
        <v>791</v>
      </c>
      <c r="AA647" s="84" t="s">
        <v>1069</v>
      </c>
      <c r="AB647" s="84" t="s">
        <v>126</v>
      </c>
      <c r="AD647" s="8"/>
      <c r="BQ647" s="8"/>
      <c r="BV647" s="8"/>
      <c r="CB647" s="26"/>
      <c r="CC647" s="8"/>
      <c r="CF647" s="8"/>
      <c r="CG647" s="26"/>
      <c r="CH647" s="8"/>
      <c r="CM647" s="8"/>
      <c r="CR647" s="8"/>
      <c r="DP647" s="8"/>
      <c r="DU647" s="8"/>
    </row>
    <row r="648" spans="1:130" x14ac:dyDescent="0.25">
      <c r="A648" s="8" t="s">
        <v>1371</v>
      </c>
      <c r="B648" s="24" t="s">
        <v>1882</v>
      </c>
      <c r="C648" s="25" t="s">
        <v>900</v>
      </c>
      <c r="E648" s="26" t="s">
        <v>1762</v>
      </c>
      <c r="F648" s="198" t="s">
        <v>1408</v>
      </c>
      <c r="G648" s="198" t="s">
        <v>1700</v>
      </c>
      <c r="H648" s="25" t="s">
        <v>1700</v>
      </c>
      <c r="J648" s="27" t="s">
        <v>866</v>
      </c>
      <c r="X648" s="84" t="s">
        <v>1700</v>
      </c>
      <c r="Y648" s="84" t="s">
        <v>246</v>
      </c>
      <c r="AA648" s="84" t="s">
        <v>901</v>
      </c>
      <c r="AB648" s="84" t="s">
        <v>126</v>
      </c>
      <c r="CB648" s="26"/>
      <c r="CC648" s="26"/>
      <c r="CF648" s="8"/>
      <c r="CG648" s="26"/>
      <c r="CH648" s="8"/>
      <c r="CM648" s="8"/>
      <c r="CR648" s="8"/>
    </row>
    <row r="649" spans="1:130" x14ac:dyDescent="0.25">
      <c r="A649" s="8" t="s">
        <v>1913</v>
      </c>
      <c r="B649" s="24" t="s">
        <v>875</v>
      </c>
      <c r="C649" s="25" t="s">
        <v>1289</v>
      </c>
      <c r="E649" s="26" t="s">
        <v>1762</v>
      </c>
      <c r="F649" s="198" t="s">
        <v>1596</v>
      </c>
      <c r="G649" s="198" t="s">
        <v>1700</v>
      </c>
      <c r="H649" s="25" t="s">
        <v>2452</v>
      </c>
      <c r="J649" s="27" t="s">
        <v>866</v>
      </c>
      <c r="R649" s="29" t="s">
        <v>853</v>
      </c>
      <c r="X649" s="84" t="s">
        <v>1700</v>
      </c>
      <c r="Y649" s="84" t="s">
        <v>791</v>
      </c>
      <c r="AA649" s="84" t="s">
        <v>995</v>
      </c>
      <c r="AB649" s="84" t="s">
        <v>126</v>
      </c>
      <c r="CB649" s="26">
        <v>41977</v>
      </c>
      <c r="CC649" s="26" t="s">
        <v>853</v>
      </c>
      <c r="CD649" s="8" t="s">
        <v>3174</v>
      </c>
      <c r="CE649" s="8">
        <v>280</v>
      </c>
      <c r="CF649" s="8">
        <v>140</v>
      </c>
      <c r="CG649" s="26">
        <v>42178</v>
      </c>
      <c r="CH649" s="8" t="s">
        <v>853</v>
      </c>
      <c r="CI649" s="8" t="s">
        <v>3758</v>
      </c>
      <c r="CJ649" s="8">
        <v>66</v>
      </c>
      <c r="CK649" s="8">
        <v>20</v>
      </c>
      <c r="CM649" s="8"/>
      <c r="CR649" s="8"/>
    </row>
    <row r="650" spans="1:130" x14ac:dyDescent="0.25">
      <c r="A650" s="8" t="s">
        <v>1567</v>
      </c>
      <c r="B650" s="24" t="s">
        <v>728</v>
      </c>
      <c r="C650" s="25" t="s">
        <v>1568</v>
      </c>
      <c r="E650" s="26" t="s">
        <v>1764</v>
      </c>
      <c r="F650" s="198" t="s">
        <v>138</v>
      </c>
      <c r="G650" s="198" t="s">
        <v>1700</v>
      </c>
      <c r="H650" s="25" t="s">
        <v>4301</v>
      </c>
      <c r="I650" s="27" t="s">
        <v>3902</v>
      </c>
      <c r="J650" s="27" t="s">
        <v>866</v>
      </c>
      <c r="K650" s="28" t="s">
        <v>853</v>
      </c>
      <c r="W650" s="93">
        <v>135</v>
      </c>
      <c r="X650" s="84" t="s">
        <v>1700</v>
      </c>
      <c r="Y650" s="84" t="s">
        <v>791</v>
      </c>
      <c r="AA650" s="84" t="s">
        <v>1569</v>
      </c>
      <c r="AB650" s="84" t="s">
        <v>670</v>
      </c>
      <c r="AC650" s="26">
        <v>42334</v>
      </c>
      <c r="AD650" s="26" t="s">
        <v>853</v>
      </c>
      <c r="AE650" s="8" t="s">
        <v>4302</v>
      </c>
      <c r="AF650" s="8">
        <v>270</v>
      </c>
      <c r="AG650" s="8">
        <v>135</v>
      </c>
      <c r="CB650" s="26"/>
      <c r="CC650" s="26"/>
      <c r="CF650" s="8"/>
      <c r="CG650" s="26"/>
      <c r="CH650" s="8"/>
      <c r="CM650" s="8"/>
      <c r="CR650" s="8"/>
    </row>
    <row r="651" spans="1:130" x14ac:dyDescent="0.25">
      <c r="A651" s="8" t="s">
        <v>2190</v>
      </c>
      <c r="B651" s="24" t="s">
        <v>1660</v>
      </c>
      <c r="C651" s="25" t="s">
        <v>2189</v>
      </c>
      <c r="E651" s="26" t="s">
        <v>1762</v>
      </c>
      <c r="F651" s="198" t="s">
        <v>3372</v>
      </c>
      <c r="G651" s="198" t="s">
        <v>1700</v>
      </c>
      <c r="H651" s="25" t="s">
        <v>2362</v>
      </c>
      <c r="I651" s="27" t="s">
        <v>3896</v>
      </c>
      <c r="J651" s="27" t="s">
        <v>866</v>
      </c>
      <c r="K651" s="28" t="s">
        <v>853</v>
      </c>
      <c r="R651" s="29" t="s">
        <v>853</v>
      </c>
      <c r="W651" s="93">
        <v>160</v>
      </c>
      <c r="X651" s="84" t="s">
        <v>1700</v>
      </c>
      <c r="Y651" s="84" t="s">
        <v>2499</v>
      </c>
      <c r="AA651" s="84" t="s">
        <v>1097</v>
      </c>
      <c r="AB651" s="84" t="s">
        <v>126</v>
      </c>
      <c r="AC651" s="26">
        <v>42493</v>
      </c>
      <c r="AD651" s="26" t="s">
        <v>853</v>
      </c>
      <c r="AE651" s="8" t="s">
        <v>4267</v>
      </c>
      <c r="AF651" s="8">
        <v>468</v>
      </c>
      <c r="AG651" s="8">
        <v>160</v>
      </c>
      <c r="CB651" s="26">
        <v>42032</v>
      </c>
      <c r="CC651" s="26" t="s">
        <v>853</v>
      </c>
      <c r="CD651" s="8" t="s">
        <v>2363</v>
      </c>
      <c r="CE651" s="8">
        <v>468</v>
      </c>
      <c r="CF651" s="8">
        <v>160</v>
      </c>
      <c r="CG651" s="26"/>
      <c r="CH651" s="8"/>
      <c r="CM651" s="8"/>
      <c r="CR651" s="8"/>
    </row>
    <row r="652" spans="1:130" x14ac:dyDescent="0.25">
      <c r="A652" s="8" t="s">
        <v>4823</v>
      </c>
      <c r="B652" s="24" t="s">
        <v>1655</v>
      </c>
      <c r="F652" s="198" t="s">
        <v>1700</v>
      </c>
      <c r="G652" s="198" t="s">
        <v>1700</v>
      </c>
      <c r="H652" s="25" t="s">
        <v>1700</v>
      </c>
      <c r="I652" s="27" t="s">
        <v>3897</v>
      </c>
      <c r="J652" s="27" t="s">
        <v>866</v>
      </c>
      <c r="K652" s="28" t="s">
        <v>3907</v>
      </c>
      <c r="P652" s="17">
        <v>1</v>
      </c>
      <c r="CB652" s="278"/>
      <c r="CG652" s="278"/>
    </row>
    <row r="653" spans="1:130" x14ac:dyDescent="0.25">
      <c r="A653" s="8" t="s">
        <v>3627</v>
      </c>
      <c r="B653" s="24" t="s">
        <v>3628</v>
      </c>
      <c r="F653" s="198" t="s">
        <v>1700</v>
      </c>
      <c r="G653" s="198" t="s">
        <v>1700</v>
      </c>
      <c r="H653" s="25" t="s">
        <v>1700</v>
      </c>
      <c r="J653" s="27" t="s">
        <v>866</v>
      </c>
      <c r="R653" s="29" t="s">
        <v>1763</v>
      </c>
      <c r="CB653" s="278"/>
      <c r="CG653" s="278"/>
    </row>
    <row r="654" spans="1:130" x14ac:dyDescent="0.25">
      <c r="A654" s="8" t="s">
        <v>2185</v>
      </c>
      <c r="B654" s="24" t="s">
        <v>2152</v>
      </c>
      <c r="C654" s="25" t="s">
        <v>313</v>
      </c>
      <c r="E654" s="26" t="s">
        <v>1762</v>
      </c>
      <c r="F654" s="198" t="s">
        <v>888</v>
      </c>
      <c r="G654" s="198" t="s">
        <v>3406</v>
      </c>
      <c r="H654" s="25" t="s">
        <v>3780</v>
      </c>
      <c r="I654" s="27" t="s">
        <v>3901</v>
      </c>
      <c r="J654" s="27" t="s">
        <v>866</v>
      </c>
      <c r="K654" s="28" t="s">
        <v>853</v>
      </c>
      <c r="Q654" s="93"/>
      <c r="R654" s="28" t="s">
        <v>853</v>
      </c>
      <c r="S654" s="29"/>
      <c r="T654" s="29"/>
      <c r="U654" s="29"/>
      <c r="V654" s="29"/>
      <c r="W654" s="93">
        <v>158</v>
      </c>
      <c r="X654" s="84" t="s">
        <v>1700</v>
      </c>
      <c r="Y654" s="84" t="s">
        <v>246</v>
      </c>
      <c r="AA654" s="84" t="s">
        <v>1098</v>
      </c>
      <c r="AB654" s="84" t="s">
        <v>126</v>
      </c>
      <c r="AC654" s="26">
        <v>42311</v>
      </c>
      <c r="AD654" s="26" t="s">
        <v>853</v>
      </c>
      <c r="AE654" s="8" t="s">
        <v>4146</v>
      </c>
      <c r="AF654" s="8">
        <v>316</v>
      </c>
      <c r="AG654" s="8">
        <v>158</v>
      </c>
      <c r="CB654" s="26">
        <v>42188</v>
      </c>
      <c r="CC654" s="26" t="s">
        <v>853</v>
      </c>
      <c r="CD654" s="8" t="s">
        <v>3781</v>
      </c>
      <c r="CE654" s="8">
        <v>999</v>
      </c>
      <c r="CF654" s="8">
        <v>160</v>
      </c>
      <c r="CG654" s="26"/>
      <c r="CH654" s="8"/>
      <c r="CM654" s="8"/>
      <c r="CR654" s="8"/>
    </row>
    <row r="655" spans="1:130" ht="13.5" x14ac:dyDescent="0.25">
      <c r="A655" s="8" t="s">
        <v>3102</v>
      </c>
      <c r="B655" s="24" t="s">
        <v>931</v>
      </c>
      <c r="E655" s="26" t="s">
        <v>1762</v>
      </c>
      <c r="F655" s="198" t="s">
        <v>1700</v>
      </c>
      <c r="G655" s="198" t="s">
        <v>1700</v>
      </c>
      <c r="H655" s="25" t="s">
        <v>1700</v>
      </c>
      <c r="J655" s="27" t="s">
        <v>866</v>
      </c>
      <c r="R655" s="29" t="s">
        <v>1763</v>
      </c>
      <c r="CB655" s="278"/>
      <c r="CD655" s="279"/>
      <c r="CG655" s="278"/>
      <c r="CH655" s="278"/>
      <c r="CI655" s="258"/>
      <c r="CK655" s="279"/>
      <c r="CL655" s="278"/>
      <c r="CM655" s="278"/>
      <c r="CN655" s="258"/>
      <c r="CP655" s="279"/>
      <c r="CQ655" s="258"/>
      <c r="CR655" s="258"/>
      <c r="CS655" s="258"/>
      <c r="CU655" s="258"/>
      <c r="CV655" s="258"/>
      <c r="CW655" s="258"/>
      <c r="CX655" s="258"/>
      <c r="CZ655" s="258"/>
      <c r="DA655" s="258"/>
      <c r="DB655" s="258"/>
      <c r="DC655" s="258"/>
      <c r="DE655" s="258"/>
      <c r="DF655" s="258"/>
      <c r="DG655" s="258"/>
      <c r="DH655" s="258"/>
      <c r="DJ655" s="258"/>
      <c r="DK655" s="258"/>
      <c r="DL655" s="258"/>
      <c r="DM655" s="258"/>
      <c r="DO655" s="258"/>
      <c r="DP655" s="258"/>
      <c r="DQ655" s="258"/>
      <c r="DR655" s="258"/>
      <c r="DT655" s="258"/>
      <c r="DU655" s="258"/>
      <c r="DV655" s="258"/>
      <c r="DW655" s="258"/>
      <c r="DY655" s="258"/>
    </row>
    <row r="656" spans="1:130" ht="13.5" x14ac:dyDescent="0.25">
      <c r="A656" s="8" t="s">
        <v>1559</v>
      </c>
      <c r="B656" s="24" t="s">
        <v>880</v>
      </c>
      <c r="C656" s="25" t="s">
        <v>1560</v>
      </c>
      <c r="E656" s="26" t="s">
        <v>1764</v>
      </c>
      <c r="F656" s="198" t="s">
        <v>1503</v>
      </c>
      <c r="G656" s="198" t="s">
        <v>1700</v>
      </c>
      <c r="H656" s="25" t="s">
        <v>1700</v>
      </c>
      <c r="J656" s="27" t="s">
        <v>866</v>
      </c>
      <c r="R656" s="29" t="s">
        <v>853</v>
      </c>
      <c r="X656" s="84" t="s">
        <v>1700</v>
      </c>
      <c r="Y656" s="84" t="s">
        <v>1905</v>
      </c>
      <c r="AA656" s="84" t="s">
        <v>1561</v>
      </c>
      <c r="AB656" s="84" t="s">
        <v>1562</v>
      </c>
      <c r="CB656" s="26">
        <v>42178</v>
      </c>
      <c r="CC656" s="26" t="s">
        <v>853</v>
      </c>
      <c r="CD656" s="8" t="s">
        <v>3750</v>
      </c>
      <c r="CE656" s="8">
        <v>400</v>
      </c>
      <c r="CF656" s="8">
        <v>160</v>
      </c>
      <c r="CG656" s="26"/>
      <c r="CH656" s="8"/>
      <c r="CM656" s="8"/>
      <c r="CR656" s="8"/>
      <c r="DZ656" s="258"/>
    </row>
    <row r="657" spans="1:129" x14ac:dyDescent="0.25">
      <c r="A657" s="8" t="s">
        <v>1004</v>
      </c>
      <c r="B657" s="24" t="s">
        <v>481</v>
      </c>
      <c r="D657" s="26">
        <v>29076</v>
      </c>
      <c r="E657" s="26" t="s">
        <v>1762</v>
      </c>
      <c r="F657" s="198" t="s">
        <v>2540</v>
      </c>
      <c r="G657" s="198" t="s">
        <v>1700</v>
      </c>
      <c r="H657" s="25" t="s">
        <v>1700</v>
      </c>
      <c r="J657" s="27" t="s">
        <v>866</v>
      </c>
      <c r="R657" s="29" t="s">
        <v>855</v>
      </c>
      <c r="CB657" s="26"/>
      <c r="CC657" s="26"/>
      <c r="CF657" s="8"/>
      <c r="CG657" s="26"/>
      <c r="CH657" s="8"/>
      <c r="CM657" s="8"/>
      <c r="CR657" s="8"/>
    </row>
    <row r="658" spans="1:129" x14ac:dyDescent="0.25">
      <c r="A658" s="19" t="s">
        <v>320</v>
      </c>
      <c r="B658" s="12" t="s">
        <v>1589</v>
      </c>
      <c r="C658" s="13" t="s">
        <v>1282</v>
      </c>
      <c r="D658" s="14"/>
      <c r="E658" s="14" t="s">
        <v>1762</v>
      </c>
      <c r="F658" s="199" t="s">
        <v>977</v>
      </c>
      <c r="G658" s="199" t="s">
        <v>1700</v>
      </c>
      <c r="H658" s="13" t="s">
        <v>4864</v>
      </c>
      <c r="I658" s="20" t="s">
        <v>3897</v>
      </c>
      <c r="J658" s="20" t="s">
        <v>866</v>
      </c>
      <c r="K658" s="17" t="s">
        <v>853</v>
      </c>
      <c r="M658" s="21"/>
      <c r="N658" s="21"/>
      <c r="O658" s="21"/>
      <c r="Q658" s="95"/>
      <c r="R658" s="17"/>
      <c r="S658" s="21"/>
      <c r="T658" s="21"/>
      <c r="U658" s="21"/>
      <c r="V658" s="21"/>
      <c r="W658" s="93">
        <v>160</v>
      </c>
      <c r="X658" s="84" t="s">
        <v>1700</v>
      </c>
      <c r="Y658" s="84" t="s">
        <v>246</v>
      </c>
      <c r="AA658" s="84" t="s">
        <v>1111</v>
      </c>
      <c r="AB658" s="84" t="s">
        <v>126</v>
      </c>
      <c r="AC658" s="26">
        <v>42545</v>
      </c>
      <c r="AD658" s="26" t="s">
        <v>853</v>
      </c>
      <c r="AE658" s="8" t="s">
        <v>4866</v>
      </c>
      <c r="AF658" s="8">
        <v>336</v>
      </c>
      <c r="AG658" s="8">
        <v>160</v>
      </c>
      <c r="CB658" s="26"/>
      <c r="CC658" s="26"/>
      <c r="CF658" s="8"/>
      <c r="CG658" s="26"/>
      <c r="CH658" s="8"/>
      <c r="CM658" s="8"/>
      <c r="CR658" s="8"/>
    </row>
    <row r="659" spans="1:129" x14ac:dyDescent="0.25">
      <c r="A659" s="8" t="s">
        <v>176</v>
      </c>
      <c r="B659" s="24" t="s">
        <v>881</v>
      </c>
      <c r="C659" s="25" t="s">
        <v>177</v>
      </c>
      <c r="E659" s="26" t="s">
        <v>1762</v>
      </c>
      <c r="F659" s="198" t="s">
        <v>4635</v>
      </c>
      <c r="G659" s="198" t="s">
        <v>4636</v>
      </c>
      <c r="H659" s="25" t="s">
        <v>3436</v>
      </c>
      <c r="I659" s="27" t="s">
        <v>3904</v>
      </c>
      <c r="J659" s="27" t="s">
        <v>866</v>
      </c>
      <c r="K659" s="28" t="s">
        <v>816</v>
      </c>
      <c r="R659" s="29" t="s">
        <v>853</v>
      </c>
      <c r="X659" s="84" t="s">
        <v>1700</v>
      </c>
      <c r="Y659" s="84" t="s">
        <v>2499</v>
      </c>
      <c r="AA659" s="84" t="s">
        <v>2020</v>
      </c>
      <c r="AB659" s="84" t="s">
        <v>126</v>
      </c>
      <c r="AD659" s="8"/>
      <c r="BV659" s="8"/>
      <c r="CB659" s="26">
        <v>42032</v>
      </c>
      <c r="CC659" s="8" t="s">
        <v>853</v>
      </c>
      <c r="CD659" s="8" t="s">
        <v>3437</v>
      </c>
      <c r="CE659" s="8">
        <v>138</v>
      </c>
      <c r="CF659" s="8">
        <v>79</v>
      </c>
      <c r="CG659" s="26"/>
      <c r="CH659" s="8"/>
      <c r="CM659" s="8"/>
      <c r="CR659" s="8"/>
      <c r="DU659" s="8"/>
    </row>
    <row r="660" spans="1:129" x14ac:dyDescent="0.25">
      <c r="A660" s="8" t="s">
        <v>176</v>
      </c>
      <c r="B660" s="24" t="s">
        <v>4125</v>
      </c>
      <c r="E660" s="26" t="s">
        <v>877</v>
      </c>
      <c r="F660" s="198" t="s">
        <v>881</v>
      </c>
      <c r="G660" s="198" t="s">
        <v>4637</v>
      </c>
      <c r="H660" s="25" t="s">
        <v>1700</v>
      </c>
      <c r="I660" s="27" t="s">
        <v>3893</v>
      </c>
      <c r="J660" s="27" t="s">
        <v>866</v>
      </c>
      <c r="K660" s="28" t="s">
        <v>816</v>
      </c>
      <c r="CB660" s="278"/>
      <c r="CG660" s="278"/>
    </row>
    <row r="661" spans="1:129" x14ac:dyDescent="0.25">
      <c r="A661" s="8" t="s">
        <v>251</v>
      </c>
      <c r="B661" s="24" t="s">
        <v>1505</v>
      </c>
      <c r="C661" s="25" t="s">
        <v>252</v>
      </c>
      <c r="E661" s="26" t="s">
        <v>1762</v>
      </c>
      <c r="F661" s="198" t="s">
        <v>891</v>
      </c>
      <c r="G661" s="198" t="s">
        <v>1700</v>
      </c>
      <c r="H661" s="25" t="s">
        <v>2333</v>
      </c>
      <c r="I661" s="27" t="s">
        <v>3902</v>
      </c>
      <c r="J661" s="27" t="s">
        <v>866</v>
      </c>
      <c r="K661" s="28" t="s">
        <v>853</v>
      </c>
      <c r="W661" s="93">
        <v>83</v>
      </c>
      <c r="X661" s="84" t="s">
        <v>1700</v>
      </c>
      <c r="Y661" s="84" t="s">
        <v>791</v>
      </c>
      <c r="AA661" s="84" t="s">
        <v>254</v>
      </c>
      <c r="AB661" s="84" t="s">
        <v>126</v>
      </c>
      <c r="AC661" s="26">
        <v>42334</v>
      </c>
      <c r="AD661" s="26" t="s">
        <v>853</v>
      </c>
      <c r="AE661" s="8" t="s">
        <v>4299</v>
      </c>
      <c r="AF661" s="8">
        <v>37.799999999999997</v>
      </c>
      <c r="AG661" s="8">
        <v>18</v>
      </c>
      <c r="AH661" s="26">
        <v>42416</v>
      </c>
      <c r="AI661" s="8" t="s">
        <v>853</v>
      </c>
      <c r="AJ661" s="8" t="s">
        <v>4660</v>
      </c>
      <c r="AK661" s="8">
        <v>37.799999999999997</v>
      </c>
      <c r="AL661" s="8">
        <v>18</v>
      </c>
      <c r="AM661" s="26">
        <v>42453</v>
      </c>
      <c r="AN661" s="8" t="s">
        <v>853</v>
      </c>
      <c r="AO661" s="8" t="s">
        <v>4705</v>
      </c>
      <c r="AP661" s="8">
        <v>95</v>
      </c>
      <c r="AQ661" s="8">
        <v>47</v>
      </c>
      <c r="CB661" s="26"/>
      <c r="CC661" s="26"/>
      <c r="CF661" s="8"/>
      <c r="CG661" s="26"/>
      <c r="CH661" s="8"/>
      <c r="CM661" s="8"/>
      <c r="CR661" s="8"/>
    </row>
    <row r="662" spans="1:129" ht="13.5" x14ac:dyDescent="0.25">
      <c r="A662" s="8" t="s">
        <v>2779</v>
      </c>
      <c r="B662" s="24" t="s">
        <v>2496</v>
      </c>
      <c r="C662" s="25" t="s">
        <v>2780</v>
      </c>
      <c r="E662" s="26" t="s">
        <v>1764</v>
      </c>
      <c r="F662" s="198" t="s">
        <v>2781</v>
      </c>
      <c r="G662" s="198" t="s">
        <v>2783</v>
      </c>
      <c r="H662" s="25" t="s">
        <v>2782</v>
      </c>
      <c r="J662" s="27" t="s">
        <v>866</v>
      </c>
      <c r="R662" s="29" t="s">
        <v>853</v>
      </c>
      <c r="X662" s="84" t="s">
        <v>1700</v>
      </c>
      <c r="Y662" s="84" t="s">
        <v>2499</v>
      </c>
      <c r="AA662" s="84" t="s">
        <v>2784</v>
      </c>
      <c r="AB662" s="84" t="s">
        <v>126</v>
      </c>
      <c r="CB662" s="278">
        <v>41921</v>
      </c>
      <c r="CC662" s="278" t="s">
        <v>853</v>
      </c>
      <c r="CD662" s="279" t="s">
        <v>2785</v>
      </c>
      <c r="CE662" s="8">
        <v>302</v>
      </c>
      <c r="CF662" s="279">
        <v>151</v>
      </c>
      <c r="CG662" s="278"/>
      <c r="CH662" s="278"/>
      <c r="CI662" s="279"/>
      <c r="CK662" s="279"/>
      <c r="CL662" s="278"/>
      <c r="CM662" s="278"/>
      <c r="CN662" s="279"/>
      <c r="CP662" s="279"/>
      <c r="CQ662" s="278"/>
      <c r="CR662" s="279"/>
      <c r="CS662" s="279"/>
      <c r="CU662" s="279"/>
      <c r="CV662" s="278"/>
      <c r="CW662" s="279"/>
      <c r="CX662" s="279"/>
      <c r="CZ662" s="279"/>
      <c r="DA662" s="278"/>
      <c r="DB662" s="279"/>
      <c r="DC662" s="279"/>
      <c r="DE662" s="279"/>
      <c r="DF662" s="278"/>
      <c r="DG662" s="279"/>
      <c r="DH662" s="279"/>
      <c r="DJ662" s="279"/>
      <c r="DK662" s="278"/>
      <c r="DL662" s="279"/>
      <c r="DM662" s="279"/>
      <c r="DO662" s="279"/>
      <c r="DP662" s="278"/>
      <c r="DQ662" s="279"/>
      <c r="DR662" s="279"/>
      <c r="DT662" s="279"/>
      <c r="DU662" s="278"/>
      <c r="DV662" s="258"/>
      <c r="DW662" s="258"/>
      <c r="DY662" s="258"/>
    </row>
    <row r="663" spans="1:129" x14ac:dyDescent="0.25">
      <c r="A663" s="19" t="s">
        <v>1593</v>
      </c>
      <c r="B663" s="12" t="s">
        <v>1594</v>
      </c>
      <c r="C663" s="13" t="s">
        <v>259</v>
      </c>
      <c r="D663" s="14"/>
      <c r="E663" s="14" t="s">
        <v>1762</v>
      </c>
      <c r="F663" s="199" t="s">
        <v>879</v>
      </c>
      <c r="G663" s="199" t="s">
        <v>1700</v>
      </c>
      <c r="H663" s="13" t="s">
        <v>3759</v>
      </c>
      <c r="I663" s="20" t="s">
        <v>3895</v>
      </c>
      <c r="J663" s="20" t="s">
        <v>866</v>
      </c>
      <c r="K663" s="17" t="s">
        <v>853</v>
      </c>
      <c r="M663" s="21"/>
      <c r="N663" s="21"/>
      <c r="O663" s="21"/>
      <c r="Q663" s="95"/>
      <c r="R663" s="17" t="s">
        <v>853</v>
      </c>
      <c r="S663" s="21"/>
      <c r="T663" s="21"/>
      <c r="U663" s="21"/>
      <c r="V663" s="21"/>
      <c r="W663" s="93">
        <v>160</v>
      </c>
      <c r="X663" s="84" t="s">
        <v>1700</v>
      </c>
      <c r="Y663" s="84" t="s">
        <v>246</v>
      </c>
      <c r="AA663" s="84" t="s">
        <v>2521</v>
      </c>
      <c r="AB663" s="84" t="s">
        <v>126</v>
      </c>
      <c r="AC663" s="26">
        <v>42453</v>
      </c>
      <c r="AD663" s="26" t="s">
        <v>853</v>
      </c>
      <c r="AE663" s="8" t="s">
        <v>4771</v>
      </c>
      <c r="AF663" s="8">
        <v>121</v>
      </c>
      <c r="AG663" s="8">
        <v>60</v>
      </c>
      <c r="AH663" s="26">
        <v>42453</v>
      </c>
      <c r="AI663" s="8" t="s">
        <v>853</v>
      </c>
      <c r="AJ663" s="8" t="s">
        <v>4770</v>
      </c>
      <c r="AK663" s="8">
        <v>320</v>
      </c>
      <c r="AL663" s="8">
        <v>100</v>
      </c>
      <c r="BV663" s="8"/>
      <c r="CB663" s="26">
        <v>42178</v>
      </c>
      <c r="CC663" s="26" t="s">
        <v>853</v>
      </c>
      <c r="CD663" s="8" t="s">
        <v>3760</v>
      </c>
      <c r="CE663" s="8">
        <v>117</v>
      </c>
      <c r="CF663" s="8">
        <v>58</v>
      </c>
      <c r="CG663" s="26">
        <v>42178</v>
      </c>
      <c r="CH663" s="8" t="s">
        <v>853</v>
      </c>
      <c r="CI663" s="8" t="s">
        <v>3761</v>
      </c>
      <c r="CJ663" s="8">
        <v>65</v>
      </c>
      <c r="CK663" s="8">
        <v>33</v>
      </c>
      <c r="CL663" s="26">
        <v>42178</v>
      </c>
      <c r="CM663" s="8" t="s">
        <v>853</v>
      </c>
      <c r="CN663" s="8" t="s">
        <v>2522</v>
      </c>
      <c r="CO663" s="8">
        <v>165.75</v>
      </c>
      <c r="CP663" s="8">
        <v>69</v>
      </c>
      <c r="CR663" s="8"/>
      <c r="DU663" s="8"/>
    </row>
    <row r="664" spans="1:129" x14ac:dyDescent="0.25">
      <c r="A664" s="8" t="s">
        <v>3211</v>
      </c>
      <c r="B664" s="24" t="s">
        <v>1433</v>
      </c>
      <c r="C664" s="25" t="s">
        <v>3210</v>
      </c>
      <c r="E664" s="26" t="s">
        <v>1762</v>
      </c>
      <c r="F664" s="198" t="s">
        <v>194</v>
      </c>
      <c r="G664" s="198" t="s">
        <v>1700</v>
      </c>
      <c r="H664" s="25" t="s">
        <v>3212</v>
      </c>
      <c r="I664" s="27" t="s">
        <v>3903</v>
      </c>
      <c r="J664" s="27" t="s">
        <v>866</v>
      </c>
      <c r="K664" s="28" t="s">
        <v>853</v>
      </c>
      <c r="R664" s="29" t="s">
        <v>853</v>
      </c>
      <c r="W664" s="93">
        <v>160</v>
      </c>
      <c r="X664" s="84" t="s">
        <v>1700</v>
      </c>
      <c r="Y664" s="84" t="s">
        <v>2634</v>
      </c>
      <c r="AA664" s="84" t="s">
        <v>3213</v>
      </c>
      <c r="AB664" s="84" t="s">
        <v>348</v>
      </c>
      <c r="AC664" s="26">
        <v>42352</v>
      </c>
      <c r="AD664" s="26" t="s">
        <v>853</v>
      </c>
      <c r="AE664" s="8" t="s">
        <v>4358</v>
      </c>
      <c r="AF664" s="8">
        <v>420</v>
      </c>
      <c r="AG664" s="8">
        <v>160</v>
      </c>
      <c r="CB664" s="26">
        <v>41977</v>
      </c>
      <c r="CC664" s="26" t="s">
        <v>853</v>
      </c>
      <c r="CD664" s="8" t="s">
        <v>3214</v>
      </c>
      <c r="CE664" s="8">
        <v>420</v>
      </c>
      <c r="CF664" s="8">
        <v>160</v>
      </c>
      <c r="CG664" s="26"/>
      <c r="CH664" s="8"/>
      <c r="CM664" s="8"/>
      <c r="CR664" s="8"/>
    </row>
    <row r="665" spans="1:129" x14ac:dyDescent="0.25">
      <c r="A665" s="19" t="s">
        <v>2094</v>
      </c>
      <c r="B665" s="12" t="s">
        <v>894</v>
      </c>
      <c r="C665" s="13" t="s">
        <v>654</v>
      </c>
      <c r="D665" s="14"/>
      <c r="E665" s="14" t="s">
        <v>1762</v>
      </c>
      <c r="F665" s="199" t="s">
        <v>2182</v>
      </c>
      <c r="G665" s="199" t="s">
        <v>1700</v>
      </c>
      <c r="H665" s="13" t="s">
        <v>1700</v>
      </c>
      <c r="I665" s="20"/>
      <c r="J665" s="20" t="s">
        <v>866</v>
      </c>
      <c r="K665" s="17"/>
      <c r="M665" s="21"/>
      <c r="N665" s="21"/>
      <c r="O665" s="21"/>
      <c r="Q665" s="95"/>
      <c r="R665" s="17"/>
      <c r="S665" s="29"/>
      <c r="T665" s="29"/>
      <c r="U665" s="29"/>
      <c r="V665" s="29"/>
      <c r="X665" s="84" t="s">
        <v>1700</v>
      </c>
      <c r="Y665" s="84" t="s">
        <v>642</v>
      </c>
      <c r="AA665" s="84" t="s">
        <v>1112</v>
      </c>
      <c r="AB665" s="84" t="s">
        <v>51</v>
      </c>
      <c r="CB665" s="26"/>
      <c r="CC665" s="26"/>
      <c r="CF665" s="8"/>
      <c r="CG665" s="26"/>
      <c r="CH665" s="8"/>
      <c r="CM665" s="8"/>
      <c r="CR665" s="8"/>
    </row>
    <row r="666" spans="1:129" x14ac:dyDescent="0.25">
      <c r="A666" s="8" t="s">
        <v>579</v>
      </c>
      <c r="B666" s="24" t="s">
        <v>1625</v>
      </c>
      <c r="C666" s="25" t="s">
        <v>580</v>
      </c>
      <c r="E666" s="26" t="s">
        <v>896</v>
      </c>
      <c r="F666" s="198" t="s">
        <v>896</v>
      </c>
      <c r="G666" s="198" t="s">
        <v>1700</v>
      </c>
      <c r="H666" s="25" t="s">
        <v>1700</v>
      </c>
      <c r="J666" s="27" t="s">
        <v>866</v>
      </c>
      <c r="R666" s="29" t="s">
        <v>889</v>
      </c>
      <c r="X666" s="84" t="s">
        <v>1700</v>
      </c>
      <c r="Y666" s="84" t="s">
        <v>282</v>
      </c>
      <c r="AA666" s="84" t="s">
        <v>581</v>
      </c>
      <c r="AB666" s="84" t="s">
        <v>586</v>
      </c>
      <c r="CB666" s="26"/>
      <c r="CC666" s="26"/>
      <c r="CF666" s="8"/>
      <c r="CG666" s="26"/>
      <c r="CH666" s="8"/>
      <c r="CM666" s="8"/>
      <c r="CR666" s="8"/>
    </row>
    <row r="667" spans="1:129" x14ac:dyDescent="0.25">
      <c r="A667" s="19" t="s">
        <v>1983</v>
      </c>
      <c r="B667" s="12" t="s">
        <v>1434</v>
      </c>
      <c r="C667" s="13" t="s">
        <v>745</v>
      </c>
      <c r="D667" s="14"/>
      <c r="E667" s="14" t="s">
        <v>1762</v>
      </c>
      <c r="F667" s="199" t="s">
        <v>1407</v>
      </c>
      <c r="G667" s="199" t="s">
        <v>1700</v>
      </c>
      <c r="H667" s="13" t="s">
        <v>1700</v>
      </c>
      <c r="I667" s="20"/>
      <c r="J667" s="20" t="s">
        <v>866</v>
      </c>
      <c r="K667" s="17"/>
      <c r="M667" s="21"/>
      <c r="N667" s="21"/>
      <c r="O667" s="21"/>
      <c r="Q667" s="95"/>
      <c r="R667" s="17" t="s">
        <v>853</v>
      </c>
      <c r="S667" s="29"/>
      <c r="T667" s="29"/>
      <c r="U667" s="29"/>
      <c r="V667" s="29"/>
      <c r="W667" s="95"/>
      <c r="X667" s="84" t="s">
        <v>1700</v>
      </c>
      <c r="Y667" s="84" t="s">
        <v>246</v>
      </c>
      <c r="AA667" s="86" t="s">
        <v>501</v>
      </c>
      <c r="AB667" s="84" t="s">
        <v>126</v>
      </c>
      <c r="AE667" s="19"/>
      <c r="AF667" s="19"/>
      <c r="AG667" s="19"/>
      <c r="AN667" s="19"/>
      <c r="AO667" s="19"/>
      <c r="AQ667" s="19"/>
      <c r="AS667" s="19"/>
      <c r="AT667" s="19"/>
      <c r="AV667" s="19"/>
      <c r="AX667" s="19"/>
      <c r="AY667" s="19"/>
      <c r="BA667" s="19"/>
      <c r="BC667" s="19"/>
      <c r="BD667" s="19"/>
      <c r="BF667" s="19"/>
      <c r="BH667" s="19"/>
      <c r="BI667" s="19"/>
      <c r="BK667" s="19"/>
      <c r="BM667" s="19"/>
      <c r="BN667" s="19"/>
      <c r="BP667" s="19"/>
      <c r="BR667" s="19"/>
      <c r="BS667" s="19"/>
      <c r="BU667" s="19"/>
      <c r="BW667" s="19"/>
      <c r="BX667" s="19"/>
      <c r="BZ667" s="19"/>
      <c r="CB667" s="26">
        <v>41977</v>
      </c>
      <c r="CC667" s="26" t="s">
        <v>853</v>
      </c>
      <c r="CD667" s="19" t="s">
        <v>3302</v>
      </c>
      <c r="CE667" s="19">
        <v>120</v>
      </c>
      <c r="CF667" s="19">
        <v>60</v>
      </c>
      <c r="CG667" s="26"/>
      <c r="CH667" s="8"/>
      <c r="CM667" s="19"/>
      <c r="CN667" s="19"/>
      <c r="CO667" s="19"/>
      <c r="CP667" s="19"/>
      <c r="CR667" s="19"/>
      <c r="CS667" s="19"/>
      <c r="CT667" s="19"/>
      <c r="CU667" s="19"/>
      <c r="CW667" s="19"/>
      <c r="CX667" s="19"/>
      <c r="CY667" s="19"/>
      <c r="CZ667" s="19"/>
      <c r="DB667" s="19"/>
      <c r="DC667" s="19"/>
      <c r="DD667" s="19"/>
      <c r="DE667" s="19"/>
      <c r="DG667" s="19"/>
      <c r="DH667" s="19"/>
      <c r="DI667" s="19"/>
      <c r="DJ667" s="19"/>
      <c r="DL667" s="19"/>
      <c r="DM667" s="19"/>
      <c r="DN667" s="19"/>
      <c r="DO667" s="19"/>
      <c r="DQ667" s="19"/>
      <c r="DR667" s="19"/>
      <c r="DS667" s="19"/>
      <c r="DT667" s="19"/>
      <c r="DV667" s="19"/>
      <c r="DW667" s="19"/>
      <c r="DX667" s="19"/>
      <c r="DY667" s="19"/>
    </row>
    <row r="668" spans="1:129" ht="13.5" x14ac:dyDescent="0.25">
      <c r="A668" s="8" t="s">
        <v>1595</v>
      </c>
      <c r="B668" s="24" t="s">
        <v>1625</v>
      </c>
      <c r="F668" s="198" t="s">
        <v>1700</v>
      </c>
      <c r="G668" s="198" t="s">
        <v>1700</v>
      </c>
      <c r="H668" s="25" t="s">
        <v>1700</v>
      </c>
      <c r="I668" s="27" t="s">
        <v>3902</v>
      </c>
      <c r="J668" s="27" t="s">
        <v>866</v>
      </c>
      <c r="K668" s="28" t="s">
        <v>3907</v>
      </c>
      <c r="P668" s="17">
        <v>1</v>
      </c>
      <c r="R668" s="29" t="s">
        <v>1763</v>
      </c>
      <c r="CB668" s="278"/>
      <c r="CD668" s="279"/>
      <c r="CG668" s="278"/>
      <c r="CH668" s="278"/>
      <c r="CI668" s="279"/>
      <c r="CK668" s="279"/>
      <c r="CL668" s="278"/>
      <c r="CM668" s="278"/>
      <c r="CN668" s="279"/>
      <c r="CP668" s="279"/>
      <c r="CQ668" s="278"/>
      <c r="CR668" s="279"/>
      <c r="CS668" s="279"/>
      <c r="CU668" s="279"/>
      <c r="CV668" s="278"/>
      <c r="CW668" s="279"/>
      <c r="CX668" s="279"/>
      <c r="CZ668" s="279"/>
      <c r="DA668" s="278"/>
      <c r="DB668" s="279"/>
      <c r="DC668" s="279"/>
      <c r="DE668" s="279"/>
      <c r="DF668" s="278"/>
      <c r="DG668" s="279"/>
      <c r="DH668" s="279"/>
      <c r="DJ668" s="279"/>
      <c r="DK668" s="278"/>
      <c r="DL668" s="279"/>
      <c r="DM668" s="279"/>
      <c r="DO668" s="279"/>
      <c r="DP668" s="278"/>
      <c r="DQ668" s="279"/>
      <c r="DR668" s="279"/>
      <c r="DT668" s="279"/>
      <c r="DU668" s="278"/>
      <c r="DV668" s="258"/>
      <c r="DW668" s="258"/>
      <c r="DY668" s="258"/>
    </row>
    <row r="669" spans="1:129" x14ac:dyDescent="0.25">
      <c r="A669" s="8" t="s">
        <v>417</v>
      </c>
      <c r="B669" s="24" t="s">
        <v>868</v>
      </c>
      <c r="C669" s="25" t="s">
        <v>418</v>
      </c>
      <c r="E669" s="26" t="s">
        <v>1762</v>
      </c>
      <c r="F669" s="198" t="s">
        <v>194</v>
      </c>
      <c r="G669" s="198" t="s">
        <v>1700</v>
      </c>
      <c r="H669" s="25" t="s">
        <v>2821</v>
      </c>
      <c r="J669" s="27" t="s">
        <v>866</v>
      </c>
      <c r="R669" s="29" t="s">
        <v>853</v>
      </c>
      <c r="X669" s="84" t="s">
        <v>1700</v>
      </c>
      <c r="Y669" s="84" t="s">
        <v>791</v>
      </c>
      <c r="AA669" s="84" t="s">
        <v>421</v>
      </c>
      <c r="AB669" s="84" t="s">
        <v>126</v>
      </c>
      <c r="CB669" s="26">
        <v>41921</v>
      </c>
      <c r="CC669" s="26" t="s">
        <v>853</v>
      </c>
      <c r="CD669" s="8" t="s">
        <v>2822</v>
      </c>
      <c r="CE669" s="8">
        <v>150</v>
      </c>
      <c r="CF669" s="8">
        <v>75</v>
      </c>
      <c r="CG669" s="26"/>
      <c r="CH669" s="8"/>
      <c r="CM669" s="8"/>
      <c r="CR669" s="8"/>
    </row>
    <row r="670" spans="1:129" x14ac:dyDescent="0.25">
      <c r="A670" s="8" t="s">
        <v>1597</v>
      </c>
      <c r="B670" s="24" t="s">
        <v>1508</v>
      </c>
      <c r="C670" s="25" t="s">
        <v>249</v>
      </c>
      <c r="E670" s="26" t="s">
        <v>1762</v>
      </c>
      <c r="F670" s="198" t="s">
        <v>3792</v>
      </c>
      <c r="G670" s="198" t="s">
        <v>1700</v>
      </c>
      <c r="H670" s="25" t="s">
        <v>1700</v>
      </c>
      <c r="J670" s="27" t="s">
        <v>866</v>
      </c>
      <c r="Q670" s="93"/>
      <c r="R670" s="28" t="s">
        <v>853</v>
      </c>
      <c r="S670" s="21"/>
      <c r="T670" s="21"/>
      <c r="U670" s="21"/>
      <c r="V670" s="21"/>
      <c r="X670" s="84" t="s">
        <v>1700</v>
      </c>
      <c r="Y670" s="84" t="s">
        <v>246</v>
      </c>
      <c r="AA670" s="84" t="s">
        <v>250</v>
      </c>
      <c r="AB670" s="84" t="s">
        <v>126</v>
      </c>
      <c r="CB670" s="26">
        <v>42188</v>
      </c>
      <c r="CC670" s="26" t="s">
        <v>853</v>
      </c>
      <c r="CD670" s="8" t="s">
        <v>3793</v>
      </c>
      <c r="CE670" s="8">
        <v>298.8</v>
      </c>
      <c r="CF670" s="8">
        <v>149</v>
      </c>
      <c r="CG670" s="26"/>
      <c r="CH670" s="8"/>
      <c r="CM670" s="8"/>
      <c r="CR670" s="8"/>
    </row>
    <row r="671" spans="1:129" x14ac:dyDescent="0.25">
      <c r="A671" s="8" t="s">
        <v>2031</v>
      </c>
      <c r="B671" s="24" t="s">
        <v>2032</v>
      </c>
      <c r="C671" s="25" t="s">
        <v>2033</v>
      </c>
      <c r="E671" s="26" t="s">
        <v>1762</v>
      </c>
      <c r="F671" s="198" t="s">
        <v>947</v>
      </c>
      <c r="G671" s="198" t="s">
        <v>1700</v>
      </c>
      <c r="H671" s="25" t="s">
        <v>2686</v>
      </c>
      <c r="I671" s="27" t="s">
        <v>3901</v>
      </c>
      <c r="J671" s="27" t="s">
        <v>866</v>
      </c>
      <c r="K671" s="28" t="s">
        <v>853</v>
      </c>
      <c r="R671" s="29" t="s">
        <v>853</v>
      </c>
      <c r="W671" s="93">
        <v>160</v>
      </c>
      <c r="X671" s="84" t="s">
        <v>1700</v>
      </c>
      <c r="Y671" s="84" t="s">
        <v>2499</v>
      </c>
      <c r="AA671" s="84" t="s">
        <v>2688</v>
      </c>
      <c r="AB671" s="84" t="s">
        <v>126</v>
      </c>
      <c r="AC671" s="26">
        <v>42299</v>
      </c>
      <c r="AD671" s="26" t="s">
        <v>853</v>
      </c>
      <c r="AE671" s="8" t="s">
        <v>4004</v>
      </c>
      <c r="AF671" s="8">
        <v>350</v>
      </c>
      <c r="AG671" s="8">
        <v>160</v>
      </c>
      <c r="CB671" s="26">
        <v>41921</v>
      </c>
      <c r="CC671" s="26" t="s">
        <v>853</v>
      </c>
      <c r="CD671" s="8" t="s">
        <v>2687</v>
      </c>
      <c r="CE671" s="8">
        <v>300</v>
      </c>
      <c r="CF671" s="8">
        <v>150</v>
      </c>
      <c r="CG671" s="26"/>
      <c r="CH671" s="8"/>
      <c r="CM671" s="8"/>
      <c r="CR671" s="8"/>
    </row>
    <row r="672" spans="1:129" ht="13.5" x14ac:dyDescent="0.25">
      <c r="A672" s="8" t="s">
        <v>3216</v>
      </c>
      <c r="B672" s="24" t="s">
        <v>2057</v>
      </c>
      <c r="C672" s="25" t="s">
        <v>3215</v>
      </c>
      <c r="E672" s="26" t="s">
        <v>1762</v>
      </c>
      <c r="F672" s="198" t="s">
        <v>1848</v>
      </c>
      <c r="G672" s="198" t="s">
        <v>1700</v>
      </c>
      <c r="H672" s="25" t="s">
        <v>3147</v>
      </c>
      <c r="I672" s="27" t="s">
        <v>3903</v>
      </c>
      <c r="J672" s="27" t="s">
        <v>866</v>
      </c>
      <c r="K672" s="28" t="s">
        <v>853</v>
      </c>
      <c r="R672" s="29" t="s">
        <v>853</v>
      </c>
      <c r="W672" s="93">
        <v>160</v>
      </c>
      <c r="X672" s="84" t="s">
        <v>1700</v>
      </c>
      <c r="Y672" s="84" t="s">
        <v>2499</v>
      </c>
      <c r="AA672" s="84" t="s">
        <v>3217</v>
      </c>
      <c r="AB672" s="84" t="s">
        <v>126</v>
      </c>
      <c r="AC672" s="26">
        <v>42360</v>
      </c>
      <c r="AD672" s="26" t="s">
        <v>853</v>
      </c>
      <c r="AE672" s="8" t="s">
        <v>4498</v>
      </c>
      <c r="AF672" s="8">
        <v>999</v>
      </c>
      <c r="AG672" s="8">
        <v>160</v>
      </c>
      <c r="CB672" s="278">
        <v>41977</v>
      </c>
      <c r="CC672" s="278" t="s">
        <v>853</v>
      </c>
      <c r="CD672" t="s">
        <v>3218</v>
      </c>
      <c r="CE672" s="8">
        <v>151</v>
      </c>
      <c r="CF672" s="279">
        <v>76</v>
      </c>
      <c r="CG672" s="278">
        <v>42074</v>
      </c>
      <c r="CH672" s="278" t="s">
        <v>853</v>
      </c>
      <c r="CI672" t="s">
        <v>3605</v>
      </c>
      <c r="CJ672" s="8">
        <v>150</v>
      </c>
      <c r="CK672" s="279">
        <v>75</v>
      </c>
      <c r="CL672" s="278"/>
      <c r="CM672" s="278"/>
      <c r="CN672"/>
      <c r="CP672" s="279"/>
      <c r="CQ672"/>
      <c r="CR672"/>
      <c r="CS672"/>
      <c r="CU672"/>
      <c r="CV672"/>
      <c r="CW672"/>
      <c r="CX672"/>
      <c r="CZ672"/>
      <c r="DA672"/>
      <c r="DB672"/>
      <c r="DC672"/>
      <c r="DE672"/>
      <c r="DF672"/>
      <c r="DG672"/>
      <c r="DH672"/>
      <c r="DJ672"/>
      <c r="DK672"/>
      <c r="DL672"/>
      <c r="DM672"/>
      <c r="DO672"/>
      <c r="DP672"/>
      <c r="DQ672"/>
      <c r="DR672"/>
      <c r="DT672"/>
      <c r="DU672"/>
      <c r="DV672"/>
      <c r="DW672"/>
      <c r="DY672"/>
    </row>
    <row r="673" spans="1:130" x14ac:dyDescent="0.25">
      <c r="A673" s="8" t="s">
        <v>4155</v>
      </c>
      <c r="B673" s="24" t="s">
        <v>873</v>
      </c>
      <c r="E673" s="26" t="s">
        <v>1762</v>
      </c>
      <c r="F673" s="198" t="s">
        <v>1700</v>
      </c>
      <c r="G673" s="198" t="s">
        <v>1700</v>
      </c>
      <c r="H673" s="25" t="s">
        <v>1700</v>
      </c>
      <c r="I673" s="27" t="s">
        <v>3902</v>
      </c>
      <c r="J673" s="27" t="s">
        <v>866</v>
      </c>
      <c r="K673" s="28" t="s">
        <v>3906</v>
      </c>
      <c r="L673" s="29" t="s">
        <v>3907</v>
      </c>
      <c r="P673" s="17">
        <v>1</v>
      </c>
      <c r="CB673" s="278"/>
      <c r="CG673" s="278"/>
    </row>
    <row r="674" spans="1:130" x14ac:dyDescent="0.25">
      <c r="A674" s="8" t="s">
        <v>2548</v>
      </c>
      <c r="B674" s="24" t="s">
        <v>1822</v>
      </c>
      <c r="C674" s="25" t="s">
        <v>2549</v>
      </c>
      <c r="E674" s="26" t="s">
        <v>1762</v>
      </c>
      <c r="F674" s="198" t="s">
        <v>4141</v>
      </c>
      <c r="G674" s="198" t="s">
        <v>3139</v>
      </c>
      <c r="H674" s="25" t="s">
        <v>2550</v>
      </c>
      <c r="I674" s="27" t="s">
        <v>3901</v>
      </c>
      <c r="J674" s="27" t="s">
        <v>866</v>
      </c>
      <c r="K674" s="28" t="s">
        <v>853</v>
      </c>
      <c r="W674" s="93">
        <v>160</v>
      </c>
      <c r="X674" s="84" t="s">
        <v>1700</v>
      </c>
      <c r="Y674" s="84" t="s">
        <v>1205</v>
      </c>
      <c r="AA674" s="84" t="s">
        <v>2551</v>
      </c>
      <c r="AB674" s="84" t="s">
        <v>122</v>
      </c>
      <c r="AC674" s="26">
        <v>42311</v>
      </c>
      <c r="AD674" s="26" t="s">
        <v>853</v>
      </c>
      <c r="AE674" s="8" t="s">
        <v>4142</v>
      </c>
      <c r="AF674" s="8">
        <v>359.4</v>
      </c>
      <c r="AG674" s="8">
        <v>160</v>
      </c>
      <c r="CB674" s="26"/>
      <c r="CC674" s="26"/>
      <c r="CF674" s="8"/>
      <c r="CG674" s="26"/>
      <c r="CH674" s="8"/>
      <c r="CM674" s="8"/>
      <c r="CR674" s="8"/>
    </row>
    <row r="675" spans="1:130" x14ac:dyDescent="0.25">
      <c r="A675" s="8" t="s">
        <v>426</v>
      </c>
      <c r="B675" s="24" t="s">
        <v>427</v>
      </c>
      <c r="C675" s="25" t="s">
        <v>428</v>
      </c>
      <c r="E675" s="26" t="s">
        <v>1762</v>
      </c>
      <c r="F675" s="198" t="s">
        <v>637</v>
      </c>
      <c r="G675" s="198" t="s">
        <v>1700</v>
      </c>
      <c r="H675" s="25" t="s">
        <v>1700</v>
      </c>
      <c r="J675" s="27" t="s">
        <v>866</v>
      </c>
      <c r="X675" s="84" t="s">
        <v>1700</v>
      </c>
      <c r="Y675" s="84" t="s">
        <v>791</v>
      </c>
      <c r="AA675" s="84" t="s">
        <v>429</v>
      </c>
      <c r="AB675" s="84" t="s">
        <v>126</v>
      </c>
      <c r="CB675" s="26"/>
      <c r="CC675" s="26"/>
      <c r="CF675" s="8"/>
      <c r="CG675" s="26"/>
      <c r="CH675" s="8"/>
      <c r="CM675" s="8"/>
      <c r="CR675" s="8"/>
    </row>
    <row r="676" spans="1:130" ht="13.5" x14ac:dyDescent="0.25">
      <c r="A676" s="8" t="s">
        <v>1089</v>
      </c>
      <c r="B676" s="24" t="s">
        <v>1645</v>
      </c>
      <c r="C676" s="25" t="s">
        <v>1088</v>
      </c>
      <c r="E676" s="26" t="s">
        <v>1762</v>
      </c>
      <c r="F676" s="198" t="s">
        <v>1992</v>
      </c>
      <c r="G676" s="198" t="s">
        <v>1700</v>
      </c>
      <c r="H676" s="25" t="s">
        <v>2659</v>
      </c>
      <c r="J676" s="27" t="s">
        <v>866</v>
      </c>
      <c r="R676" s="29" t="s">
        <v>853</v>
      </c>
      <c r="X676" s="84" t="s">
        <v>1700</v>
      </c>
      <c r="Y676" s="84" t="s">
        <v>319</v>
      </c>
      <c r="AA676" s="84" t="s">
        <v>1090</v>
      </c>
      <c r="AB676" s="84" t="s">
        <v>302</v>
      </c>
      <c r="CB676" s="26">
        <v>41921</v>
      </c>
      <c r="CC676" s="26" t="s">
        <v>853</v>
      </c>
      <c r="CD676" s="8" t="s">
        <v>2660</v>
      </c>
      <c r="CE676" s="8">
        <v>400</v>
      </c>
      <c r="CF676" s="8">
        <v>160</v>
      </c>
      <c r="CG676" s="26"/>
      <c r="CH676" s="8"/>
      <c r="CM676" s="8"/>
      <c r="CR676" s="8"/>
      <c r="DZ676" s="258"/>
    </row>
    <row r="677" spans="1:130" x14ac:dyDescent="0.25">
      <c r="A677" s="8" t="s">
        <v>2027</v>
      </c>
      <c r="B677" s="24" t="s">
        <v>2028</v>
      </c>
      <c r="C677" s="25" t="s">
        <v>2029</v>
      </c>
      <c r="E677" s="26" t="s">
        <v>1762</v>
      </c>
      <c r="F677" s="198" t="s">
        <v>977</v>
      </c>
      <c r="G677" s="198" t="s">
        <v>1700</v>
      </c>
      <c r="H677" s="25" t="s">
        <v>4007</v>
      </c>
      <c r="I677" s="27" t="s">
        <v>3901</v>
      </c>
      <c r="J677" s="27" t="s">
        <v>866</v>
      </c>
      <c r="K677" s="28" t="s">
        <v>853</v>
      </c>
      <c r="R677" s="29" t="s">
        <v>853</v>
      </c>
      <c r="W677" s="93">
        <v>75</v>
      </c>
      <c r="X677" s="84" t="s">
        <v>1700</v>
      </c>
      <c r="Y677" s="84" t="s">
        <v>791</v>
      </c>
      <c r="AA677" s="84" t="s">
        <v>2030</v>
      </c>
      <c r="AB677" s="84" t="s">
        <v>126</v>
      </c>
      <c r="AC677" s="26">
        <v>42299</v>
      </c>
      <c r="AD677" s="26" t="s">
        <v>853</v>
      </c>
      <c r="AE677" s="8" t="s">
        <v>4008</v>
      </c>
      <c r="AF677" s="8">
        <v>150</v>
      </c>
      <c r="AG677" s="8">
        <v>75</v>
      </c>
      <c r="CB677" s="26">
        <v>41921</v>
      </c>
      <c r="CC677" s="26" t="s">
        <v>853</v>
      </c>
      <c r="CD677" s="8" t="s">
        <v>2633</v>
      </c>
      <c r="CE677" s="8">
        <v>150</v>
      </c>
      <c r="CF677" s="8">
        <v>75</v>
      </c>
      <c r="CG677" s="26"/>
      <c r="CH677" s="8"/>
      <c r="CM677" s="8"/>
      <c r="CR677" s="8"/>
    </row>
    <row r="678" spans="1:130" x14ac:dyDescent="0.25">
      <c r="A678" s="8" t="s">
        <v>1880</v>
      </c>
      <c r="B678" s="24" t="s">
        <v>2181</v>
      </c>
      <c r="D678" s="26">
        <v>19188</v>
      </c>
      <c r="E678" s="26" t="s">
        <v>1762</v>
      </c>
      <c r="F678" s="198" t="s">
        <v>898</v>
      </c>
      <c r="G678" s="198" t="s">
        <v>1700</v>
      </c>
      <c r="H678" s="25" t="s">
        <v>1700</v>
      </c>
      <c r="I678" s="27" t="s">
        <v>3902</v>
      </c>
      <c r="J678" s="27" t="s">
        <v>866</v>
      </c>
      <c r="K678" s="28" t="s">
        <v>854</v>
      </c>
      <c r="Q678" s="93"/>
      <c r="R678" s="28" t="s">
        <v>854</v>
      </c>
      <c r="S678" s="29" t="s">
        <v>855</v>
      </c>
      <c r="T678" s="29"/>
      <c r="U678" s="29"/>
      <c r="V678" s="29"/>
      <c r="CB678" s="26"/>
      <c r="CC678" s="26"/>
      <c r="CF678" s="8"/>
      <c r="CG678" s="26"/>
      <c r="CH678" s="8"/>
      <c r="CM678" s="8"/>
      <c r="CR678" s="8"/>
    </row>
    <row r="679" spans="1:130" ht="13.5" x14ac:dyDescent="0.25">
      <c r="A679" s="8" t="s">
        <v>3100</v>
      </c>
      <c r="B679" s="24" t="s">
        <v>951</v>
      </c>
      <c r="E679" s="26" t="s">
        <v>1762</v>
      </c>
      <c r="F679" s="198" t="s">
        <v>1700</v>
      </c>
      <c r="G679" s="198" t="s">
        <v>1700</v>
      </c>
      <c r="H679" s="25" t="s">
        <v>1700</v>
      </c>
      <c r="I679" s="27" t="s">
        <v>3902</v>
      </c>
      <c r="J679" s="27" t="s">
        <v>866</v>
      </c>
      <c r="K679" s="28" t="s">
        <v>3907</v>
      </c>
      <c r="L679" s="29" t="s">
        <v>858</v>
      </c>
      <c r="P679" s="17">
        <v>1</v>
      </c>
      <c r="R679" s="29" t="s">
        <v>1763</v>
      </c>
      <c r="S679" s="8" t="s">
        <v>858</v>
      </c>
      <c r="CB679" s="278"/>
      <c r="CD679" s="279"/>
      <c r="CG679" s="278"/>
      <c r="CH679" s="278"/>
      <c r="CI679" s="258"/>
      <c r="CK679" s="279"/>
      <c r="CL679" s="278"/>
      <c r="CM679" s="278"/>
      <c r="CN679" s="258"/>
      <c r="CP679" s="279"/>
      <c r="CQ679" s="258"/>
      <c r="CR679" s="258"/>
      <c r="CS679" s="258"/>
      <c r="CU679" s="258"/>
      <c r="CV679" s="258"/>
      <c r="CW679" s="258"/>
      <c r="CX679" s="258"/>
      <c r="CZ679" s="258"/>
      <c r="DA679" s="258"/>
      <c r="DB679" s="258"/>
      <c r="DC679" s="258"/>
      <c r="DE679" s="258"/>
      <c r="DF679" s="258"/>
      <c r="DG679" s="258"/>
      <c r="DH679" s="258"/>
      <c r="DJ679" s="258"/>
      <c r="DK679" s="258"/>
      <c r="DL679" s="258"/>
      <c r="DM679" s="258"/>
      <c r="DO679" s="258"/>
      <c r="DP679" s="258"/>
      <c r="DQ679" s="258"/>
      <c r="DR679" s="258"/>
      <c r="DT679" s="258"/>
      <c r="DU679" s="258"/>
      <c r="DV679" s="258"/>
      <c r="DW679" s="258"/>
      <c r="DY679" s="258"/>
    </row>
    <row r="680" spans="1:130" x14ac:dyDescent="0.25">
      <c r="A680" s="8" t="s">
        <v>3829</v>
      </c>
      <c r="B680" s="24" t="s">
        <v>2200</v>
      </c>
      <c r="C680" s="25" t="s">
        <v>3830</v>
      </c>
      <c r="E680" s="26" t="s">
        <v>1762</v>
      </c>
      <c r="F680" s="198" t="s">
        <v>947</v>
      </c>
      <c r="G680" s="198" t="s">
        <v>1700</v>
      </c>
      <c r="H680" s="25" t="s">
        <v>3831</v>
      </c>
      <c r="I680" s="27" t="s">
        <v>3896</v>
      </c>
      <c r="J680" s="27" t="s">
        <v>866</v>
      </c>
      <c r="K680" s="28" t="s">
        <v>853</v>
      </c>
      <c r="R680" s="29" t="s">
        <v>853</v>
      </c>
      <c r="W680" s="93">
        <v>160</v>
      </c>
      <c r="X680" s="84" t="s">
        <v>1700</v>
      </c>
      <c r="Y680" s="84" t="s">
        <v>190</v>
      </c>
      <c r="AA680" s="84" t="s">
        <v>3832</v>
      </c>
      <c r="AB680" s="84" t="s">
        <v>126</v>
      </c>
      <c r="AC680" s="26">
        <v>42493</v>
      </c>
      <c r="AD680" s="26" t="s">
        <v>853</v>
      </c>
      <c r="AE680" s="8" t="s">
        <v>4797</v>
      </c>
      <c r="AF680" s="8">
        <v>447.8</v>
      </c>
      <c r="AG680" s="8">
        <v>160</v>
      </c>
      <c r="CB680" s="278">
        <v>42219</v>
      </c>
      <c r="CC680" s="278" t="s">
        <v>853</v>
      </c>
      <c r="CD680" s="8" t="s">
        <v>3833</v>
      </c>
      <c r="CE680" s="8">
        <v>500</v>
      </c>
      <c r="CF680" s="279">
        <v>160</v>
      </c>
      <c r="CG680" s="278"/>
    </row>
    <row r="681" spans="1:130" x14ac:dyDescent="0.25">
      <c r="A681" s="19" t="s">
        <v>1598</v>
      </c>
      <c r="B681" s="12" t="s">
        <v>1599</v>
      </c>
      <c r="C681" s="13" t="s">
        <v>758</v>
      </c>
      <c r="D681" s="14"/>
      <c r="E681" s="14" t="s">
        <v>896</v>
      </c>
      <c r="F681" s="199" t="s">
        <v>896</v>
      </c>
      <c r="G681" s="199" t="s">
        <v>1700</v>
      </c>
      <c r="H681" s="13" t="s">
        <v>3803</v>
      </c>
      <c r="I681" s="20" t="s">
        <v>3903</v>
      </c>
      <c r="J681" s="20" t="s">
        <v>866</v>
      </c>
      <c r="K681" s="17" t="s">
        <v>853</v>
      </c>
      <c r="L681" s="21" t="s">
        <v>816</v>
      </c>
      <c r="M681" s="21"/>
      <c r="N681" s="21"/>
      <c r="O681" s="21"/>
      <c r="Q681" s="95"/>
      <c r="R681" s="17" t="s">
        <v>853</v>
      </c>
      <c r="S681" s="29"/>
      <c r="T681" s="29"/>
      <c r="U681" s="29"/>
      <c r="V681" s="29"/>
      <c r="W681" s="93">
        <v>160</v>
      </c>
      <c r="X681" s="84" t="s">
        <v>1700</v>
      </c>
      <c r="Y681" s="84" t="s">
        <v>290</v>
      </c>
      <c r="AA681" s="84" t="s">
        <v>1116</v>
      </c>
      <c r="AB681" s="84" t="s">
        <v>1650</v>
      </c>
      <c r="AC681" s="26">
        <v>42360</v>
      </c>
      <c r="AD681" s="26" t="s">
        <v>853</v>
      </c>
      <c r="AE681" s="8" t="s">
        <v>4470</v>
      </c>
      <c r="AF681" s="8">
        <v>466</v>
      </c>
      <c r="AG681" s="8">
        <v>160</v>
      </c>
      <c r="CB681" s="26">
        <v>42188</v>
      </c>
      <c r="CC681" s="26" t="s">
        <v>853</v>
      </c>
      <c r="CD681" s="8" t="s">
        <v>3804</v>
      </c>
      <c r="CE681" s="8">
        <v>466</v>
      </c>
      <c r="CF681" s="8">
        <v>160</v>
      </c>
      <c r="CG681" s="26"/>
      <c r="CH681" s="8"/>
      <c r="CM681" s="8"/>
      <c r="CR681" s="8"/>
    </row>
    <row r="682" spans="1:130" x14ac:dyDescent="0.25">
      <c r="A682" s="19" t="s">
        <v>1857</v>
      </c>
      <c r="B682" s="12" t="s">
        <v>1428</v>
      </c>
      <c r="C682" s="13" t="s">
        <v>675</v>
      </c>
      <c r="D682" s="14">
        <v>22516</v>
      </c>
      <c r="E682" s="14" t="s">
        <v>1762</v>
      </c>
      <c r="F682" s="199" t="s">
        <v>898</v>
      </c>
      <c r="G682" s="199" t="s">
        <v>1700</v>
      </c>
      <c r="H682" s="13" t="s">
        <v>1700</v>
      </c>
      <c r="I682" s="20" t="s">
        <v>3902</v>
      </c>
      <c r="J682" s="20" t="s">
        <v>866</v>
      </c>
      <c r="K682" s="17" t="s">
        <v>817</v>
      </c>
      <c r="L682" s="21" t="s">
        <v>859</v>
      </c>
      <c r="M682" s="21"/>
      <c r="N682" s="21"/>
      <c r="O682" s="21"/>
      <c r="Q682" s="95"/>
      <c r="R682" s="17" t="s">
        <v>859</v>
      </c>
      <c r="S682" s="21" t="s">
        <v>817</v>
      </c>
      <c r="T682" s="29" t="s">
        <v>1416</v>
      </c>
      <c r="U682" s="29"/>
      <c r="V682" s="29"/>
      <c r="W682" s="93">
        <v>280</v>
      </c>
      <c r="X682" s="84" t="s">
        <v>1700</v>
      </c>
      <c r="Y682" s="84" t="s">
        <v>1700</v>
      </c>
      <c r="AA682" s="84" t="s">
        <v>676</v>
      </c>
      <c r="AB682" s="84" t="s">
        <v>670</v>
      </c>
      <c r="AC682" s="26">
        <v>42313</v>
      </c>
      <c r="AD682" s="26" t="s">
        <v>859</v>
      </c>
      <c r="AE682" s="8" t="s">
        <v>2231</v>
      </c>
      <c r="AF682" s="8">
        <v>624</v>
      </c>
      <c r="AG682" s="8">
        <v>280</v>
      </c>
      <c r="CB682" s="26">
        <v>41977</v>
      </c>
      <c r="CC682" s="26" t="s">
        <v>859</v>
      </c>
      <c r="CD682" s="8" t="s">
        <v>3241</v>
      </c>
      <c r="CE682" s="8">
        <v>624</v>
      </c>
      <c r="CF682" s="8">
        <v>280</v>
      </c>
      <c r="CG682" s="26"/>
      <c r="CH682" s="8"/>
      <c r="CM682" s="8"/>
      <c r="CR682" s="8"/>
    </row>
    <row r="683" spans="1:130" x14ac:dyDescent="0.25">
      <c r="A683" s="8" t="s">
        <v>3103</v>
      </c>
      <c r="B683" s="24" t="s">
        <v>735</v>
      </c>
      <c r="E683" s="26" t="s">
        <v>1762</v>
      </c>
      <c r="F683" s="198" t="s">
        <v>1700</v>
      </c>
      <c r="G683" s="198" t="s">
        <v>1700</v>
      </c>
      <c r="H683" s="25" t="s">
        <v>1700</v>
      </c>
      <c r="I683" s="27" t="s">
        <v>3902</v>
      </c>
      <c r="J683" s="27" t="s">
        <v>866</v>
      </c>
      <c r="K683" s="28" t="s">
        <v>3907</v>
      </c>
      <c r="L683" s="29" t="s">
        <v>854</v>
      </c>
      <c r="P683" s="17">
        <v>1</v>
      </c>
      <c r="R683" s="29" t="s">
        <v>1763</v>
      </c>
      <c r="S683" s="8" t="s">
        <v>854</v>
      </c>
      <c r="CB683" s="26"/>
      <c r="CC683" s="26"/>
      <c r="CF683" s="8"/>
      <c r="CG683" s="26"/>
      <c r="CH683" s="8"/>
      <c r="CM683" s="8"/>
      <c r="CR683" s="8"/>
    </row>
    <row r="684" spans="1:130" x14ac:dyDescent="0.25">
      <c r="A684" s="8" t="s">
        <v>3700</v>
      </c>
      <c r="B684" s="24" t="s">
        <v>1258</v>
      </c>
      <c r="F684" s="198" t="s">
        <v>1700</v>
      </c>
      <c r="G684" s="198" t="s">
        <v>1700</v>
      </c>
      <c r="H684" s="25" t="s">
        <v>1700</v>
      </c>
      <c r="J684" s="27" t="s">
        <v>866</v>
      </c>
      <c r="R684" s="29" t="s">
        <v>889</v>
      </c>
      <c r="CB684" s="278"/>
      <c r="CG684" s="278"/>
    </row>
    <row r="685" spans="1:130" x14ac:dyDescent="0.25">
      <c r="A685" s="8" t="s">
        <v>79</v>
      </c>
      <c r="B685" s="24" t="s">
        <v>481</v>
      </c>
      <c r="C685" s="25" t="s">
        <v>80</v>
      </c>
      <c r="D685" s="26">
        <v>29731</v>
      </c>
      <c r="E685" s="26" t="s">
        <v>1762</v>
      </c>
      <c r="F685" s="198" t="s">
        <v>927</v>
      </c>
      <c r="G685" s="198" t="s">
        <v>1700</v>
      </c>
      <c r="H685" s="25" t="s">
        <v>1700</v>
      </c>
      <c r="I685" s="27" t="s">
        <v>3902</v>
      </c>
      <c r="J685" s="27" t="s">
        <v>866</v>
      </c>
      <c r="K685" s="28" t="s">
        <v>3906</v>
      </c>
      <c r="R685" s="29" t="s">
        <v>856</v>
      </c>
      <c r="S685" s="8" t="s">
        <v>851</v>
      </c>
      <c r="CB685" s="26"/>
      <c r="CC685" s="26"/>
      <c r="CF685" s="8"/>
      <c r="CG685" s="26"/>
      <c r="CH685" s="8"/>
      <c r="CM685" s="8"/>
      <c r="CR685" s="8"/>
    </row>
    <row r="686" spans="1:130" x14ac:dyDescent="0.25">
      <c r="A686" s="8" t="s">
        <v>1495</v>
      </c>
      <c r="B686" s="24" t="s">
        <v>861</v>
      </c>
      <c r="C686" s="25" t="s">
        <v>1496</v>
      </c>
      <c r="E686" s="26" t="s">
        <v>1762</v>
      </c>
      <c r="F686" s="198" t="s">
        <v>1407</v>
      </c>
      <c r="G686" s="198" t="s">
        <v>1700</v>
      </c>
      <c r="H686" s="25" t="s">
        <v>2842</v>
      </c>
      <c r="I686" s="27" t="s">
        <v>3895</v>
      </c>
      <c r="J686" s="27" t="s">
        <v>866</v>
      </c>
      <c r="K686" s="28" t="s">
        <v>853</v>
      </c>
      <c r="R686" s="29" t="s">
        <v>853</v>
      </c>
      <c r="W686" s="93">
        <v>160</v>
      </c>
      <c r="X686" s="84" t="s">
        <v>1700</v>
      </c>
      <c r="Y686" s="84" t="s">
        <v>791</v>
      </c>
      <c r="AA686" s="84" t="s">
        <v>1497</v>
      </c>
      <c r="AB686" s="84" t="s">
        <v>126</v>
      </c>
      <c r="AC686" s="26">
        <v>42453</v>
      </c>
      <c r="AD686" s="26" t="s">
        <v>853</v>
      </c>
      <c r="AE686" s="8" t="s">
        <v>4769</v>
      </c>
      <c r="AF686" s="8">
        <v>588</v>
      </c>
      <c r="AG686" s="8">
        <v>160</v>
      </c>
      <c r="CB686" s="26">
        <v>41921</v>
      </c>
      <c r="CC686" s="26" t="s">
        <v>853</v>
      </c>
      <c r="CD686" s="8" t="s">
        <v>2843</v>
      </c>
      <c r="CE686" s="8">
        <v>588</v>
      </c>
      <c r="CF686" s="8">
        <v>160</v>
      </c>
      <c r="CG686" s="26"/>
      <c r="CH686" s="8"/>
      <c r="CM686" s="8"/>
      <c r="CR686" s="8"/>
    </row>
    <row r="687" spans="1:130" x14ac:dyDescent="0.25">
      <c r="A687" s="8" t="s">
        <v>4594</v>
      </c>
      <c r="B687" s="24" t="s">
        <v>4595</v>
      </c>
      <c r="D687" s="26">
        <v>33959</v>
      </c>
      <c r="E687" s="26" t="s">
        <v>1762</v>
      </c>
      <c r="F687" s="198" t="s">
        <v>1506</v>
      </c>
      <c r="G687" s="198" t="s">
        <v>1700</v>
      </c>
      <c r="H687" s="25" t="s">
        <v>1700</v>
      </c>
      <c r="I687" s="27" t="s">
        <v>3904</v>
      </c>
      <c r="J687" s="27" t="s">
        <v>866</v>
      </c>
      <c r="K687" s="28" t="s">
        <v>1416</v>
      </c>
      <c r="L687" s="29" t="s">
        <v>816</v>
      </c>
      <c r="CB687" s="278"/>
      <c r="CG687" s="278"/>
    </row>
    <row r="688" spans="1:130" x14ac:dyDescent="0.25">
      <c r="A688" s="8" t="s">
        <v>41</v>
      </c>
      <c r="B688" s="24" t="s">
        <v>42</v>
      </c>
      <c r="C688" s="25" t="s">
        <v>1777</v>
      </c>
      <c r="E688" s="26" t="s">
        <v>1762</v>
      </c>
      <c r="F688" s="198" t="s">
        <v>1700</v>
      </c>
      <c r="G688" s="198" t="s">
        <v>1700</v>
      </c>
      <c r="H688" s="25" t="s">
        <v>1700</v>
      </c>
      <c r="I688" s="27" t="s">
        <v>3904</v>
      </c>
      <c r="J688" s="27" t="s">
        <v>866</v>
      </c>
      <c r="K688" s="28" t="s">
        <v>859</v>
      </c>
      <c r="R688" s="29" t="s">
        <v>1972</v>
      </c>
      <c r="S688" s="8" t="s">
        <v>859</v>
      </c>
      <c r="W688" s="93">
        <v>250</v>
      </c>
      <c r="X688" s="84" t="s">
        <v>1700</v>
      </c>
      <c r="Y688" s="84" t="s">
        <v>1700</v>
      </c>
      <c r="AA688" s="84" t="s">
        <v>2230</v>
      </c>
      <c r="AB688" s="84" t="s">
        <v>126</v>
      </c>
      <c r="AC688" s="26">
        <v>42416</v>
      </c>
      <c r="AD688" s="26" t="s">
        <v>859</v>
      </c>
      <c r="AE688" s="8" t="s">
        <v>2237</v>
      </c>
      <c r="AF688" s="8">
        <v>500</v>
      </c>
      <c r="AG688" s="8">
        <v>250</v>
      </c>
      <c r="CB688" s="26">
        <v>41977</v>
      </c>
      <c r="CC688" s="26" t="s">
        <v>853</v>
      </c>
      <c r="CD688" s="8" t="s">
        <v>3242</v>
      </c>
      <c r="CE688" s="8">
        <v>624</v>
      </c>
      <c r="CF688" s="8">
        <v>280</v>
      </c>
      <c r="CG688" s="26"/>
      <c r="CH688" s="8"/>
      <c r="CM688" s="8"/>
      <c r="CR688" s="8"/>
    </row>
    <row r="689" spans="1:130" x14ac:dyDescent="0.25">
      <c r="A689" s="8" t="s">
        <v>1625</v>
      </c>
      <c r="B689" s="24" t="s">
        <v>895</v>
      </c>
      <c r="F689" s="198" t="s">
        <v>1700</v>
      </c>
      <c r="G689" s="198" t="s">
        <v>1700</v>
      </c>
      <c r="H689" s="25" t="s">
        <v>1700</v>
      </c>
      <c r="J689" s="27" t="s">
        <v>866</v>
      </c>
      <c r="CB689" s="26"/>
      <c r="CC689" s="26"/>
      <c r="CF689" s="8"/>
      <c r="CG689" s="26"/>
      <c r="CH689" s="8"/>
      <c r="CM689" s="8"/>
      <c r="CR689" s="8"/>
    </row>
    <row r="690" spans="1:130" x14ac:dyDescent="0.25">
      <c r="A690" s="8" t="s">
        <v>4824</v>
      </c>
      <c r="B690" s="24" t="s">
        <v>197</v>
      </c>
      <c r="F690" s="198" t="s">
        <v>1700</v>
      </c>
      <c r="G690" s="198" t="s">
        <v>1700</v>
      </c>
      <c r="H690" s="25" t="s">
        <v>1700</v>
      </c>
      <c r="I690" s="27" t="s">
        <v>3897</v>
      </c>
      <c r="J690" s="27" t="s">
        <v>866</v>
      </c>
      <c r="K690" s="28" t="s">
        <v>3907</v>
      </c>
      <c r="P690" s="17">
        <v>1</v>
      </c>
      <c r="CB690" s="278"/>
      <c r="CG690" s="278"/>
    </row>
    <row r="691" spans="1:130" x14ac:dyDescent="0.25">
      <c r="A691" s="8" t="s">
        <v>3696</v>
      </c>
      <c r="B691" s="24" t="s">
        <v>1603</v>
      </c>
      <c r="F691" s="198" t="s">
        <v>1700</v>
      </c>
      <c r="G691" s="198" t="s">
        <v>1700</v>
      </c>
      <c r="H691" s="25" t="s">
        <v>1700</v>
      </c>
      <c r="J691" s="27" t="s">
        <v>866</v>
      </c>
      <c r="R691" s="29" t="s">
        <v>1763</v>
      </c>
      <c r="CB691" s="278"/>
      <c r="CG691" s="278"/>
    </row>
    <row r="692" spans="1:130" x14ac:dyDescent="0.25">
      <c r="A692" s="8" t="s">
        <v>1882</v>
      </c>
      <c r="B692" s="24" t="s">
        <v>2054</v>
      </c>
      <c r="F692" s="198" t="s">
        <v>1700</v>
      </c>
      <c r="G692" s="198" t="s">
        <v>1700</v>
      </c>
      <c r="H692" s="25" t="s">
        <v>1700</v>
      </c>
      <c r="J692" s="27" t="s">
        <v>866</v>
      </c>
      <c r="CB692" s="26"/>
      <c r="CC692" s="26"/>
      <c r="CF692" s="8"/>
      <c r="CG692" s="26"/>
      <c r="CH692" s="8"/>
      <c r="CM692" s="8"/>
      <c r="CR692" s="8"/>
    </row>
    <row r="693" spans="1:130" x14ac:dyDescent="0.25">
      <c r="A693" s="8" t="s">
        <v>2245</v>
      </c>
      <c r="B693" s="24" t="s">
        <v>2246</v>
      </c>
      <c r="C693" s="25" t="s">
        <v>2247</v>
      </c>
      <c r="E693" s="26" t="s">
        <v>1762</v>
      </c>
      <c r="F693" s="198" t="s">
        <v>891</v>
      </c>
      <c r="G693" s="198" t="s">
        <v>3573</v>
      </c>
      <c r="H693" s="25" t="s">
        <v>1700</v>
      </c>
      <c r="I693" s="27" t="s">
        <v>3901</v>
      </c>
      <c r="J693" s="27" t="s">
        <v>866</v>
      </c>
      <c r="K693" s="28" t="s">
        <v>853</v>
      </c>
      <c r="R693" s="29" t="s">
        <v>853</v>
      </c>
      <c r="W693" s="93">
        <v>70</v>
      </c>
      <c r="X693" s="84" t="s">
        <v>1700</v>
      </c>
      <c r="Y693" s="84" t="s">
        <v>319</v>
      </c>
      <c r="AA693" s="84" t="s">
        <v>3574</v>
      </c>
      <c r="AB693" s="84" t="s">
        <v>302</v>
      </c>
      <c r="AC693" s="26">
        <v>42299</v>
      </c>
      <c r="AD693" s="26" t="s">
        <v>853</v>
      </c>
      <c r="AE693" s="8" t="s">
        <v>3981</v>
      </c>
      <c r="AF693" s="8">
        <v>140</v>
      </c>
      <c r="AG693" s="8">
        <v>70</v>
      </c>
      <c r="CB693" s="26">
        <v>42074</v>
      </c>
      <c r="CC693" s="26" t="s">
        <v>853</v>
      </c>
      <c r="CD693" s="8" t="s">
        <v>3575</v>
      </c>
      <c r="CE693" s="8">
        <v>140</v>
      </c>
      <c r="CF693" s="8">
        <v>70</v>
      </c>
      <c r="CG693" s="26"/>
      <c r="CH693" s="8"/>
      <c r="CM693" s="8"/>
      <c r="CR693" s="8"/>
    </row>
    <row r="694" spans="1:130" ht="13.5" x14ac:dyDescent="0.25">
      <c r="A694" s="8" t="s">
        <v>1011</v>
      </c>
      <c r="B694" s="24" t="s">
        <v>868</v>
      </c>
      <c r="F694" s="198" t="s">
        <v>1700</v>
      </c>
      <c r="G694" s="198" t="s">
        <v>1700</v>
      </c>
      <c r="H694" s="25" t="s">
        <v>1700</v>
      </c>
      <c r="J694" s="27" t="s">
        <v>866</v>
      </c>
      <c r="CB694" s="278"/>
      <c r="CD694" s="279"/>
      <c r="CG694" s="278"/>
      <c r="CH694" s="278"/>
      <c r="CI694" s="258"/>
      <c r="CK694" s="279"/>
      <c r="CL694" s="278"/>
      <c r="CM694" s="278"/>
      <c r="CN694" s="258"/>
      <c r="CP694" s="279"/>
      <c r="CQ694" s="258"/>
      <c r="CR694" s="258"/>
      <c r="CS694" s="258"/>
      <c r="CU694" s="258"/>
      <c r="CV694" s="258"/>
      <c r="CW694" s="258"/>
      <c r="CX694" s="258"/>
      <c r="CZ694" s="258"/>
      <c r="DA694" s="258"/>
      <c r="DB694" s="258"/>
      <c r="DC694" s="258"/>
      <c r="DE694" s="258"/>
      <c r="DF694" s="258"/>
      <c r="DG694" s="258"/>
      <c r="DH694" s="258"/>
      <c r="DJ694" s="258"/>
      <c r="DK694" s="258"/>
      <c r="DL694" s="258"/>
      <c r="DM694" s="258"/>
      <c r="DO694" s="258"/>
      <c r="DP694" s="258"/>
      <c r="DQ694" s="258"/>
      <c r="DR694" s="258"/>
      <c r="DT694" s="258"/>
      <c r="DU694" s="258"/>
      <c r="DV694" s="258"/>
      <c r="DW694" s="258"/>
      <c r="DY694" s="258"/>
    </row>
    <row r="695" spans="1:130" ht="13.5" x14ac:dyDescent="0.25">
      <c r="A695" s="8" t="s">
        <v>1600</v>
      </c>
      <c r="B695" s="24" t="s">
        <v>926</v>
      </c>
      <c r="C695" s="25" t="s">
        <v>1602</v>
      </c>
      <c r="D695" s="26">
        <v>20876</v>
      </c>
      <c r="E695" s="26" t="s">
        <v>1762</v>
      </c>
      <c r="F695" s="198" t="s">
        <v>1546</v>
      </c>
      <c r="G695" s="198" t="s">
        <v>15</v>
      </c>
      <c r="H695" s="25" t="s">
        <v>813</v>
      </c>
      <c r="J695" s="27" t="s">
        <v>1981</v>
      </c>
      <c r="K695" s="28" t="s">
        <v>816</v>
      </c>
      <c r="Q695" s="93"/>
      <c r="R695" s="28" t="s">
        <v>1972</v>
      </c>
      <c r="S695" s="29" t="s">
        <v>816</v>
      </c>
      <c r="T695" s="29" t="s">
        <v>855</v>
      </c>
      <c r="U695" s="29"/>
      <c r="V695" s="29"/>
      <c r="X695" s="8" t="s">
        <v>1959</v>
      </c>
      <c r="Y695" s="8" t="s">
        <v>190</v>
      </c>
      <c r="Z695" s="8"/>
      <c r="AA695" s="84" t="s">
        <v>1133</v>
      </c>
      <c r="AB695" s="84" t="s">
        <v>126</v>
      </c>
      <c r="AC695" s="8"/>
      <c r="AD695" s="8"/>
      <c r="AH695" s="8"/>
      <c r="AM695" s="8"/>
      <c r="AR695" s="8"/>
      <c r="AW695" s="8"/>
      <c r="BB695" s="8"/>
      <c r="BG695" s="8"/>
      <c r="BL695" s="8"/>
      <c r="BQ695" s="8"/>
      <c r="BV695" s="8"/>
      <c r="CB695" s="8"/>
      <c r="CC695" s="8"/>
      <c r="CF695" s="8"/>
      <c r="CG695" s="8"/>
      <c r="CH695" s="8"/>
      <c r="CL695" s="8"/>
      <c r="CM695" s="8"/>
      <c r="CQ695" s="8"/>
      <c r="CR695" s="8"/>
      <c r="CV695" s="8"/>
      <c r="DA695" s="8"/>
      <c r="DF695" s="8"/>
      <c r="DK695" s="8"/>
      <c r="DP695" s="8"/>
      <c r="DU695" s="8"/>
      <c r="DZ695" s="258"/>
    </row>
    <row r="696" spans="1:130" x14ac:dyDescent="0.25">
      <c r="A696" s="8" t="s">
        <v>1600</v>
      </c>
      <c r="B696" s="24" t="s">
        <v>952</v>
      </c>
      <c r="D696" s="26">
        <v>20535</v>
      </c>
      <c r="E696" s="26" t="s">
        <v>877</v>
      </c>
      <c r="F696" s="198" t="s">
        <v>1700</v>
      </c>
      <c r="G696" s="198" t="s">
        <v>1700</v>
      </c>
      <c r="H696" s="25" t="s">
        <v>1700</v>
      </c>
      <c r="I696" s="27" t="s">
        <v>3902</v>
      </c>
      <c r="J696" s="27" t="s">
        <v>866</v>
      </c>
      <c r="K696" s="28" t="s">
        <v>817</v>
      </c>
      <c r="R696" s="29" t="s">
        <v>817</v>
      </c>
      <c r="CB696" s="26"/>
      <c r="CC696" s="26"/>
      <c r="CF696" s="8"/>
      <c r="CG696" s="26"/>
      <c r="CH696" s="8"/>
      <c r="CM696" s="8"/>
      <c r="CR696" s="8"/>
    </row>
    <row r="697" spans="1:130" x14ac:dyDescent="0.25">
      <c r="A697" s="8" t="s">
        <v>1600</v>
      </c>
      <c r="B697" s="24" t="s">
        <v>1504</v>
      </c>
      <c r="D697" s="26">
        <v>34387</v>
      </c>
      <c r="E697" s="26" t="s">
        <v>877</v>
      </c>
      <c r="F697" s="198" t="s">
        <v>1700</v>
      </c>
      <c r="G697" s="198" t="s">
        <v>1700</v>
      </c>
      <c r="H697" s="25" t="s">
        <v>1700</v>
      </c>
      <c r="J697" s="27" t="s">
        <v>866</v>
      </c>
      <c r="K697" s="28" t="s">
        <v>816</v>
      </c>
      <c r="R697" s="29" t="s">
        <v>855</v>
      </c>
      <c r="CB697" s="278"/>
      <c r="CG697" s="278"/>
    </row>
    <row r="698" spans="1:130" x14ac:dyDescent="0.25">
      <c r="A698" s="8" t="s">
        <v>1600</v>
      </c>
      <c r="B698" s="24" t="s">
        <v>3039</v>
      </c>
      <c r="D698" s="26">
        <v>33234</v>
      </c>
      <c r="E698" s="26" t="s">
        <v>877</v>
      </c>
      <c r="F698" s="198" t="s">
        <v>1700</v>
      </c>
      <c r="G698" s="198" t="s">
        <v>1700</v>
      </c>
      <c r="H698" s="25" t="s">
        <v>1700</v>
      </c>
      <c r="J698" s="27" t="s">
        <v>866</v>
      </c>
      <c r="K698" s="28" t="s">
        <v>816</v>
      </c>
      <c r="R698" s="29" t="s">
        <v>855</v>
      </c>
      <c r="CB698" s="278"/>
      <c r="CG698" s="278"/>
    </row>
    <row r="699" spans="1:130" x14ac:dyDescent="0.25">
      <c r="A699" s="8" t="s">
        <v>1600</v>
      </c>
      <c r="B699" s="24" t="s">
        <v>139</v>
      </c>
      <c r="C699" s="25" t="s">
        <v>124</v>
      </c>
      <c r="E699" s="26" t="s">
        <v>1762</v>
      </c>
      <c r="F699" s="198" t="s">
        <v>2142</v>
      </c>
      <c r="G699" s="198" t="s">
        <v>946</v>
      </c>
      <c r="H699" s="25" t="s">
        <v>2295</v>
      </c>
      <c r="J699" s="27" t="s">
        <v>866</v>
      </c>
      <c r="X699" s="84" t="s">
        <v>1700</v>
      </c>
      <c r="Y699" s="84" t="s">
        <v>1700</v>
      </c>
      <c r="AA699" s="84" t="s">
        <v>125</v>
      </c>
      <c r="AB699" s="84" t="s">
        <v>1152</v>
      </c>
      <c r="CB699" s="26"/>
      <c r="CC699" s="26"/>
      <c r="CF699" s="8"/>
      <c r="CG699" s="26"/>
      <c r="CH699" s="8"/>
      <c r="CM699" s="8"/>
      <c r="CR699" s="8"/>
    </row>
    <row r="700" spans="1:130" x14ac:dyDescent="0.25">
      <c r="A700" s="19" t="s">
        <v>1600</v>
      </c>
      <c r="B700" s="12" t="s">
        <v>936</v>
      </c>
      <c r="C700" s="13" t="s">
        <v>1701</v>
      </c>
      <c r="D700" s="14">
        <v>23377</v>
      </c>
      <c r="E700" s="14" t="s">
        <v>1762</v>
      </c>
      <c r="F700" s="199" t="s">
        <v>898</v>
      </c>
      <c r="G700" s="199" t="s">
        <v>1604</v>
      </c>
      <c r="H700" s="13" t="s">
        <v>1608</v>
      </c>
      <c r="I700" s="15"/>
      <c r="J700" s="20" t="s">
        <v>866</v>
      </c>
      <c r="K700" s="17" t="s">
        <v>816</v>
      </c>
      <c r="L700" s="21"/>
      <c r="M700" s="21"/>
      <c r="N700" s="21"/>
      <c r="O700" s="21"/>
      <c r="Q700" s="95"/>
      <c r="R700" s="17"/>
      <c r="S700" s="21" t="s">
        <v>816</v>
      </c>
      <c r="T700" s="21" t="s">
        <v>855</v>
      </c>
      <c r="U700" s="29"/>
      <c r="V700" s="29"/>
      <c r="X700" s="84" t="s">
        <v>1700</v>
      </c>
      <c r="Y700" s="84" t="s">
        <v>190</v>
      </c>
      <c r="AA700" s="84" t="s">
        <v>2198</v>
      </c>
      <c r="AB700" s="84" t="s">
        <v>126</v>
      </c>
      <c r="AD700" s="8"/>
      <c r="BV700" s="8"/>
      <c r="CB700" s="26"/>
      <c r="CC700" s="8"/>
      <c r="CF700" s="8"/>
      <c r="CG700" s="26"/>
      <c r="CH700" s="8"/>
      <c r="CM700" s="8"/>
      <c r="CR700" s="8"/>
      <c r="DU700" s="8"/>
    </row>
    <row r="701" spans="1:130" x14ac:dyDescent="0.25">
      <c r="A701" s="8" t="s">
        <v>1237</v>
      </c>
      <c r="B701" s="24" t="s">
        <v>735</v>
      </c>
      <c r="E701" s="26" t="s">
        <v>1762</v>
      </c>
      <c r="F701" s="198" t="s">
        <v>4430</v>
      </c>
      <c r="G701" s="198" t="s">
        <v>1700</v>
      </c>
      <c r="H701" s="25" t="s">
        <v>1238</v>
      </c>
      <c r="I701" s="27" t="s">
        <v>3904</v>
      </c>
      <c r="J701" s="27" t="s">
        <v>866</v>
      </c>
      <c r="K701" s="28" t="s">
        <v>854</v>
      </c>
      <c r="CB701" s="26"/>
      <c r="CC701" s="26"/>
      <c r="CF701" s="8"/>
      <c r="CG701" s="26"/>
      <c r="CH701" s="8"/>
      <c r="CM701" s="8"/>
      <c r="CR701" s="8"/>
    </row>
    <row r="702" spans="1:130" x14ac:dyDescent="0.25">
      <c r="A702" s="8" t="s">
        <v>247</v>
      </c>
      <c r="B702" s="24" t="s">
        <v>248</v>
      </c>
      <c r="E702" s="26" t="s">
        <v>1762</v>
      </c>
      <c r="F702" s="198" t="s">
        <v>898</v>
      </c>
      <c r="G702" s="198" t="s">
        <v>1700</v>
      </c>
      <c r="H702" s="25" t="s">
        <v>1700</v>
      </c>
      <c r="J702" s="27" t="s">
        <v>866</v>
      </c>
      <c r="R702" s="29" t="s">
        <v>1972</v>
      </c>
      <c r="AD702" s="8"/>
      <c r="BG702" s="19"/>
      <c r="BH702" s="19"/>
      <c r="BI702" s="19"/>
      <c r="BK702" s="19"/>
      <c r="BL702" s="19"/>
      <c r="BM702" s="19"/>
      <c r="BN702" s="19"/>
      <c r="BP702" s="19"/>
      <c r="BQ702" s="19"/>
      <c r="BR702" s="19"/>
      <c r="BS702" s="19"/>
      <c r="BU702" s="19"/>
      <c r="BV702" s="19"/>
      <c r="BW702" s="19"/>
      <c r="BX702" s="19"/>
      <c r="BZ702" s="19"/>
      <c r="CB702" s="26"/>
      <c r="CC702" s="26"/>
      <c r="CF702" s="8"/>
      <c r="CG702" s="26"/>
      <c r="CH702" s="8"/>
      <c r="CM702" s="8"/>
      <c r="CR702" s="8"/>
    </row>
    <row r="703" spans="1:130" x14ac:dyDescent="0.25">
      <c r="A703" s="8" t="s">
        <v>4320</v>
      </c>
      <c r="B703" s="24" t="s">
        <v>4321</v>
      </c>
      <c r="C703" s="25" t="s">
        <v>4626</v>
      </c>
      <c r="E703" s="26" t="s">
        <v>1762</v>
      </c>
      <c r="F703" s="198" t="s">
        <v>1700</v>
      </c>
      <c r="G703" s="198" t="s">
        <v>1700</v>
      </c>
      <c r="H703" s="25" t="s">
        <v>1700</v>
      </c>
      <c r="I703" s="27" t="s">
        <v>3903</v>
      </c>
      <c r="J703" s="27" t="s">
        <v>866</v>
      </c>
      <c r="K703" s="28" t="s">
        <v>859</v>
      </c>
      <c r="W703" s="93">
        <v>250</v>
      </c>
      <c r="X703" s="84" t="s">
        <v>1700</v>
      </c>
      <c r="Y703" s="84" t="s">
        <v>29</v>
      </c>
      <c r="AA703" s="84" t="s">
        <v>4322</v>
      </c>
      <c r="AB703" s="84" t="s">
        <v>2047</v>
      </c>
      <c r="AC703" s="26">
        <v>42416</v>
      </c>
      <c r="AD703" s="26" t="s">
        <v>859</v>
      </c>
      <c r="AE703" s="8" t="s">
        <v>2237</v>
      </c>
      <c r="AF703" s="8">
        <v>500</v>
      </c>
      <c r="AG703" s="8">
        <v>250</v>
      </c>
      <c r="CB703" s="278"/>
      <c r="CG703" s="278"/>
    </row>
    <row r="704" spans="1:130" x14ac:dyDescent="0.25">
      <c r="A704" s="8" t="s">
        <v>4757</v>
      </c>
      <c r="B704" s="24" t="s">
        <v>275</v>
      </c>
      <c r="C704" s="25" t="s">
        <v>4756</v>
      </c>
      <c r="E704" s="26" t="s">
        <v>1762</v>
      </c>
      <c r="F704" s="198" t="s">
        <v>1448</v>
      </c>
      <c r="G704" s="198" t="s">
        <v>1700</v>
      </c>
      <c r="H704" s="25" t="s">
        <v>4758</v>
      </c>
      <c r="I704" s="27" t="s">
        <v>3895</v>
      </c>
      <c r="J704" s="27" t="s">
        <v>866</v>
      </c>
      <c r="K704" s="28" t="s">
        <v>853</v>
      </c>
      <c r="W704" s="93">
        <v>160</v>
      </c>
      <c r="X704" s="84" t="s">
        <v>1700</v>
      </c>
      <c r="Y704" s="84" t="s">
        <v>2499</v>
      </c>
      <c r="AA704" s="84" t="s">
        <v>4759</v>
      </c>
      <c r="AB704" s="84" t="s">
        <v>126</v>
      </c>
      <c r="AC704" s="26">
        <v>42453</v>
      </c>
      <c r="AD704" s="26" t="s">
        <v>853</v>
      </c>
      <c r="AE704" s="8" t="s">
        <v>4760</v>
      </c>
      <c r="AF704" s="8">
        <v>528</v>
      </c>
      <c r="AG704" s="8">
        <v>160</v>
      </c>
      <c r="CB704" s="278"/>
      <c r="CG704" s="278"/>
    </row>
    <row r="705" spans="1:130" x14ac:dyDescent="0.25">
      <c r="A705" s="8" t="s">
        <v>1501</v>
      </c>
      <c r="B705" s="24" t="s">
        <v>779</v>
      </c>
      <c r="C705" s="25" t="s">
        <v>1502</v>
      </c>
      <c r="E705" s="26" t="s">
        <v>1764</v>
      </c>
      <c r="F705" s="198" t="s">
        <v>1609</v>
      </c>
      <c r="G705" s="198" t="s">
        <v>1700</v>
      </c>
      <c r="H705" s="25" t="s">
        <v>2455</v>
      </c>
      <c r="J705" s="27" t="s">
        <v>866</v>
      </c>
      <c r="R705" s="29" t="s">
        <v>853</v>
      </c>
      <c r="X705" s="84" t="s">
        <v>1700</v>
      </c>
      <c r="Y705" s="84" t="s">
        <v>1205</v>
      </c>
      <c r="AA705" s="84" t="s">
        <v>2454</v>
      </c>
      <c r="AB705" s="84" t="s">
        <v>2453</v>
      </c>
      <c r="CB705" s="26">
        <v>42178</v>
      </c>
      <c r="CC705" s="26" t="s">
        <v>853</v>
      </c>
      <c r="CD705" s="8" t="s">
        <v>2359</v>
      </c>
      <c r="CE705" s="8">
        <v>391.8</v>
      </c>
      <c r="CF705" s="8">
        <v>160</v>
      </c>
      <c r="CG705" s="26"/>
      <c r="CH705" s="8"/>
      <c r="CM705" s="8"/>
      <c r="CR705" s="8"/>
    </row>
    <row r="706" spans="1:130" x14ac:dyDescent="0.25">
      <c r="A706" s="8" t="s">
        <v>4609</v>
      </c>
      <c r="B706" s="24" t="s">
        <v>873</v>
      </c>
      <c r="F706" s="198" t="s">
        <v>1700</v>
      </c>
      <c r="G706" s="198" t="s">
        <v>1700</v>
      </c>
      <c r="H706" s="25" t="s">
        <v>1700</v>
      </c>
      <c r="I706" s="27" t="s">
        <v>3893</v>
      </c>
      <c r="J706" s="27" t="s">
        <v>866</v>
      </c>
      <c r="K706" s="28" t="s">
        <v>3907</v>
      </c>
      <c r="P706" s="17">
        <v>1</v>
      </c>
      <c r="CB706" s="278"/>
      <c r="CG706" s="278"/>
    </row>
    <row r="707" spans="1:130" ht="13.5" x14ac:dyDescent="0.25">
      <c r="A707" s="8" t="s">
        <v>3783</v>
      </c>
      <c r="B707" s="24" t="s">
        <v>329</v>
      </c>
      <c r="C707" s="25" t="s">
        <v>3782</v>
      </c>
      <c r="E707" s="26" t="s">
        <v>1762</v>
      </c>
      <c r="F707" s="198" t="s">
        <v>977</v>
      </c>
      <c r="G707" s="198" t="s">
        <v>1700</v>
      </c>
      <c r="H707" s="25" t="s">
        <v>3784</v>
      </c>
      <c r="I707" s="27" t="s">
        <v>3894</v>
      </c>
      <c r="J707" s="27" t="s">
        <v>866</v>
      </c>
      <c r="K707" s="28" t="s">
        <v>853</v>
      </c>
      <c r="R707" s="29" t="s">
        <v>853</v>
      </c>
      <c r="W707" s="93">
        <v>160</v>
      </c>
      <c r="X707" s="84" t="s">
        <v>1700</v>
      </c>
      <c r="Y707" s="84" t="s">
        <v>2499</v>
      </c>
      <c r="AA707" s="84" t="s">
        <v>3785</v>
      </c>
      <c r="AB707" s="84" t="s">
        <v>126</v>
      </c>
      <c r="AC707" s="26">
        <v>42453</v>
      </c>
      <c r="AD707" s="26" t="s">
        <v>853</v>
      </c>
      <c r="AE707" s="8" t="s">
        <v>4704</v>
      </c>
      <c r="AF707" s="8">
        <v>516</v>
      </c>
      <c r="AG707" s="8">
        <v>160</v>
      </c>
      <c r="CB707" s="278">
        <v>42188</v>
      </c>
      <c r="CC707" s="278" t="s">
        <v>853</v>
      </c>
      <c r="CD707" s="8" t="s">
        <v>3786</v>
      </c>
      <c r="CE707" s="8">
        <v>371</v>
      </c>
      <c r="CF707" s="279">
        <v>160</v>
      </c>
      <c r="CG707" s="278"/>
      <c r="DZ707" s="258"/>
    </row>
    <row r="708" spans="1:130" x14ac:dyDescent="0.25">
      <c r="A708" s="8" t="s">
        <v>742</v>
      </c>
      <c r="B708" s="24" t="s">
        <v>2972</v>
      </c>
      <c r="D708" s="26">
        <v>28088</v>
      </c>
      <c r="E708" s="26" t="s">
        <v>1762</v>
      </c>
      <c r="F708" s="198" t="s">
        <v>885</v>
      </c>
      <c r="G708" s="198" t="s">
        <v>4108</v>
      </c>
      <c r="H708" s="25" t="s">
        <v>1241</v>
      </c>
      <c r="I708" s="27" t="s">
        <v>3902</v>
      </c>
      <c r="J708" s="27" t="s">
        <v>866</v>
      </c>
      <c r="K708" s="28" t="s">
        <v>817</v>
      </c>
      <c r="L708" s="29" t="s">
        <v>854</v>
      </c>
      <c r="R708" s="29" t="s">
        <v>817</v>
      </c>
      <c r="S708" s="8" t="s">
        <v>1416</v>
      </c>
      <c r="T708" s="8" t="s">
        <v>854</v>
      </c>
      <c r="U708" s="8" t="s">
        <v>816</v>
      </c>
      <c r="CB708" s="26"/>
      <c r="CC708" s="26"/>
      <c r="CF708" s="8"/>
      <c r="CG708" s="26"/>
      <c r="CH708" s="8"/>
      <c r="CM708" s="8"/>
      <c r="CR708" s="8"/>
    </row>
    <row r="709" spans="1:130" x14ac:dyDescent="0.25">
      <c r="A709" s="8" t="s">
        <v>535</v>
      </c>
      <c r="B709" s="24" t="s">
        <v>953</v>
      </c>
      <c r="C709" s="25" t="s">
        <v>536</v>
      </c>
      <c r="E709" s="26" t="s">
        <v>1762</v>
      </c>
      <c r="F709" s="198" t="s">
        <v>963</v>
      </c>
      <c r="G709" s="198" t="s">
        <v>1700</v>
      </c>
      <c r="H709" s="25" t="s">
        <v>1700</v>
      </c>
      <c r="J709" s="27" t="s">
        <v>866</v>
      </c>
      <c r="X709" s="84" t="s">
        <v>1700</v>
      </c>
      <c r="Y709" s="84" t="s">
        <v>791</v>
      </c>
      <c r="AA709" s="84" t="s">
        <v>709</v>
      </c>
      <c r="AB709" s="84" t="s">
        <v>126</v>
      </c>
      <c r="CB709" s="26"/>
      <c r="CC709" s="26"/>
      <c r="CF709" s="8"/>
      <c r="CG709" s="26"/>
      <c r="CH709" s="8"/>
      <c r="CM709" s="8"/>
      <c r="CR709" s="8"/>
    </row>
    <row r="710" spans="1:130" x14ac:dyDescent="0.25">
      <c r="A710" s="8" t="s">
        <v>1517</v>
      </c>
      <c r="B710" s="24" t="s">
        <v>921</v>
      </c>
      <c r="C710" s="25" t="s">
        <v>1516</v>
      </c>
      <c r="E710" s="26" t="s">
        <v>1762</v>
      </c>
      <c r="F710" s="198" t="s">
        <v>913</v>
      </c>
      <c r="G710" s="198" t="s">
        <v>3129</v>
      </c>
      <c r="H710" s="25" t="s">
        <v>3643</v>
      </c>
      <c r="J710" s="27" t="s">
        <v>866</v>
      </c>
      <c r="R710" s="29" t="s">
        <v>853</v>
      </c>
      <c r="X710" s="84" t="s">
        <v>1700</v>
      </c>
      <c r="Y710" s="84" t="s">
        <v>246</v>
      </c>
      <c r="AA710" s="84" t="s">
        <v>1863</v>
      </c>
      <c r="AB710" s="84" t="s">
        <v>126</v>
      </c>
      <c r="CB710" s="26">
        <v>42097</v>
      </c>
      <c r="CC710" s="26" t="s">
        <v>853</v>
      </c>
      <c r="CD710" s="8" t="s">
        <v>2363</v>
      </c>
      <c r="CE710" s="8">
        <v>378</v>
      </c>
      <c r="CF710" s="8">
        <v>160</v>
      </c>
      <c r="CG710" s="26"/>
      <c r="CH710" s="8"/>
      <c r="CM710" s="8"/>
      <c r="CR710" s="8"/>
    </row>
    <row r="711" spans="1:130" x14ac:dyDescent="0.25">
      <c r="A711" s="8" t="s">
        <v>508</v>
      </c>
      <c r="B711" s="24" t="s">
        <v>1303</v>
      </c>
      <c r="C711" s="25" t="s">
        <v>509</v>
      </c>
      <c r="E711" s="26" t="s">
        <v>1762</v>
      </c>
      <c r="F711" s="198" t="s">
        <v>1962</v>
      </c>
      <c r="G711" s="198" t="s">
        <v>1700</v>
      </c>
      <c r="H711" s="25" t="s">
        <v>3589</v>
      </c>
      <c r="I711" s="27" t="s">
        <v>3894</v>
      </c>
      <c r="J711" s="27" t="s">
        <v>866</v>
      </c>
      <c r="K711" s="28" t="s">
        <v>853</v>
      </c>
      <c r="R711" s="29" t="s">
        <v>853</v>
      </c>
      <c r="W711" s="93">
        <v>160</v>
      </c>
      <c r="X711" s="84" t="s">
        <v>1700</v>
      </c>
      <c r="Y711" s="84" t="s">
        <v>195</v>
      </c>
      <c r="AA711" s="84" t="s">
        <v>510</v>
      </c>
      <c r="AB711" s="84" t="s">
        <v>511</v>
      </c>
      <c r="AC711" s="26">
        <v>42453</v>
      </c>
      <c r="AD711" s="26" t="s">
        <v>853</v>
      </c>
      <c r="AE711" s="8" t="s">
        <v>4745</v>
      </c>
      <c r="AF711" s="8">
        <v>597</v>
      </c>
      <c r="AG711" s="8">
        <v>160</v>
      </c>
      <c r="CB711" s="26">
        <v>42074</v>
      </c>
      <c r="CC711" s="26" t="s">
        <v>853</v>
      </c>
      <c r="CD711" s="8" t="s">
        <v>3590</v>
      </c>
      <c r="CE711" s="8">
        <v>588</v>
      </c>
      <c r="CF711" s="8">
        <v>160</v>
      </c>
      <c r="CG711" s="26"/>
      <c r="CH711" s="8"/>
      <c r="CM711" s="8"/>
      <c r="CR711" s="8"/>
    </row>
    <row r="712" spans="1:130" x14ac:dyDescent="0.25">
      <c r="A712" s="8" t="s">
        <v>4638</v>
      </c>
      <c r="B712" s="24" t="s">
        <v>933</v>
      </c>
      <c r="F712" s="198" t="s">
        <v>1700</v>
      </c>
      <c r="G712" s="198" t="s">
        <v>1700</v>
      </c>
      <c r="H712" s="25" t="s">
        <v>1700</v>
      </c>
      <c r="I712" s="27" t="s">
        <v>3893</v>
      </c>
      <c r="J712" s="27" t="s">
        <v>866</v>
      </c>
      <c r="K712" s="28" t="s">
        <v>816</v>
      </c>
      <c r="CB712" s="278"/>
      <c r="CG712" s="278"/>
    </row>
    <row r="713" spans="1:130" x14ac:dyDescent="0.25">
      <c r="A713" s="8" t="s">
        <v>2543</v>
      </c>
      <c r="B713" s="24" t="s">
        <v>894</v>
      </c>
      <c r="C713" s="25" t="s">
        <v>2544</v>
      </c>
      <c r="E713" s="26" t="s">
        <v>1762</v>
      </c>
      <c r="F713" s="198" t="s">
        <v>788</v>
      </c>
      <c r="G713" s="198" t="s">
        <v>1700</v>
      </c>
      <c r="H713" s="25" t="s">
        <v>2545</v>
      </c>
      <c r="J713" s="27" t="s">
        <v>866</v>
      </c>
      <c r="X713" s="84" t="s">
        <v>1700</v>
      </c>
      <c r="Y713" s="84" t="s">
        <v>1530</v>
      </c>
      <c r="AA713" s="84" t="s">
        <v>2547</v>
      </c>
      <c r="AB713" s="84" t="s">
        <v>2546</v>
      </c>
      <c r="CB713" s="26"/>
      <c r="CC713" s="26"/>
      <c r="CF713" s="8"/>
      <c r="CG713" s="26"/>
      <c r="CH713" s="8"/>
      <c r="CM713" s="8"/>
      <c r="CR713" s="8"/>
    </row>
    <row r="714" spans="1:130" x14ac:dyDescent="0.25">
      <c r="A714" s="8" t="s">
        <v>4648</v>
      </c>
      <c r="B714" s="24" t="s">
        <v>4649</v>
      </c>
      <c r="F714" s="198" t="s">
        <v>1700</v>
      </c>
      <c r="G714" s="198" t="s">
        <v>1700</v>
      </c>
      <c r="H714" s="25" t="s">
        <v>1700</v>
      </c>
      <c r="J714" s="27" t="s">
        <v>866</v>
      </c>
      <c r="K714" s="28" t="s">
        <v>816</v>
      </c>
      <c r="CB714" s="278"/>
      <c r="CG714" s="278"/>
    </row>
    <row r="715" spans="1:130" x14ac:dyDescent="0.25">
      <c r="A715" s="8" t="s">
        <v>1296</v>
      </c>
      <c r="B715" s="24" t="s">
        <v>1297</v>
      </c>
      <c r="E715" s="26" t="s">
        <v>1762</v>
      </c>
      <c r="F715" s="198" t="s">
        <v>1700</v>
      </c>
      <c r="G715" s="198" t="s">
        <v>1700</v>
      </c>
      <c r="H715" s="25" t="s">
        <v>1700</v>
      </c>
      <c r="J715" s="27" t="s">
        <v>866</v>
      </c>
      <c r="R715" s="29" t="s">
        <v>1763</v>
      </c>
      <c r="CB715" s="26"/>
      <c r="CC715" s="26"/>
      <c r="CF715" s="8"/>
      <c r="CG715" s="26"/>
      <c r="CH715" s="8"/>
      <c r="CM715" s="8"/>
      <c r="CR715" s="8"/>
    </row>
    <row r="716" spans="1:130" ht="13.5" x14ac:dyDescent="0.25">
      <c r="A716" s="8" t="s">
        <v>3502</v>
      </c>
      <c r="B716" s="24" t="s">
        <v>196</v>
      </c>
      <c r="C716" s="25" t="s">
        <v>3503</v>
      </c>
      <c r="F716" s="198" t="s">
        <v>1700</v>
      </c>
      <c r="G716" s="198" t="s">
        <v>1700</v>
      </c>
      <c r="H716" s="25" t="s">
        <v>1700</v>
      </c>
      <c r="I716" s="27" t="s">
        <v>3902</v>
      </c>
      <c r="J716" s="27" t="s">
        <v>866</v>
      </c>
      <c r="K716" s="28" t="s">
        <v>854</v>
      </c>
      <c r="R716" s="29" t="s">
        <v>854</v>
      </c>
      <c r="CB716" s="278"/>
      <c r="CG716" s="278"/>
      <c r="DZ716" s="258"/>
    </row>
    <row r="717" spans="1:130" x14ac:dyDescent="0.25">
      <c r="A717" s="8" t="s">
        <v>466</v>
      </c>
      <c r="B717" s="24" t="s">
        <v>2152</v>
      </c>
      <c r="C717" s="25" t="s">
        <v>467</v>
      </c>
      <c r="E717" s="26" t="s">
        <v>1764</v>
      </c>
      <c r="F717" s="198" t="s">
        <v>968</v>
      </c>
      <c r="G717" s="198" t="s">
        <v>1700</v>
      </c>
      <c r="H717" s="25" t="s">
        <v>3485</v>
      </c>
      <c r="J717" s="27" t="s">
        <v>866</v>
      </c>
      <c r="R717" s="29" t="s">
        <v>853</v>
      </c>
      <c r="X717" s="84" t="s">
        <v>1700</v>
      </c>
      <c r="Y717" s="84" t="s">
        <v>468</v>
      </c>
      <c r="AA717" s="84" t="s">
        <v>383</v>
      </c>
      <c r="AB717" s="84" t="s">
        <v>348</v>
      </c>
      <c r="CB717" s="26">
        <v>42032</v>
      </c>
      <c r="CC717" s="26" t="s">
        <v>853</v>
      </c>
      <c r="CD717" s="8" t="s">
        <v>3486</v>
      </c>
      <c r="CE717" s="8">
        <v>350</v>
      </c>
      <c r="CF717" s="8">
        <v>160</v>
      </c>
      <c r="CG717" s="26"/>
      <c r="CH717" s="8"/>
      <c r="CM717" s="8"/>
      <c r="CR717" s="8"/>
    </row>
    <row r="718" spans="1:130" x14ac:dyDescent="0.25">
      <c r="A718" s="8" t="s">
        <v>639</v>
      </c>
      <c r="B718" s="24" t="s">
        <v>936</v>
      </c>
      <c r="C718" s="25" t="s">
        <v>984</v>
      </c>
      <c r="E718" s="26" t="s">
        <v>896</v>
      </c>
      <c r="F718" s="198" t="s">
        <v>896</v>
      </c>
      <c r="G718" s="198" t="s">
        <v>1700</v>
      </c>
      <c r="H718" s="25" t="s">
        <v>2803</v>
      </c>
      <c r="I718" s="27" t="s">
        <v>3903</v>
      </c>
      <c r="J718" s="27" t="s">
        <v>866</v>
      </c>
      <c r="K718" s="28" t="s">
        <v>853</v>
      </c>
      <c r="Q718" s="93"/>
      <c r="R718" s="28" t="s">
        <v>853</v>
      </c>
      <c r="S718" s="29"/>
      <c r="T718" s="29"/>
      <c r="U718" s="29"/>
      <c r="V718" s="29"/>
      <c r="W718" s="93">
        <v>160</v>
      </c>
      <c r="X718" s="84" t="s">
        <v>1700</v>
      </c>
      <c r="Y718" s="84" t="s">
        <v>448</v>
      </c>
      <c r="AA718" s="84" t="s">
        <v>1135</v>
      </c>
      <c r="AB718" s="84" t="s">
        <v>2019</v>
      </c>
      <c r="AC718" s="26">
        <v>42360</v>
      </c>
      <c r="AD718" s="26" t="s">
        <v>853</v>
      </c>
      <c r="AE718" s="8" t="s">
        <v>4526</v>
      </c>
      <c r="AF718" s="8">
        <v>617.1</v>
      </c>
      <c r="AG718" s="8">
        <v>160</v>
      </c>
      <c r="CB718" s="26">
        <v>41921</v>
      </c>
      <c r="CC718" s="26" t="s">
        <v>853</v>
      </c>
      <c r="CD718" s="8" t="s">
        <v>2804</v>
      </c>
      <c r="CE718" s="8">
        <v>617.1</v>
      </c>
      <c r="CF718" s="8">
        <v>160</v>
      </c>
      <c r="CG718" s="26"/>
      <c r="CH718" s="8"/>
      <c r="CM718" s="8"/>
      <c r="CR718" s="8"/>
    </row>
    <row r="719" spans="1:130" x14ac:dyDescent="0.25">
      <c r="A719" s="8" t="s">
        <v>4765</v>
      </c>
      <c r="B719" s="24" t="s">
        <v>4766</v>
      </c>
      <c r="C719" s="25" t="s">
        <v>4764</v>
      </c>
      <c r="E719" s="26" t="s">
        <v>1762</v>
      </c>
      <c r="F719" s="198" t="s">
        <v>2358</v>
      </c>
      <c r="G719" s="198" t="s">
        <v>1700</v>
      </c>
      <c r="H719" s="25" t="s">
        <v>1700</v>
      </c>
      <c r="I719" s="27" t="s">
        <v>3895</v>
      </c>
      <c r="J719" s="27" t="s">
        <v>866</v>
      </c>
      <c r="K719" s="28" t="s">
        <v>853</v>
      </c>
      <c r="W719" s="93">
        <v>160</v>
      </c>
      <c r="X719" s="84" t="s">
        <v>1700</v>
      </c>
      <c r="Y719" s="84" t="s">
        <v>2499</v>
      </c>
      <c r="AA719" s="84" t="s">
        <v>4767</v>
      </c>
      <c r="AB719" s="84" t="s">
        <v>126</v>
      </c>
      <c r="AC719" s="26">
        <v>42453</v>
      </c>
      <c r="AD719" s="26" t="s">
        <v>853</v>
      </c>
      <c r="AE719" s="8" t="s">
        <v>4768</v>
      </c>
      <c r="AF719" s="8">
        <v>453.8</v>
      </c>
      <c r="AG719" s="8">
        <v>160</v>
      </c>
      <c r="CB719" s="278"/>
      <c r="CG719" s="278"/>
    </row>
    <row r="720" spans="1:130" x14ac:dyDescent="0.25">
      <c r="A720" s="8" t="s">
        <v>1651</v>
      </c>
      <c r="B720" s="24" t="s">
        <v>197</v>
      </c>
      <c r="C720" s="25" t="s">
        <v>473</v>
      </c>
      <c r="E720" s="26" t="s">
        <v>1762</v>
      </c>
      <c r="F720" s="198" t="s">
        <v>852</v>
      </c>
      <c r="G720" s="198" t="s">
        <v>1700</v>
      </c>
      <c r="H720" s="25" t="s">
        <v>1700</v>
      </c>
      <c r="I720" s="27" t="s">
        <v>3893</v>
      </c>
      <c r="J720" s="27" t="s">
        <v>866</v>
      </c>
      <c r="K720" s="28" t="s">
        <v>3907</v>
      </c>
      <c r="P720" s="17">
        <v>1</v>
      </c>
      <c r="CB720" s="26"/>
      <c r="CC720" s="26"/>
      <c r="CF720" s="8"/>
      <c r="CG720" s="26"/>
      <c r="CH720" s="8"/>
      <c r="CM720" s="8"/>
      <c r="CR720" s="8"/>
    </row>
    <row r="721" spans="1:130" x14ac:dyDescent="0.25">
      <c r="A721" s="8" t="s">
        <v>1507</v>
      </c>
      <c r="B721" s="24" t="s">
        <v>1117</v>
      </c>
      <c r="C721" s="25" t="s">
        <v>340</v>
      </c>
      <c r="E721" s="26" t="s">
        <v>1762</v>
      </c>
      <c r="F721" s="198" t="s">
        <v>194</v>
      </c>
      <c r="G721" s="198" t="s">
        <v>1700</v>
      </c>
      <c r="H721" s="25" t="s">
        <v>3064</v>
      </c>
      <c r="J721" s="27" t="s">
        <v>866</v>
      </c>
      <c r="R721" s="29" t="s">
        <v>853</v>
      </c>
      <c r="X721" s="84" t="s">
        <v>1700</v>
      </c>
      <c r="Y721" s="84" t="s">
        <v>2499</v>
      </c>
      <c r="AA721" s="84" t="s">
        <v>3065</v>
      </c>
      <c r="AB721" s="84" t="s">
        <v>126</v>
      </c>
      <c r="CB721" s="26">
        <v>41943</v>
      </c>
      <c r="CC721" s="26" t="s">
        <v>853</v>
      </c>
      <c r="CD721" s="8" t="s">
        <v>3066</v>
      </c>
      <c r="CE721" s="8">
        <v>187</v>
      </c>
      <c r="CF721" s="8">
        <v>94</v>
      </c>
      <c r="CG721" s="26"/>
      <c r="CH721" s="8"/>
      <c r="CM721" s="8"/>
      <c r="CR721" s="8"/>
    </row>
    <row r="722" spans="1:130" x14ac:dyDescent="0.25">
      <c r="A722" s="8" t="s">
        <v>1507</v>
      </c>
      <c r="B722" s="24" t="s">
        <v>954</v>
      </c>
      <c r="E722" s="26" t="s">
        <v>1762</v>
      </c>
      <c r="F722" s="198" t="s">
        <v>734</v>
      </c>
      <c r="G722" s="198" t="s">
        <v>1700</v>
      </c>
      <c r="H722" s="25" t="s">
        <v>1700</v>
      </c>
      <c r="I722" s="27" t="s">
        <v>3902</v>
      </c>
      <c r="J722" s="27" t="s">
        <v>866</v>
      </c>
      <c r="K722" s="28" t="s">
        <v>3907</v>
      </c>
      <c r="P722" s="17">
        <v>1</v>
      </c>
      <c r="R722" s="29" t="s">
        <v>855</v>
      </c>
      <c r="S722" s="8" t="s">
        <v>1763</v>
      </c>
      <c r="CB722" s="26"/>
      <c r="CC722" s="26"/>
      <c r="CF722" s="8"/>
      <c r="CG722" s="26"/>
      <c r="CH722" s="8"/>
      <c r="CM722" s="8"/>
      <c r="CR722" s="8"/>
    </row>
    <row r="723" spans="1:130" x14ac:dyDescent="0.25">
      <c r="A723" s="8" t="s">
        <v>1507</v>
      </c>
      <c r="B723" s="24" t="s">
        <v>779</v>
      </c>
      <c r="D723" s="26">
        <v>29733</v>
      </c>
      <c r="E723" s="26" t="s">
        <v>1762</v>
      </c>
      <c r="F723" s="198" t="s">
        <v>2300</v>
      </c>
      <c r="G723" s="198" t="s">
        <v>1700</v>
      </c>
      <c r="H723" s="25" t="s">
        <v>2539</v>
      </c>
      <c r="J723" s="27" t="s">
        <v>866</v>
      </c>
      <c r="CB723" s="26"/>
      <c r="CC723" s="26"/>
      <c r="CF723" s="8"/>
      <c r="CG723" s="26"/>
      <c r="CH723" s="8"/>
      <c r="CM723" s="8"/>
      <c r="CR723" s="8"/>
    </row>
    <row r="724" spans="1:130" ht="13.5" x14ac:dyDescent="0.25">
      <c r="A724" s="8" t="s">
        <v>1507</v>
      </c>
      <c r="B724" s="24" t="s">
        <v>1537</v>
      </c>
      <c r="F724" s="198" t="s">
        <v>1700</v>
      </c>
      <c r="G724" s="198" t="s">
        <v>1700</v>
      </c>
      <c r="H724" s="25" t="s">
        <v>1700</v>
      </c>
      <c r="J724" s="27" t="s">
        <v>866</v>
      </c>
      <c r="CB724" s="278"/>
      <c r="CD724" s="279"/>
      <c r="CG724" s="278"/>
      <c r="CH724" s="278"/>
      <c r="CI724" s="258"/>
      <c r="CK724" s="279"/>
      <c r="CL724" s="278"/>
      <c r="CM724" s="278"/>
      <c r="CN724" s="258"/>
      <c r="CP724" s="279"/>
      <c r="CQ724" s="258"/>
      <c r="CR724" s="258"/>
      <c r="CS724" s="258"/>
      <c r="CU724" s="258"/>
      <c r="CV724" s="258"/>
      <c r="CW724" s="258"/>
      <c r="CX724" s="258"/>
      <c r="CZ724" s="258"/>
      <c r="DA724" s="258"/>
      <c r="DB724" s="258"/>
      <c r="DC724" s="258"/>
      <c r="DE724" s="258"/>
      <c r="DF724" s="258"/>
      <c r="DG724" s="258"/>
      <c r="DH724" s="258"/>
      <c r="DJ724" s="258"/>
      <c r="DK724" s="258"/>
      <c r="DL724" s="258"/>
      <c r="DM724" s="258"/>
      <c r="DO724" s="258"/>
      <c r="DP724" s="258"/>
      <c r="DQ724" s="258"/>
      <c r="DR724" s="258"/>
      <c r="DT724" s="258"/>
      <c r="DU724" s="258"/>
      <c r="DV724" s="258"/>
      <c r="DW724" s="258"/>
      <c r="DY724" s="258"/>
    </row>
    <row r="725" spans="1:130" x14ac:dyDescent="0.25">
      <c r="A725" s="8" t="s">
        <v>1685</v>
      </c>
      <c r="B725" s="24" t="s">
        <v>1686</v>
      </c>
      <c r="C725" s="25" t="s">
        <v>1687</v>
      </c>
      <c r="E725" s="26" t="s">
        <v>1762</v>
      </c>
      <c r="F725" s="198" t="s">
        <v>744</v>
      </c>
      <c r="G725" s="198" t="s">
        <v>1700</v>
      </c>
      <c r="H725" s="25" t="s">
        <v>1700</v>
      </c>
      <c r="J725" s="27" t="s">
        <v>866</v>
      </c>
      <c r="X725" s="84" t="s">
        <v>1700</v>
      </c>
      <c r="Y725" s="84" t="s">
        <v>1764</v>
      </c>
      <c r="AA725" s="84" t="s">
        <v>2618</v>
      </c>
      <c r="AB725" s="84" t="s">
        <v>1650</v>
      </c>
      <c r="CB725" s="26"/>
      <c r="CC725" s="26"/>
      <c r="CF725" s="8"/>
      <c r="CG725" s="26"/>
      <c r="CH725" s="8"/>
      <c r="CM725" s="8"/>
      <c r="CR725" s="8"/>
    </row>
    <row r="726" spans="1:130" x14ac:dyDescent="0.25">
      <c r="A726" s="8" t="s">
        <v>4697</v>
      </c>
      <c r="B726" s="24" t="s">
        <v>1062</v>
      </c>
      <c r="F726" s="198" t="s">
        <v>1700</v>
      </c>
      <c r="G726" s="198" t="s">
        <v>1700</v>
      </c>
      <c r="H726" s="25" t="s">
        <v>1700</v>
      </c>
      <c r="I726" s="27" t="s">
        <v>3895</v>
      </c>
      <c r="J726" s="27" t="s">
        <v>866</v>
      </c>
      <c r="K726" s="28" t="s">
        <v>3907</v>
      </c>
      <c r="P726" s="17">
        <v>1</v>
      </c>
      <c r="CB726" s="278"/>
      <c r="CG726" s="278"/>
    </row>
    <row r="727" spans="1:130" x14ac:dyDescent="0.25">
      <c r="A727" s="8" t="s">
        <v>4815</v>
      </c>
      <c r="B727" s="24" t="s">
        <v>4816</v>
      </c>
      <c r="F727" s="198" t="s">
        <v>1700</v>
      </c>
      <c r="G727" s="198" t="s">
        <v>1700</v>
      </c>
      <c r="H727" s="25" t="s">
        <v>1700</v>
      </c>
      <c r="J727" s="27" t="s">
        <v>866</v>
      </c>
      <c r="K727" s="28" t="s">
        <v>858</v>
      </c>
      <c r="CB727" s="278"/>
      <c r="CG727" s="278"/>
    </row>
    <row r="728" spans="1:130" x14ac:dyDescent="0.25">
      <c r="A728" s="8" t="s">
        <v>4157</v>
      </c>
      <c r="B728" s="24" t="s">
        <v>4158</v>
      </c>
      <c r="E728" s="26" t="s">
        <v>1762</v>
      </c>
      <c r="F728" s="198" t="s">
        <v>1700</v>
      </c>
      <c r="G728" s="198" t="s">
        <v>1700</v>
      </c>
      <c r="H728" s="25" t="s">
        <v>1700</v>
      </c>
      <c r="I728" s="27" t="s">
        <v>3902</v>
      </c>
      <c r="J728" s="27" t="s">
        <v>866</v>
      </c>
      <c r="K728" s="28" t="s">
        <v>3906</v>
      </c>
      <c r="L728" s="29" t="s">
        <v>3907</v>
      </c>
      <c r="P728" s="17">
        <v>1</v>
      </c>
      <c r="CB728" s="278"/>
      <c r="CG728" s="278"/>
    </row>
    <row r="729" spans="1:130" ht="13.5" x14ac:dyDescent="0.25">
      <c r="A729" s="8" t="s">
        <v>230</v>
      </c>
      <c r="B729" s="24" t="s">
        <v>951</v>
      </c>
      <c r="C729" s="25" t="s">
        <v>231</v>
      </c>
      <c r="E729" s="26" t="s">
        <v>1762</v>
      </c>
      <c r="F729" s="198" t="s">
        <v>932</v>
      </c>
      <c r="G729" s="198" t="s">
        <v>1700</v>
      </c>
      <c r="H729" s="25" t="s">
        <v>1700</v>
      </c>
      <c r="J729" s="27" t="s">
        <v>866</v>
      </c>
      <c r="X729" s="84" t="s">
        <v>1700</v>
      </c>
      <c r="Y729" s="84" t="s">
        <v>747</v>
      </c>
      <c r="AA729" s="84" t="s">
        <v>232</v>
      </c>
      <c r="AB729" s="84" t="s">
        <v>1748</v>
      </c>
      <c r="CB729" s="26"/>
      <c r="CC729" s="26"/>
      <c r="CF729" s="8"/>
      <c r="CG729" s="26"/>
      <c r="CH729" s="8"/>
      <c r="CM729" s="8"/>
      <c r="CR729" s="8"/>
      <c r="DZ729"/>
    </row>
    <row r="730" spans="1:130" x14ac:dyDescent="0.25">
      <c r="A730" s="8" t="s">
        <v>3430</v>
      </c>
      <c r="B730" s="24" t="s">
        <v>3431</v>
      </c>
      <c r="F730" s="198" t="s">
        <v>1700</v>
      </c>
      <c r="G730" s="198" t="s">
        <v>1700</v>
      </c>
      <c r="H730" s="25" t="s">
        <v>1700</v>
      </c>
      <c r="J730" s="27" t="s">
        <v>866</v>
      </c>
      <c r="R730" s="29" t="s">
        <v>1763</v>
      </c>
      <c r="CB730" s="278"/>
      <c r="CG730" s="278"/>
    </row>
    <row r="731" spans="1:130" x14ac:dyDescent="0.25">
      <c r="A731" s="8" t="s">
        <v>1019</v>
      </c>
      <c r="B731" s="24" t="s">
        <v>324</v>
      </c>
      <c r="C731" s="25" t="s">
        <v>1020</v>
      </c>
      <c r="E731" s="26" t="s">
        <v>1762</v>
      </c>
      <c r="F731" s="198" t="s">
        <v>245</v>
      </c>
      <c r="G731" s="198" t="s">
        <v>1700</v>
      </c>
      <c r="H731" s="25" t="s">
        <v>3165</v>
      </c>
      <c r="J731" s="27" t="s">
        <v>866</v>
      </c>
      <c r="R731" s="29" t="s">
        <v>853</v>
      </c>
      <c r="X731" s="84" t="s">
        <v>1700</v>
      </c>
      <c r="Y731" s="84" t="s">
        <v>649</v>
      </c>
      <c r="AA731" s="84" t="s">
        <v>992</v>
      </c>
      <c r="AB731" s="84" t="s">
        <v>2187</v>
      </c>
      <c r="CB731" s="26">
        <v>41977</v>
      </c>
      <c r="CC731" s="26" t="s">
        <v>853</v>
      </c>
      <c r="CD731" s="8" t="s">
        <v>3166</v>
      </c>
      <c r="CE731" s="8">
        <v>223</v>
      </c>
      <c r="CF731" s="8">
        <v>112</v>
      </c>
      <c r="CG731" s="26">
        <v>42135</v>
      </c>
      <c r="CH731" s="8" t="s">
        <v>853</v>
      </c>
      <c r="CI731" s="8" t="s">
        <v>3721</v>
      </c>
      <c r="CJ731" s="8">
        <v>392</v>
      </c>
      <c r="CK731" s="8">
        <v>48</v>
      </c>
      <c r="CM731" s="8"/>
      <c r="CR731" s="8"/>
    </row>
    <row r="732" spans="1:130" ht="13.5" x14ac:dyDescent="0.25">
      <c r="A732" s="8" t="s">
        <v>3537</v>
      </c>
      <c r="B732" s="24" t="s">
        <v>873</v>
      </c>
      <c r="C732" s="25" t="s">
        <v>3536</v>
      </c>
      <c r="E732" s="26" t="s">
        <v>1762</v>
      </c>
      <c r="F732" s="198" t="s">
        <v>744</v>
      </c>
      <c r="G732" s="198" t="s">
        <v>1700</v>
      </c>
      <c r="H732" s="25" t="s">
        <v>1700</v>
      </c>
      <c r="J732" s="27" t="s">
        <v>866</v>
      </c>
      <c r="R732" s="29" t="s">
        <v>853</v>
      </c>
      <c r="X732" s="84" t="s">
        <v>1700</v>
      </c>
      <c r="Y732" s="84" t="s">
        <v>2499</v>
      </c>
      <c r="AA732" s="84" t="s">
        <v>3538</v>
      </c>
      <c r="AB732" s="84" t="s">
        <v>126</v>
      </c>
      <c r="CB732" s="278">
        <v>42074</v>
      </c>
      <c r="CC732" s="278" t="s">
        <v>853</v>
      </c>
      <c r="CD732" s="8" t="s">
        <v>3539</v>
      </c>
      <c r="CE732" s="8">
        <v>140</v>
      </c>
      <c r="CF732" s="279">
        <v>70</v>
      </c>
      <c r="CG732" s="278"/>
      <c r="DZ732" s="258"/>
    </row>
    <row r="733" spans="1:130" x14ac:dyDescent="0.25">
      <c r="A733" s="8" t="s">
        <v>3692</v>
      </c>
      <c r="B733" s="24" t="s">
        <v>3693</v>
      </c>
      <c r="F733" s="198" t="s">
        <v>1700</v>
      </c>
      <c r="G733" s="198" t="s">
        <v>1700</v>
      </c>
      <c r="H733" s="25" t="s">
        <v>1700</v>
      </c>
      <c r="J733" s="27" t="s">
        <v>866</v>
      </c>
      <c r="R733" s="29" t="s">
        <v>816</v>
      </c>
      <c r="CB733" s="278"/>
      <c r="CG733" s="278"/>
    </row>
    <row r="734" spans="1:130" x14ac:dyDescent="0.25">
      <c r="A734" s="8" t="s">
        <v>1914</v>
      </c>
      <c r="B734" s="24" t="s">
        <v>973</v>
      </c>
      <c r="C734" s="25" t="s">
        <v>1915</v>
      </c>
      <c r="E734" s="26" t="s">
        <v>1762</v>
      </c>
      <c r="F734" s="198" t="s">
        <v>1317</v>
      </c>
      <c r="G734" s="198" t="s">
        <v>1700</v>
      </c>
      <c r="H734" s="25" t="s">
        <v>3069</v>
      </c>
      <c r="I734" s="27" t="s">
        <v>3904</v>
      </c>
      <c r="J734" s="27" t="s">
        <v>866</v>
      </c>
      <c r="K734" s="28" t="s">
        <v>853</v>
      </c>
      <c r="R734" s="29" t="s">
        <v>853</v>
      </c>
      <c r="W734" s="93">
        <v>121</v>
      </c>
      <c r="X734" s="84" t="s">
        <v>1700</v>
      </c>
      <c r="Y734" s="84" t="s">
        <v>791</v>
      </c>
      <c r="AA734" s="84" t="s">
        <v>1916</v>
      </c>
      <c r="AB734" s="84" t="s">
        <v>126</v>
      </c>
      <c r="AC734" s="26">
        <v>42360</v>
      </c>
      <c r="AD734" s="26" t="s">
        <v>853</v>
      </c>
      <c r="AE734" s="8" t="s">
        <v>4539</v>
      </c>
      <c r="AF734" s="8">
        <v>242</v>
      </c>
      <c r="AG734" s="8">
        <v>121</v>
      </c>
      <c r="CB734" s="26">
        <v>41943</v>
      </c>
      <c r="CC734" s="26" t="s">
        <v>853</v>
      </c>
      <c r="CD734" s="8" t="s">
        <v>3070</v>
      </c>
      <c r="CE734" s="8">
        <v>242</v>
      </c>
      <c r="CF734" s="8">
        <v>121</v>
      </c>
      <c r="CG734" s="26"/>
      <c r="CH734" s="8"/>
      <c r="CM734" s="8"/>
      <c r="CR734" s="8"/>
    </row>
    <row r="735" spans="1:130" x14ac:dyDescent="0.25">
      <c r="A735" s="8" t="s">
        <v>800</v>
      </c>
      <c r="B735" s="24" t="s">
        <v>1625</v>
      </c>
      <c r="C735" s="25" t="s">
        <v>801</v>
      </c>
      <c r="E735" s="26" t="s">
        <v>1762</v>
      </c>
      <c r="F735" s="198" t="s">
        <v>754</v>
      </c>
      <c r="G735" s="198" t="s">
        <v>1700</v>
      </c>
      <c r="H735" s="25" t="s">
        <v>1700</v>
      </c>
      <c r="J735" s="27" t="s">
        <v>866</v>
      </c>
      <c r="X735" s="84" t="s">
        <v>1700</v>
      </c>
      <c r="Y735" s="84" t="s">
        <v>59</v>
      </c>
      <c r="AA735" s="84" t="s">
        <v>1002</v>
      </c>
      <c r="AB735" s="84" t="s">
        <v>348</v>
      </c>
      <c r="CB735" s="26"/>
      <c r="CC735" s="26"/>
      <c r="CF735" s="8"/>
      <c r="CG735" s="26"/>
      <c r="CH735" s="8"/>
      <c r="CM735" s="8"/>
      <c r="CR735" s="8"/>
    </row>
    <row r="736" spans="1:130" ht="13.5" x14ac:dyDescent="0.25">
      <c r="A736" s="8" t="s">
        <v>1420</v>
      </c>
      <c r="B736" s="24" t="s">
        <v>1603</v>
      </c>
      <c r="C736" s="25" t="s">
        <v>3233</v>
      </c>
      <c r="F736" s="198" t="s">
        <v>1394</v>
      </c>
      <c r="G736" s="198" t="s">
        <v>1700</v>
      </c>
      <c r="H736" s="25" t="s">
        <v>3234</v>
      </c>
      <c r="I736" s="27" t="s">
        <v>3901</v>
      </c>
      <c r="J736" s="27" t="s">
        <v>866</v>
      </c>
      <c r="K736" s="28" t="s">
        <v>853</v>
      </c>
      <c r="R736" s="29" t="s">
        <v>853</v>
      </c>
      <c r="W736" s="93">
        <v>80</v>
      </c>
      <c r="X736" s="84" t="s">
        <v>1700</v>
      </c>
      <c r="Y736" s="84" t="s">
        <v>2367</v>
      </c>
      <c r="AA736" s="84" t="s">
        <v>4051</v>
      </c>
      <c r="AB736" s="84" t="s">
        <v>221</v>
      </c>
      <c r="AC736" s="26">
        <v>42311</v>
      </c>
      <c r="AD736" s="26" t="s">
        <v>853</v>
      </c>
      <c r="AE736" s="8" t="s">
        <v>4052</v>
      </c>
      <c r="AF736" s="8">
        <v>160</v>
      </c>
      <c r="AG736" s="8">
        <v>80</v>
      </c>
      <c r="CB736" s="278">
        <v>41977</v>
      </c>
      <c r="CC736" s="278" t="s">
        <v>853</v>
      </c>
      <c r="CD736" s="279" t="s">
        <v>3235</v>
      </c>
      <c r="CE736" s="8">
        <v>150</v>
      </c>
      <c r="CF736" s="279">
        <v>75</v>
      </c>
      <c r="CG736" s="278"/>
      <c r="CH736" s="278"/>
      <c r="CI736" s="258"/>
      <c r="CK736" s="279"/>
      <c r="CL736" s="278"/>
      <c r="CM736" s="278"/>
      <c r="CN736" s="258"/>
      <c r="CP736" s="279"/>
      <c r="CQ736" s="258"/>
      <c r="CR736" s="258"/>
      <c r="CS736" s="258"/>
      <c r="CU736" s="258"/>
      <c r="CV736" s="258"/>
      <c r="CW736" s="258"/>
      <c r="CX736" s="258"/>
      <c r="CZ736" s="258"/>
      <c r="DA736" s="258"/>
      <c r="DB736" s="258"/>
      <c r="DC736" s="258"/>
      <c r="DE736" s="258"/>
      <c r="DF736" s="258"/>
      <c r="DG736" s="258"/>
      <c r="DH736" s="258"/>
      <c r="DJ736" s="258"/>
      <c r="DK736" s="258"/>
      <c r="DL736" s="258"/>
      <c r="DM736" s="258"/>
      <c r="DO736" s="258"/>
      <c r="DP736" s="258"/>
      <c r="DQ736" s="258"/>
      <c r="DR736" s="258"/>
      <c r="DT736" s="258"/>
      <c r="DU736" s="258"/>
      <c r="DV736" s="258"/>
      <c r="DW736" s="258"/>
      <c r="DY736" s="258"/>
    </row>
    <row r="737" spans="1:130" x14ac:dyDescent="0.25">
      <c r="A737" s="8" t="s">
        <v>1420</v>
      </c>
      <c r="B737" s="24" t="s">
        <v>940</v>
      </c>
      <c r="E737" s="26" t="s">
        <v>1762</v>
      </c>
      <c r="F737" s="198" t="s">
        <v>1700</v>
      </c>
      <c r="G737" s="198" t="s">
        <v>1700</v>
      </c>
      <c r="H737" s="25" t="s">
        <v>1700</v>
      </c>
      <c r="J737" s="27" t="s">
        <v>866</v>
      </c>
      <c r="Q737" s="95"/>
      <c r="R737" s="16" t="s">
        <v>889</v>
      </c>
      <c r="S737" s="21"/>
      <c r="T737" s="21"/>
      <c r="U737" s="21"/>
      <c r="V737" s="21"/>
      <c r="CB737" s="26"/>
      <c r="CC737" s="26"/>
      <c r="CF737" s="8"/>
      <c r="CG737" s="26"/>
      <c r="CH737" s="8"/>
      <c r="CM737" s="8"/>
      <c r="CR737" s="8"/>
    </row>
    <row r="738" spans="1:130" x14ac:dyDescent="0.25">
      <c r="A738" s="8" t="s">
        <v>97</v>
      </c>
      <c r="B738" s="24" t="s">
        <v>380</v>
      </c>
      <c r="C738" s="25" t="s">
        <v>98</v>
      </c>
      <c r="E738" s="26" t="s">
        <v>1762</v>
      </c>
      <c r="F738" s="198" t="s">
        <v>722</v>
      </c>
      <c r="G738" s="198" t="s">
        <v>1700</v>
      </c>
      <c r="H738" s="25" t="s">
        <v>1700</v>
      </c>
      <c r="J738" s="27" t="s">
        <v>866</v>
      </c>
      <c r="R738" s="29" t="s">
        <v>853</v>
      </c>
      <c r="X738" s="84" t="s">
        <v>1700</v>
      </c>
      <c r="Y738" s="84" t="s">
        <v>791</v>
      </c>
      <c r="AA738" s="84" t="s">
        <v>99</v>
      </c>
      <c r="AB738" s="84" t="s">
        <v>126</v>
      </c>
      <c r="CB738" s="26">
        <v>41921</v>
      </c>
      <c r="CC738" s="26" t="s">
        <v>853</v>
      </c>
      <c r="CD738" s="8" t="s">
        <v>2631</v>
      </c>
      <c r="CE738" s="8">
        <v>359.3</v>
      </c>
      <c r="CF738" s="8">
        <v>160</v>
      </c>
      <c r="CG738" s="26"/>
      <c r="CH738" s="8"/>
      <c r="CM738" s="8"/>
      <c r="CR738" s="8"/>
    </row>
    <row r="739" spans="1:130" ht="13.5" x14ac:dyDescent="0.25">
      <c r="A739" s="8" t="s">
        <v>1274</v>
      </c>
      <c r="B739" s="24" t="s">
        <v>953</v>
      </c>
      <c r="F739" s="198" t="s">
        <v>1700</v>
      </c>
      <c r="G739" s="198" t="s">
        <v>1700</v>
      </c>
      <c r="H739" s="25" t="s">
        <v>1700</v>
      </c>
      <c r="J739" s="27" t="s">
        <v>866</v>
      </c>
      <c r="CB739" s="26"/>
      <c r="CC739" s="26"/>
      <c r="CF739" s="8"/>
      <c r="CG739" s="26"/>
      <c r="CH739" s="8"/>
      <c r="CM739" s="8"/>
      <c r="CR739" s="8"/>
      <c r="DZ739"/>
    </row>
    <row r="740" spans="1:130" x14ac:dyDescent="0.25">
      <c r="A740" s="8" t="s">
        <v>688</v>
      </c>
      <c r="B740" s="24" t="s">
        <v>689</v>
      </c>
      <c r="C740" s="25" t="s">
        <v>690</v>
      </c>
      <c r="E740" s="26" t="s">
        <v>1764</v>
      </c>
      <c r="F740" s="198" t="s">
        <v>891</v>
      </c>
      <c r="G740" s="198" t="s">
        <v>1700</v>
      </c>
      <c r="H740" s="25" t="s">
        <v>3071</v>
      </c>
      <c r="J740" s="27" t="s">
        <v>866</v>
      </c>
      <c r="R740" s="29" t="s">
        <v>853</v>
      </c>
      <c r="X740" s="84" t="s">
        <v>1700</v>
      </c>
      <c r="Y740" s="84" t="s">
        <v>791</v>
      </c>
      <c r="AA740" s="84" t="s">
        <v>691</v>
      </c>
      <c r="AB740" s="84" t="s">
        <v>126</v>
      </c>
      <c r="BV740" s="8"/>
      <c r="CB740" s="26">
        <v>41943</v>
      </c>
      <c r="CC740" s="26" t="s">
        <v>853</v>
      </c>
      <c r="CD740" s="8" t="s">
        <v>3072</v>
      </c>
      <c r="CE740" s="8">
        <v>359.4</v>
      </c>
      <c r="CF740" s="8">
        <v>160</v>
      </c>
      <c r="CG740" s="26"/>
      <c r="CH740" s="8"/>
      <c r="CM740" s="8"/>
      <c r="CR740" s="8"/>
      <c r="DU740" s="8"/>
    </row>
    <row r="741" spans="1:130" ht="13.5" x14ac:dyDescent="0.25">
      <c r="A741" s="8" t="s">
        <v>761</v>
      </c>
      <c r="B741" s="24" t="s">
        <v>873</v>
      </c>
      <c r="C741" s="25" t="s">
        <v>770</v>
      </c>
      <c r="E741" s="26" t="s">
        <v>1762</v>
      </c>
      <c r="F741" s="198" t="s">
        <v>913</v>
      </c>
      <c r="G741" s="198" t="s">
        <v>1700</v>
      </c>
      <c r="H741" s="25" t="s">
        <v>2639</v>
      </c>
      <c r="J741" s="27" t="s">
        <v>866</v>
      </c>
      <c r="R741" s="29" t="s">
        <v>853</v>
      </c>
      <c r="X741" s="84" t="s">
        <v>1700</v>
      </c>
      <c r="Y741" s="84" t="s">
        <v>246</v>
      </c>
      <c r="AA741" s="84" t="s">
        <v>771</v>
      </c>
      <c r="AB741" s="84" t="s">
        <v>126</v>
      </c>
      <c r="CB741" s="26">
        <v>41921</v>
      </c>
      <c r="CC741" s="26" t="s">
        <v>853</v>
      </c>
      <c r="CD741" s="8" t="s">
        <v>2640</v>
      </c>
      <c r="CE741" s="8">
        <v>209.1</v>
      </c>
      <c r="CF741" s="8">
        <v>105</v>
      </c>
      <c r="CG741" s="26"/>
      <c r="CH741" s="8"/>
      <c r="CM741" s="8"/>
      <c r="CR741" s="8"/>
      <c r="DZ741" s="258"/>
    </row>
    <row r="742" spans="1:130" x14ac:dyDescent="0.25">
      <c r="A742" s="8" t="s">
        <v>3876</v>
      </c>
      <c r="B742" s="24" t="s">
        <v>3877</v>
      </c>
      <c r="C742" s="25" t="s">
        <v>3875</v>
      </c>
      <c r="E742" s="26" t="s">
        <v>1762</v>
      </c>
      <c r="F742" s="198" t="s">
        <v>3879</v>
      </c>
      <c r="G742" s="198" t="s">
        <v>1700</v>
      </c>
      <c r="H742" s="25" t="s">
        <v>3878</v>
      </c>
      <c r="I742" s="27" t="s">
        <v>3894</v>
      </c>
      <c r="J742" s="27" t="s">
        <v>866</v>
      </c>
      <c r="K742" s="28" t="s">
        <v>853</v>
      </c>
      <c r="R742" s="29" t="s">
        <v>853</v>
      </c>
      <c r="W742" s="93">
        <v>111</v>
      </c>
      <c r="X742" s="84" t="s">
        <v>1700</v>
      </c>
      <c r="Y742" s="84" t="s">
        <v>2921</v>
      </c>
      <c r="AA742" s="84" t="s">
        <v>3880</v>
      </c>
      <c r="AB742" s="84" t="s">
        <v>3188</v>
      </c>
      <c r="AC742" s="26">
        <v>42453</v>
      </c>
      <c r="AD742" s="26" t="s">
        <v>853</v>
      </c>
      <c r="AE742" s="8" t="s">
        <v>4743</v>
      </c>
      <c r="AF742" s="8">
        <v>222</v>
      </c>
      <c r="AG742" s="8">
        <v>111</v>
      </c>
      <c r="CB742" s="278">
        <v>42249</v>
      </c>
      <c r="CC742" s="278" t="s">
        <v>853</v>
      </c>
      <c r="CD742" s="8" t="s">
        <v>3881</v>
      </c>
      <c r="CE742" s="8">
        <v>222</v>
      </c>
      <c r="CF742" s="279">
        <v>111</v>
      </c>
      <c r="CG742" s="278"/>
    </row>
    <row r="743" spans="1:130" ht="13.5" x14ac:dyDescent="0.25">
      <c r="A743" s="8" t="s">
        <v>4232</v>
      </c>
      <c r="B743" s="24" t="s">
        <v>2152</v>
      </c>
      <c r="C743" s="25" t="s">
        <v>2881</v>
      </c>
      <c r="E743" s="26" t="s">
        <v>1762</v>
      </c>
      <c r="F743" s="198" t="s">
        <v>1849</v>
      </c>
      <c r="G743" s="198" t="s">
        <v>1700</v>
      </c>
      <c r="H743" s="25" t="s">
        <v>2882</v>
      </c>
      <c r="I743" s="27" t="s">
        <v>3902</v>
      </c>
      <c r="J743" s="27" t="s">
        <v>866</v>
      </c>
      <c r="K743" s="28" t="s">
        <v>853</v>
      </c>
      <c r="R743" s="29" t="s">
        <v>853</v>
      </c>
      <c r="W743" s="93">
        <v>160</v>
      </c>
      <c r="X743" s="84" t="s">
        <v>1700</v>
      </c>
      <c r="Y743" s="84" t="s">
        <v>2634</v>
      </c>
      <c r="AA743" s="84" t="s">
        <v>2883</v>
      </c>
      <c r="AB743" s="84" t="s">
        <v>348</v>
      </c>
      <c r="AC743" s="26">
        <v>42313</v>
      </c>
      <c r="AD743" s="26" t="s">
        <v>853</v>
      </c>
      <c r="AE743" s="8" t="s">
        <v>4233</v>
      </c>
      <c r="AF743" s="8">
        <v>418.8</v>
      </c>
      <c r="AG743" s="8">
        <v>160</v>
      </c>
      <c r="CB743" s="278">
        <v>41934</v>
      </c>
      <c r="CC743" s="278" t="s">
        <v>853</v>
      </c>
      <c r="CD743" s="279" t="s">
        <v>2884</v>
      </c>
      <c r="CE743" s="8">
        <v>478.2</v>
      </c>
      <c r="CF743" s="279">
        <v>160</v>
      </c>
      <c r="CG743" s="278"/>
      <c r="CH743" s="278"/>
      <c r="CI743" s="258"/>
      <c r="CK743" s="279"/>
      <c r="CL743" s="278"/>
      <c r="CM743" s="278"/>
      <c r="CN743" s="258"/>
      <c r="CP743" s="279"/>
      <c r="CQ743" s="258"/>
      <c r="CR743" s="258"/>
      <c r="CS743" s="258"/>
      <c r="CU743" s="258"/>
      <c r="CV743" s="258"/>
      <c r="CW743" s="258"/>
      <c r="CX743" s="258"/>
      <c r="CZ743" s="258"/>
      <c r="DA743" s="258"/>
      <c r="DB743" s="258"/>
      <c r="DC743" s="258"/>
      <c r="DE743" s="258"/>
      <c r="DF743" s="258"/>
      <c r="DG743" s="258"/>
      <c r="DH743" s="258"/>
      <c r="DJ743" s="258"/>
      <c r="DK743" s="258"/>
      <c r="DL743" s="258"/>
      <c r="DM743" s="258"/>
      <c r="DO743" s="258"/>
      <c r="DP743" s="258"/>
      <c r="DQ743" s="258"/>
      <c r="DR743" s="258"/>
      <c r="DT743" s="258"/>
      <c r="DU743" s="258"/>
      <c r="DV743" s="258"/>
      <c r="DW743" s="258"/>
      <c r="DY743" s="258"/>
    </row>
    <row r="744" spans="1:130" ht="13.5" x14ac:dyDescent="0.25">
      <c r="A744" s="8" t="s">
        <v>2364</v>
      </c>
      <c r="B744" s="24" t="s">
        <v>868</v>
      </c>
      <c r="C744" s="25" t="s">
        <v>2365</v>
      </c>
      <c r="E744" s="26" t="s">
        <v>1762</v>
      </c>
      <c r="F744" s="198" t="s">
        <v>1448</v>
      </c>
      <c r="G744" s="198" t="s">
        <v>1700</v>
      </c>
      <c r="H744" s="25" t="s">
        <v>2366</v>
      </c>
      <c r="I744" s="27" t="s">
        <v>3901</v>
      </c>
      <c r="J744" s="27" t="s">
        <v>866</v>
      </c>
      <c r="K744" s="28" t="s">
        <v>853</v>
      </c>
      <c r="W744" s="93">
        <v>160</v>
      </c>
      <c r="X744" s="84" t="s">
        <v>1700</v>
      </c>
      <c r="Y744" s="84" t="s">
        <v>2367</v>
      </c>
      <c r="AA744" s="84" t="s">
        <v>4163</v>
      </c>
      <c r="AB744" s="84" t="s">
        <v>221</v>
      </c>
      <c r="AC744" s="26">
        <v>42313</v>
      </c>
      <c r="AD744" s="26" t="s">
        <v>853</v>
      </c>
      <c r="AE744" s="8" t="s">
        <v>4164</v>
      </c>
      <c r="AF744" s="8">
        <v>417.8</v>
      </c>
      <c r="AG744" s="8">
        <v>160</v>
      </c>
      <c r="CB744" s="26"/>
      <c r="CC744" s="26"/>
      <c r="CF744" s="8"/>
      <c r="CG744" s="26"/>
      <c r="CH744" s="8"/>
      <c r="CM744" s="8"/>
      <c r="CR744" s="8"/>
      <c r="DZ744" s="258"/>
    </row>
    <row r="745" spans="1:130" x14ac:dyDescent="0.25">
      <c r="A745" s="8" t="s">
        <v>2178</v>
      </c>
      <c r="B745" s="24" t="s">
        <v>895</v>
      </c>
      <c r="C745" s="25" t="s">
        <v>260</v>
      </c>
      <c r="E745" s="26" t="s">
        <v>1762</v>
      </c>
      <c r="F745" s="198" t="s">
        <v>2179</v>
      </c>
      <c r="G745" s="198" t="s">
        <v>1700</v>
      </c>
      <c r="H745" s="25" t="s">
        <v>4395</v>
      </c>
      <c r="I745" s="27" t="s">
        <v>3903</v>
      </c>
      <c r="J745" s="27" t="s">
        <v>866</v>
      </c>
      <c r="K745" s="28" t="s">
        <v>853</v>
      </c>
      <c r="Q745" s="93"/>
      <c r="R745" s="28"/>
      <c r="S745" s="29"/>
      <c r="T745" s="29"/>
      <c r="U745" s="29"/>
      <c r="V745" s="29"/>
      <c r="W745" s="93">
        <v>105</v>
      </c>
      <c r="X745" s="84" t="s">
        <v>1700</v>
      </c>
      <c r="Y745" s="84" t="s">
        <v>246</v>
      </c>
      <c r="AA745" s="84" t="s">
        <v>1198</v>
      </c>
      <c r="AB745" s="84" t="s">
        <v>126</v>
      </c>
      <c r="AC745" s="26">
        <v>42352</v>
      </c>
      <c r="AD745" s="26" t="s">
        <v>853</v>
      </c>
      <c r="AE745" s="8" t="s">
        <v>4396</v>
      </c>
      <c r="AF745" s="8">
        <v>111</v>
      </c>
      <c r="AG745" s="8">
        <v>55</v>
      </c>
      <c r="AH745" s="26">
        <v>42352</v>
      </c>
      <c r="AI745" s="8" t="s">
        <v>853</v>
      </c>
      <c r="AJ745" s="8" t="s">
        <v>4397</v>
      </c>
      <c r="AK745" s="8">
        <v>100</v>
      </c>
      <c r="AL745" s="8">
        <v>50</v>
      </c>
      <c r="CB745" s="26"/>
      <c r="CC745" s="26"/>
      <c r="CF745" s="8"/>
      <c r="CG745" s="26"/>
      <c r="CH745" s="8"/>
      <c r="CM745" s="8"/>
      <c r="CR745" s="8"/>
    </row>
    <row r="746" spans="1:130" ht="13.5" x14ac:dyDescent="0.25">
      <c r="A746" s="8" t="s">
        <v>3489</v>
      </c>
      <c r="B746" s="24" t="s">
        <v>3490</v>
      </c>
      <c r="C746" s="25" t="s">
        <v>3488</v>
      </c>
      <c r="E746" s="26" t="s">
        <v>1762</v>
      </c>
      <c r="F746" s="198" t="s">
        <v>2358</v>
      </c>
      <c r="G746" s="198" t="s">
        <v>1700</v>
      </c>
      <c r="H746" s="25" t="s">
        <v>4165</v>
      </c>
      <c r="I746" s="27" t="s">
        <v>3901</v>
      </c>
      <c r="J746" s="27" t="s">
        <v>866</v>
      </c>
      <c r="K746" s="28" t="s">
        <v>853</v>
      </c>
      <c r="R746" s="29" t="s">
        <v>853</v>
      </c>
      <c r="W746" s="93">
        <v>77</v>
      </c>
      <c r="X746" s="84" t="s">
        <v>1700</v>
      </c>
      <c r="Y746" s="84" t="s">
        <v>2634</v>
      </c>
      <c r="AA746" s="84" t="s">
        <v>3491</v>
      </c>
      <c r="AB746" s="84" t="s">
        <v>348</v>
      </c>
      <c r="AC746" s="26">
        <v>42313</v>
      </c>
      <c r="AD746" s="26" t="s">
        <v>853</v>
      </c>
      <c r="AE746" s="8" t="s">
        <v>4166</v>
      </c>
      <c r="AF746" s="8">
        <v>155</v>
      </c>
      <c r="AG746" s="8">
        <v>77</v>
      </c>
      <c r="CB746" s="278">
        <v>42032</v>
      </c>
      <c r="CC746" s="278" t="s">
        <v>853</v>
      </c>
      <c r="CD746" s="8" t="s">
        <v>3492</v>
      </c>
      <c r="CE746" s="8">
        <v>130</v>
      </c>
      <c r="CF746" s="279">
        <v>65</v>
      </c>
      <c r="CG746" s="278"/>
      <c r="DZ746" s="258"/>
    </row>
    <row r="747" spans="1:130" x14ac:dyDescent="0.25">
      <c r="A747" s="8" t="s">
        <v>4309</v>
      </c>
      <c r="B747" s="24" t="s">
        <v>3315</v>
      </c>
      <c r="F747" s="198" t="s">
        <v>1700</v>
      </c>
      <c r="G747" s="198" t="s">
        <v>1700</v>
      </c>
      <c r="H747" s="25" t="s">
        <v>1700</v>
      </c>
      <c r="I747" s="27" t="s">
        <v>3902</v>
      </c>
      <c r="J747" s="27" t="s">
        <v>866</v>
      </c>
      <c r="K747" s="28" t="s">
        <v>3907</v>
      </c>
      <c r="P747" s="17">
        <v>1</v>
      </c>
      <c r="CB747" s="278"/>
      <c r="CG747" s="278"/>
    </row>
    <row r="748" spans="1:130" x14ac:dyDescent="0.25">
      <c r="A748" s="8" t="s">
        <v>469</v>
      </c>
      <c r="B748" s="24" t="s">
        <v>735</v>
      </c>
      <c r="C748" s="25" t="s">
        <v>470</v>
      </c>
      <c r="E748" s="26" t="s">
        <v>1762</v>
      </c>
      <c r="F748" s="198" t="s">
        <v>1408</v>
      </c>
      <c r="G748" s="198" t="s">
        <v>1700</v>
      </c>
      <c r="H748" s="25" t="s">
        <v>1700</v>
      </c>
      <c r="I748" s="27" t="s">
        <v>3901</v>
      </c>
      <c r="J748" s="27" t="s">
        <v>866</v>
      </c>
      <c r="K748" s="28" t="s">
        <v>853</v>
      </c>
      <c r="R748" s="29" t="s">
        <v>853</v>
      </c>
      <c r="W748" s="93">
        <v>160</v>
      </c>
      <c r="X748" s="84" t="s">
        <v>1700</v>
      </c>
      <c r="Y748" s="84" t="s">
        <v>4065</v>
      </c>
      <c r="AA748" s="84" t="s">
        <v>4066</v>
      </c>
      <c r="AB748" s="84" t="s">
        <v>821</v>
      </c>
      <c r="AC748" s="26">
        <v>42311</v>
      </c>
      <c r="AD748" s="26" t="s">
        <v>853</v>
      </c>
      <c r="AE748" s="8" t="s">
        <v>4067</v>
      </c>
      <c r="AF748" s="8">
        <v>391.8</v>
      </c>
      <c r="AG748" s="8">
        <v>160</v>
      </c>
      <c r="CB748" s="26">
        <v>41921</v>
      </c>
      <c r="CC748" s="26" t="s">
        <v>853</v>
      </c>
      <c r="CD748" s="8" t="s">
        <v>2651</v>
      </c>
      <c r="CE748" s="8">
        <v>391.8</v>
      </c>
      <c r="CF748" s="8">
        <v>160</v>
      </c>
      <c r="CG748" s="26"/>
      <c r="CH748" s="8"/>
      <c r="CM748" s="8"/>
      <c r="CR748" s="8"/>
    </row>
    <row r="749" spans="1:130" x14ac:dyDescent="0.25">
      <c r="A749" s="8" t="s">
        <v>2482</v>
      </c>
      <c r="B749" s="24" t="s">
        <v>2483</v>
      </c>
      <c r="C749" s="25" t="s">
        <v>2484</v>
      </c>
      <c r="E749" s="26" t="s">
        <v>1762</v>
      </c>
      <c r="F749" s="198" t="s">
        <v>874</v>
      </c>
      <c r="G749" s="198" t="s">
        <v>1700</v>
      </c>
      <c r="H749" s="25" t="s">
        <v>2485</v>
      </c>
      <c r="I749" s="27" t="s">
        <v>3904</v>
      </c>
      <c r="J749" s="27" t="s">
        <v>866</v>
      </c>
      <c r="K749" s="28" t="s">
        <v>853</v>
      </c>
      <c r="R749" s="29" t="s">
        <v>853</v>
      </c>
      <c r="W749" s="93">
        <v>120</v>
      </c>
      <c r="X749" s="84" t="s">
        <v>1700</v>
      </c>
      <c r="Y749" s="84" t="s">
        <v>762</v>
      </c>
      <c r="AA749" s="84" t="s">
        <v>4551</v>
      </c>
      <c r="AB749" s="84" t="s">
        <v>4552</v>
      </c>
      <c r="AC749" s="26">
        <v>42360</v>
      </c>
      <c r="AD749" s="26" t="s">
        <v>853</v>
      </c>
      <c r="AE749" s="8" t="s">
        <v>4553</v>
      </c>
      <c r="AF749" s="8">
        <v>240</v>
      </c>
      <c r="AG749" s="8">
        <v>120</v>
      </c>
      <c r="CB749" s="26">
        <v>41977</v>
      </c>
      <c r="CC749" s="26" t="s">
        <v>853</v>
      </c>
      <c r="CD749" s="8" t="s">
        <v>3295</v>
      </c>
      <c r="CE749" s="8">
        <v>112</v>
      </c>
      <c r="CF749" s="8">
        <v>66</v>
      </c>
      <c r="CG749" s="26"/>
      <c r="CH749" s="8"/>
      <c r="CM749" s="8"/>
      <c r="CR749" s="8"/>
    </row>
    <row r="750" spans="1:130" x14ac:dyDescent="0.25">
      <c r="A750" s="8" t="s">
        <v>3007</v>
      </c>
      <c r="B750" s="24" t="s">
        <v>776</v>
      </c>
      <c r="C750" s="25" t="s">
        <v>3006</v>
      </c>
      <c r="E750" s="26" t="s">
        <v>1762</v>
      </c>
      <c r="F750" s="198" t="s">
        <v>2676</v>
      </c>
      <c r="G750" s="198" t="s">
        <v>1700</v>
      </c>
      <c r="H750" s="25" t="s">
        <v>3008</v>
      </c>
      <c r="J750" s="27" t="s">
        <v>866</v>
      </c>
      <c r="R750" s="29" t="s">
        <v>853</v>
      </c>
      <c r="X750" s="84" t="s">
        <v>1700</v>
      </c>
      <c r="Y750" s="84" t="s">
        <v>2921</v>
      </c>
      <c r="AA750" s="84" t="s">
        <v>3009</v>
      </c>
      <c r="AB750" s="84" t="s">
        <v>1272</v>
      </c>
      <c r="CB750" s="26"/>
      <c r="CC750" s="26"/>
      <c r="CF750" s="8"/>
      <c r="CG750" s="26"/>
      <c r="CH750" s="8"/>
      <c r="CM750" s="8"/>
      <c r="CR750" s="8"/>
    </row>
    <row r="751" spans="1:130" x14ac:dyDescent="0.25">
      <c r="A751" s="8" t="s">
        <v>2318</v>
      </c>
      <c r="B751" s="24" t="s">
        <v>2319</v>
      </c>
      <c r="C751" s="25" t="s">
        <v>2320</v>
      </c>
      <c r="E751" s="26" t="s">
        <v>877</v>
      </c>
      <c r="F751" s="198" t="s">
        <v>1700</v>
      </c>
      <c r="G751" s="198" t="s">
        <v>1700</v>
      </c>
      <c r="H751" s="25" t="s">
        <v>1700</v>
      </c>
      <c r="J751" s="27" t="s">
        <v>866</v>
      </c>
      <c r="CB751" s="26"/>
      <c r="CC751" s="26"/>
      <c r="CF751" s="8"/>
      <c r="CG751" s="26"/>
      <c r="CH751" s="8"/>
      <c r="CM751" s="8"/>
      <c r="CR751" s="8"/>
    </row>
    <row r="752" spans="1:130" x14ac:dyDescent="0.25">
      <c r="A752" s="8" t="s">
        <v>938</v>
      </c>
      <c r="B752" s="24" t="s">
        <v>939</v>
      </c>
      <c r="F752" s="198" t="s">
        <v>1700</v>
      </c>
      <c r="G752" s="198" t="s">
        <v>1700</v>
      </c>
      <c r="H752" s="25" t="s">
        <v>1700</v>
      </c>
      <c r="J752" s="27" t="s">
        <v>866</v>
      </c>
      <c r="CB752" s="26"/>
      <c r="CC752" s="26"/>
      <c r="CF752" s="8"/>
      <c r="CG752" s="26"/>
      <c r="CH752" s="8"/>
      <c r="CM752" s="8"/>
      <c r="CR752" s="8"/>
    </row>
    <row r="753" spans="1:130" x14ac:dyDescent="0.25">
      <c r="A753" s="8" t="s">
        <v>938</v>
      </c>
      <c r="B753" s="24" t="s">
        <v>481</v>
      </c>
      <c r="C753" s="25" t="s">
        <v>1523</v>
      </c>
      <c r="E753" s="26" t="s">
        <v>1764</v>
      </c>
      <c r="F753" s="198" t="s">
        <v>947</v>
      </c>
      <c r="G753" s="198" t="s">
        <v>1700</v>
      </c>
      <c r="H753" s="25" t="s">
        <v>2341</v>
      </c>
      <c r="J753" s="27" t="s">
        <v>866</v>
      </c>
      <c r="X753" s="84" t="s">
        <v>1700</v>
      </c>
      <c r="Y753" s="84" t="s">
        <v>319</v>
      </c>
      <c r="AA753" s="84" t="s">
        <v>1526</v>
      </c>
      <c r="AB753" s="84" t="s">
        <v>302</v>
      </c>
      <c r="CB753" s="26"/>
      <c r="CC753" s="26"/>
      <c r="CF753" s="8"/>
      <c r="CG753" s="26"/>
      <c r="CH753" s="8"/>
      <c r="CM753" s="8"/>
      <c r="CR753" s="8"/>
    </row>
    <row r="754" spans="1:130" ht="13.5" x14ac:dyDescent="0.25">
      <c r="A754" s="8" t="s">
        <v>1477</v>
      </c>
      <c r="B754" s="24" t="s">
        <v>1363</v>
      </c>
      <c r="F754" s="198" t="s">
        <v>1700</v>
      </c>
      <c r="G754" s="198" t="s">
        <v>1700</v>
      </c>
      <c r="H754" s="25" t="s">
        <v>1700</v>
      </c>
      <c r="I754" s="27" t="s">
        <v>3902</v>
      </c>
      <c r="J754" s="27" t="s">
        <v>866</v>
      </c>
      <c r="K754" s="28" t="s">
        <v>3907</v>
      </c>
      <c r="P754" s="17">
        <v>1</v>
      </c>
      <c r="CB754" s="278"/>
      <c r="CD754" s="279"/>
      <c r="CG754" s="278"/>
      <c r="CH754" s="278"/>
      <c r="CI754" s="258"/>
      <c r="CK754" s="279"/>
      <c r="CL754" s="278"/>
      <c r="CM754" s="278"/>
      <c r="CN754" s="258"/>
      <c r="CP754" s="279"/>
      <c r="CQ754" s="258"/>
      <c r="CR754" s="258"/>
      <c r="CS754" s="258"/>
      <c r="CU754" s="258"/>
      <c r="CV754" s="258"/>
      <c r="CW754" s="258"/>
      <c r="CX754" s="258"/>
      <c r="CZ754" s="258"/>
      <c r="DA754" s="258"/>
      <c r="DB754" s="258"/>
      <c r="DC754" s="258"/>
      <c r="DE754" s="258"/>
      <c r="DF754" s="258"/>
      <c r="DG754" s="258"/>
      <c r="DH754" s="258"/>
      <c r="DJ754" s="258"/>
      <c r="DK754" s="258"/>
      <c r="DL754" s="258"/>
      <c r="DM754" s="258"/>
      <c r="DO754" s="258"/>
      <c r="DP754" s="258"/>
      <c r="DQ754" s="258"/>
      <c r="DR754" s="258"/>
      <c r="DT754" s="258"/>
      <c r="DU754" s="258"/>
      <c r="DV754" s="258"/>
      <c r="DW754" s="258"/>
      <c r="DY754" s="258"/>
    </row>
    <row r="755" spans="1:130" x14ac:dyDescent="0.25">
      <c r="A755" s="8" t="s">
        <v>94</v>
      </c>
      <c r="B755" s="24" t="s">
        <v>894</v>
      </c>
      <c r="C755" s="25" t="s">
        <v>95</v>
      </c>
      <c r="E755" s="26" t="s">
        <v>1762</v>
      </c>
      <c r="F755" s="198" t="s">
        <v>746</v>
      </c>
      <c r="G755" s="198" t="s">
        <v>1700</v>
      </c>
      <c r="H755" s="25" t="s">
        <v>3666</v>
      </c>
      <c r="I755" s="27" t="s">
        <v>3901</v>
      </c>
      <c r="J755" s="27" t="s">
        <v>866</v>
      </c>
      <c r="K755" s="28" t="s">
        <v>853</v>
      </c>
      <c r="R755" s="29" t="s">
        <v>853</v>
      </c>
      <c r="W755" s="93">
        <v>90</v>
      </c>
      <c r="X755" s="84" t="s">
        <v>1700</v>
      </c>
      <c r="Y755" s="84" t="s">
        <v>195</v>
      </c>
      <c r="AA755" s="84" t="s">
        <v>96</v>
      </c>
      <c r="AB755" s="84" t="s">
        <v>1794</v>
      </c>
      <c r="AC755" s="26">
        <v>42299</v>
      </c>
      <c r="AD755" s="26" t="s">
        <v>853</v>
      </c>
      <c r="AE755" s="8" t="s">
        <v>4005</v>
      </c>
      <c r="AF755" s="8">
        <v>180</v>
      </c>
      <c r="AG755" s="8">
        <v>90</v>
      </c>
      <c r="CB755" s="26">
        <v>42097</v>
      </c>
      <c r="CC755" s="26" t="s">
        <v>853</v>
      </c>
      <c r="CD755" s="8" t="s">
        <v>3667</v>
      </c>
      <c r="CE755" s="8">
        <v>232</v>
      </c>
      <c r="CF755" s="8">
        <v>116</v>
      </c>
      <c r="CG755" s="26"/>
      <c r="CH755" s="8"/>
      <c r="CM755" s="8"/>
      <c r="CR755" s="8"/>
    </row>
    <row r="756" spans="1:130" x14ac:dyDescent="0.25">
      <c r="A756" s="8" t="s">
        <v>2170</v>
      </c>
      <c r="B756" s="24" t="s">
        <v>1466</v>
      </c>
      <c r="C756" s="25" t="s">
        <v>474</v>
      </c>
      <c r="E756" s="26" t="s">
        <v>1762</v>
      </c>
      <c r="F756" s="198" t="s">
        <v>852</v>
      </c>
      <c r="G756" s="198" t="s">
        <v>1700</v>
      </c>
      <c r="H756" s="25" t="s">
        <v>1700</v>
      </c>
      <c r="I756" s="27" t="s">
        <v>3901</v>
      </c>
      <c r="J756" s="27" t="s">
        <v>866</v>
      </c>
      <c r="K756" s="28" t="s">
        <v>3908</v>
      </c>
      <c r="R756" s="29" t="s">
        <v>857</v>
      </c>
      <c r="CB756" s="26"/>
      <c r="CC756" s="26"/>
      <c r="CF756" s="8"/>
      <c r="CG756" s="26"/>
      <c r="CH756" s="8"/>
      <c r="CM756" s="8"/>
      <c r="CR756" s="8"/>
    </row>
    <row r="757" spans="1:130" x14ac:dyDescent="0.25">
      <c r="A757" s="8" t="s">
        <v>2170</v>
      </c>
      <c r="B757" s="24" t="s">
        <v>2210</v>
      </c>
      <c r="C757" s="25" t="s">
        <v>2211</v>
      </c>
      <c r="D757" s="26">
        <v>27335</v>
      </c>
      <c r="E757" s="26" t="s">
        <v>1762</v>
      </c>
      <c r="F757" s="198" t="s">
        <v>1554</v>
      </c>
      <c r="G757" s="198" t="s">
        <v>1700</v>
      </c>
      <c r="H757" s="25" t="s">
        <v>2535</v>
      </c>
      <c r="I757" s="27" t="s">
        <v>3903</v>
      </c>
      <c r="J757" s="27" t="s">
        <v>866</v>
      </c>
      <c r="K757" s="28" t="s">
        <v>853</v>
      </c>
      <c r="L757" s="29" t="s">
        <v>816</v>
      </c>
      <c r="R757" s="29" t="s">
        <v>853</v>
      </c>
      <c r="S757" s="8" t="s">
        <v>855</v>
      </c>
      <c r="W757" s="93">
        <v>160</v>
      </c>
      <c r="X757" s="84" t="s">
        <v>1700</v>
      </c>
      <c r="Y757" s="84" t="s">
        <v>791</v>
      </c>
      <c r="AA757" s="84" t="s">
        <v>2212</v>
      </c>
      <c r="AB757" s="84" t="s">
        <v>126</v>
      </c>
      <c r="AC757" s="26">
        <v>42352</v>
      </c>
      <c r="AD757" s="26" t="s">
        <v>853</v>
      </c>
      <c r="AE757" s="8" t="s">
        <v>4422</v>
      </c>
      <c r="AF757" s="8">
        <v>425</v>
      </c>
      <c r="AG757" s="8">
        <v>160</v>
      </c>
      <c r="CB757" s="26">
        <v>41943</v>
      </c>
      <c r="CC757" s="26" t="s">
        <v>853</v>
      </c>
      <c r="CD757" s="8" t="s">
        <v>3022</v>
      </c>
      <c r="CE757" s="8">
        <v>435</v>
      </c>
      <c r="CF757" s="8">
        <v>160</v>
      </c>
      <c r="CG757" s="26"/>
      <c r="CH757" s="8"/>
      <c r="CM757" s="8"/>
      <c r="CR757" s="8"/>
    </row>
    <row r="758" spans="1:130" x14ac:dyDescent="0.25">
      <c r="A758" s="8" t="s">
        <v>2170</v>
      </c>
      <c r="B758" s="24" t="s">
        <v>3452</v>
      </c>
      <c r="C758" s="25" t="s">
        <v>3451</v>
      </c>
      <c r="E758" s="26" t="s">
        <v>1764</v>
      </c>
      <c r="F758" s="198" t="s">
        <v>977</v>
      </c>
      <c r="G758" s="198" t="s">
        <v>1700</v>
      </c>
      <c r="H758" s="25" t="s">
        <v>3453</v>
      </c>
      <c r="J758" s="27" t="s">
        <v>866</v>
      </c>
      <c r="R758" s="29" t="s">
        <v>853</v>
      </c>
      <c r="X758" s="84" t="s">
        <v>1700</v>
      </c>
      <c r="Y758" s="84" t="s">
        <v>1530</v>
      </c>
      <c r="AA758" s="84" t="s">
        <v>3454</v>
      </c>
      <c r="AB758" s="84" t="s">
        <v>3455</v>
      </c>
      <c r="CB758" s="278">
        <v>42032</v>
      </c>
      <c r="CC758" s="278" t="s">
        <v>853</v>
      </c>
      <c r="CD758" s="8" t="s">
        <v>3456</v>
      </c>
      <c r="CE758" s="8">
        <v>273</v>
      </c>
      <c r="CF758" s="279">
        <v>137</v>
      </c>
      <c r="CG758" s="278"/>
    </row>
    <row r="759" spans="1:130" ht="13.5" x14ac:dyDescent="0.25">
      <c r="A759" s="8" t="s">
        <v>2170</v>
      </c>
      <c r="B759" s="24" t="s">
        <v>2053</v>
      </c>
      <c r="C759" s="25" t="s">
        <v>1721</v>
      </c>
      <c r="E759" s="26" t="s">
        <v>1762</v>
      </c>
      <c r="F759" s="198" t="s">
        <v>1396</v>
      </c>
      <c r="G759" s="198" t="s">
        <v>1700</v>
      </c>
      <c r="H759" s="25" t="s">
        <v>3306</v>
      </c>
      <c r="I759" s="27" t="s">
        <v>3902</v>
      </c>
      <c r="J759" s="27" t="s">
        <v>866</v>
      </c>
      <c r="K759" s="28" t="s">
        <v>853</v>
      </c>
      <c r="R759" s="29" t="s">
        <v>853</v>
      </c>
      <c r="W759" s="93">
        <v>160</v>
      </c>
      <c r="X759" s="84" t="s">
        <v>1700</v>
      </c>
      <c r="Y759" s="84" t="s">
        <v>791</v>
      </c>
      <c r="AA759" s="84" t="s">
        <v>1137</v>
      </c>
      <c r="AB759" s="84" t="s">
        <v>126</v>
      </c>
      <c r="AC759" s="26">
        <v>42313</v>
      </c>
      <c r="AD759" s="26" t="s">
        <v>853</v>
      </c>
      <c r="AE759" s="8" t="s">
        <v>4169</v>
      </c>
      <c r="AF759" s="8">
        <v>345</v>
      </c>
      <c r="AG759" s="8">
        <v>160</v>
      </c>
      <c r="CB759" s="26">
        <v>41977</v>
      </c>
      <c r="CC759" s="26" t="s">
        <v>853</v>
      </c>
      <c r="CD759" s="8" t="s">
        <v>3307</v>
      </c>
      <c r="CE759" s="8">
        <v>345</v>
      </c>
      <c r="CF759" s="8">
        <v>160</v>
      </c>
      <c r="CG759" s="26"/>
      <c r="CH759" s="8"/>
      <c r="CM759" s="8"/>
      <c r="CR759" s="8"/>
      <c r="DZ759" s="258"/>
    </row>
    <row r="760" spans="1:130" x14ac:dyDescent="0.25">
      <c r="A760" s="8" t="s">
        <v>4182</v>
      </c>
      <c r="B760" s="24" t="s">
        <v>1949</v>
      </c>
      <c r="C760" s="25" t="s">
        <v>4181</v>
      </c>
      <c r="E760" s="26" t="s">
        <v>1762</v>
      </c>
      <c r="F760" s="198" t="s">
        <v>913</v>
      </c>
      <c r="G760" s="198" t="s">
        <v>2374</v>
      </c>
      <c r="H760" s="25" t="s">
        <v>4183</v>
      </c>
      <c r="I760" s="27" t="s">
        <v>3902</v>
      </c>
      <c r="J760" s="27" t="s">
        <v>866</v>
      </c>
      <c r="K760" s="28" t="s">
        <v>853</v>
      </c>
      <c r="W760" s="93">
        <v>160</v>
      </c>
      <c r="X760" s="84" t="s">
        <v>1700</v>
      </c>
      <c r="Y760" s="84" t="s">
        <v>2499</v>
      </c>
      <c r="AA760" s="84" t="s">
        <v>4184</v>
      </c>
      <c r="AB760" s="84" t="s">
        <v>126</v>
      </c>
      <c r="AC760" s="26">
        <v>42313</v>
      </c>
      <c r="AD760" s="26" t="s">
        <v>853</v>
      </c>
      <c r="AE760" s="8" t="s">
        <v>4185</v>
      </c>
      <c r="AF760" s="8">
        <v>335</v>
      </c>
      <c r="AG760" s="8">
        <v>160</v>
      </c>
      <c r="CB760" s="278"/>
      <c r="CG760" s="278"/>
    </row>
    <row r="761" spans="1:130" x14ac:dyDescent="0.25">
      <c r="A761" s="8" t="s">
        <v>1129</v>
      </c>
      <c r="B761" s="24" t="s">
        <v>962</v>
      </c>
      <c r="C761" s="25" t="s">
        <v>4591</v>
      </c>
      <c r="F761" s="198" t="s">
        <v>885</v>
      </c>
      <c r="G761" s="198" t="s">
        <v>1700</v>
      </c>
      <c r="H761" s="25" t="s">
        <v>4592</v>
      </c>
      <c r="J761" s="27" t="s">
        <v>866</v>
      </c>
      <c r="L761" s="29" t="s">
        <v>1416</v>
      </c>
      <c r="R761" s="29" t="s">
        <v>889</v>
      </c>
      <c r="CB761" s="26"/>
      <c r="CC761" s="8"/>
      <c r="CF761" s="8"/>
      <c r="CG761" s="26"/>
      <c r="CH761" s="8"/>
      <c r="CM761" s="8"/>
      <c r="CR761" s="8"/>
      <c r="DU761" s="8"/>
    </row>
    <row r="762" spans="1:130" x14ac:dyDescent="0.25">
      <c r="A762" s="8" t="s">
        <v>587</v>
      </c>
      <c r="B762" s="24" t="s">
        <v>2152</v>
      </c>
      <c r="C762" s="25" t="s">
        <v>588</v>
      </c>
      <c r="E762" s="26" t="s">
        <v>1762</v>
      </c>
      <c r="F762" s="198" t="s">
        <v>867</v>
      </c>
      <c r="G762" s="198" t="s">
        <v>1700</v>
      </c>
      <c r="H762" s="25" t="s">
        <v>3727</v>
      </c>
      <c r="J762" s="27" t="s">
        <v>866</v>
      </c>
      <c r="R762" s="29" t="s">
        <v>853</v>
      </c>
      <c r="X762" s="84" t="s">
        <v>1700</v>
      </c>
      <c r="Y762" s="84" t="s">
        <v>59</v>
      </c>
      <c r="AA762" s="84" t="s">
        <v>589</v>
      </c>
      <c r="AB762" s="84" t="s">
        <v>590</v>
      </c>
      <c r="CB762" s="26">
        <v>42135</v>
      </c>
      <c r="CC762" s="26" t="s">
        <v>853</v>
      </c>
      <c r="CD762" s="8" t="s">
        <v>3728</v>
      </c>
      <c r="CE762" s="8">
        <v>621</v>
      </c>
      <c r="CF762" s="8">
        <v>160</v>
      </c>
      <c r="CG762" s="26"/>
      <c r="CH762" s="8"/>
      <c r="CM762" s="8"/>
      <c r="CR762" s="8"/>
    </row>
    <row r="763" spans="1:130" ht="13.5" x14ac:dyDescent="0.25">
      <c r="A763" s="8" t="s">
        <v>2163</v>
      </c>
      <c r="B763" s="24" t="s">
        <v>2164</v>
      </c>
      <c r="E763" s="26" t="s">
        <v>1762</v>
      </c>
      <c r="F763" s="198" t="s">
        <v>625</v>
      </c>
      <c r="G763" s="198" t="s">
        <v>1700</v>
      </c>
      <c r="H763" s="25" t="s">
        <v>1700</v>
      </c>
      <c r="J763" s="27" t="s">
        <v>866</v>
      </c>
      <c r="R763" s="29" t="s">
        <v>858</v>
      </c>
      <c r="CB763" s="278"/>
      <c r="CD763" s="279"/>
      <c r="CG763" s="278"/>
      <c r="CH763" s="278"/>
      <c r="CI763" s="279"/>
      <c r="CK763" s="279"/>
      <c r="CL763" s="278"/>
      <c r="CM763" s="278"/>
      <c r="CN763" s="279"/>
      <c r="CP763" s="279"/>
      <c r="CQ763" s="278"/>
      <c r="CR763" s="279"/>
      <c r="CS763" s="279"/>
      <c r="CU763" s="279"/>
      <c r="CV763" s="278"/>
      <c r="CW763" s="279"/>
      <c r="CX763" s="279"/>
      <c r="CZ763" s="279"/>
      <c r="DA763" s="278"/>
      <c r="DB763" s="279"/>
      <c r="DC763" s="279"/>
      <c r="DE763" s="279"/>
      <c r="DF763" s="278"/>
      <c r="DG763" s="279"/>
      <c r="DH763" s="279"/>
      <c r="DJ763" s="279"/>
      <c r="DK763" s="278"/>
      <c r="DL763" s="279"/>
      <c r="DM763" s="279"/>
      <c r="DO763" s="279"/>
      <c r="DP763" s="278"/>
      <c r="DQ763" s="279"/>
      <c r="DR763" s="279"/>
      <c r="DT763" s="279"/>
      <c r="DU763" s="278"/>
      <c r="DV763" s="258"/>
      <c r="DW763" s="258"/>
      <c r="DY763" s="258"/>
    </row>
    <row r="764" spans="1:130" x14ac:dyDescent="0.25">
      <c r="A764" s="8" t="s">
        <v>2434</v>
      </c>
      <c r="B764" s="24" t="s">
        <v>2435</v>
      </c>
      <c r="C764" s="25" t="s">
        <v>2436</v>
      </c>
      <c r="E764" s="26" t="s">
        <v>1762</v>
      </c>
      <c r="F764" s="198" t="s">
        <v>1700</v>
      </c>
      <c r="G764" s="198" t="s">
        <v>1700</v>
      </c>
      <c r="H764" s="25" t="s">
        <v>1700</v>
      </c>
      <c r="J764" s="27" t="s">
        <v>866</v>
      </c>
      <c r="X764" s="84" t="s">
        <v>1700</v>
      </c>
      <c r="Y764" s="84" t="s">
        <v>1700</v>
      </c>
      <c r="AA764" s="84" t="s">
        <v>2438</v>
      </c>
      <c r="AB764" s="84" t="s">
        <v>2437</v>
      </c>
      <c r="CB764" s="26"/>
      <c r="CC764" s="26"/>
      <c r="CF764" s="8"/>
      <c r="CG764" s="26"/>
      <c r="CH764" s="8"/>
      <c r="CM764" s="8"/>
      <c r="CR764" s="8"/>
    </row>
    <row r="765" spans="1:130" x14ac:dyDescent="0.25">
      <c r="A765" s="8" t="s">
        <v>3104</v>
      </c>
      <c r="B765" s="24" t="s">
        <v>2114</v>
      </c>
      <c r="E765" s="26" t="s">
        <v>1762</v>
      </c>
      <c r="F765" s="198" t="s">
        <v>1700</v>
      </c>
      <c r="G765" s="198" t="s">
        <v>1700</v>
      </c>
      <c r="H765" s="25" t="s">
        <v>1700</v>
      </c>
      <c r="J765" s="27" t="s">
        <v>866</v>
      </c>
      <c r="R765" s="29" t="s">
        <v>1763</v>
      </c>
      <c r="CB765" s="26"/>
      <c r="CC765" s="26"/>
      <c r="CF765" s="8"/>
      <c r="CG765" s="26"/>
      <c r="CH765" s="8"/>
      <c r="CM765" s="8"/>
      <c r="CR765" s="8"/>
    </row>
    <row r="766" spans="1:130" x14ac:dyDescent="0.25">
      <c r="A766" s="8" t="s">
        <v>512</v>
      </c>
      <c r="B766" s="24" t="s">
        <v>3815</v>
      </c>
      <c r="D766" s="26">
        <v>18949</v>
      </c>
      <c r="E766" s="26" t="s">
        <v>877</v>
      </c>
      <c r="F766" s="198" t="s">
        <v>1700</v>
      </c>
      <c r="G766" s="198" t="s">
        <v>1700</v>
      </c>
      <c r="H766" s="25" t="s">
        <v>3816</v>
      </c>
      <c r="J766" s="27" t="s">
        <v>866</v>
      </c>
      <c r="R766" s="29" t="s">
        <v>855</v>
      </c>
      <c r="CB766" s="278"/>
      <c r="CG766" s="278"/>
    </row>
    <row r="767" spans="1:130" x14ac:dyDescent="0.25">
      <c r="A767" s="8" t="s">
        <v>512</v>
      </c>
      <c r="B767" s="24" t="s">
        <v>966</v>
      </c>
      <c r="C767" s="25" t="s">
        <v>513</v>
      </c>
      <c r="E767" s="26" t="s">
        <v>1762</v>
      </c>
      <c r="F767" s="198" t="s">
        <v>744</v>
      </c>
      <c r="G767" s="198" t="s">
        <v>1700</v>
      </c>
      <c r="H767" s="25" t="s">
        <v>3719</v>
      </c>
      <c r="J767" s="27" t="s">
        <v>866</v>
      </c>
      <c r="R767" s="29" t="s">
        <v>853</v>
      </c>
      <c r="X767" s="84" t="s">
        <v>1700</v>
      </c>
      <c r="Y767" s="84" t="s">
        <v>195</v>
      </c>
      <c r="AA767" s="84" t="s">
        <v>1110</v>
      </c>
      <c r="AB767" s="84" t="s">
        <v>1272</v>
      </c>
      <c r="CB767" s="26">
        <v>42135</v>
      </c>
      <c r="CC767" s="26" t="s">
        <v>853</v>
      </c>
      <c r="CD767" s="8" t="s">
        <v>3720</v>
      </c>
      <c r="CE767" s="8">
        <v>454</v>
      </c>
      <c r="CF767" s="8">
        <v>160</v>
      </c>
      <c r="CG767" s="26"/>
      <c r="CH767" s="8"/>
      <c r="CM767" s="8"/>
      <c r="CR767" s="8"/>
    </row>
    <row r="768" spans="1:130" x14ac:dyDescent="0.25">
      <c r="A768" s="8" t="s">
        <v>2162</v>
      </c>
      <c r="B768" s="24" t="s">
        <v>444</v>
      </c>
      <c r="C768" s="25" t="s">
        <v>1788</v>
      </c>
      <c r="E768" s="26" t="s">
        <v>1762</v>
      </c>
      <c r="F768" s="198" t="s">
        <v>2142</v>
      </c>
      <c r="G768" s="198" t="s">
        <v>1977</v>
      </c>
      <c r="H768" s="25" t="s">
        <v>3551</v>
      </c>
      <c r="J768" s="27" t="s">
        <v>866</v>
      </c>
      <c r="R768" s="29" t="s">
        <v>853</v>
      </c>
      <c r="X768" s="84" t="s">
        <v>1700</v>
      </c>
      <c r="Y768" s="84" t="s">
        <v>195</v>
      </c>
      <c r="AA768" s="84" t="s">
        <v>1793</v>
      </c>
      <c r="AB768" s="84" t="s">
        <v>1794</v>
      </c>
      <c r="CB768" s="26">
        <v>42074</v>
      </c>
      <c r="CC768" s="26" t="s">
        <v>853</v>
      </c>
      <c r="CD768" s="8" t="s">
        <v>3552</v>
      </c>
      <c r="CE768" s="8">
        <v>382.8</v>
      </c>
      <c r="CF768" s="8">
        <v>160</v>
      </c>
      <c r="CG768" s="26"/>
      <c r="CH768" s="8"/>
      <c r="CM768" s="8"/>
      <c r="CR768" s="8"/>
    </row>
    <row r="769" spans="1:129" x14ac:dyDescent="0.25">
      <c r="A769" s="8" t="s">
        <v>1873</v>
      </c>
      <c r="B769" s="24" t="s">
        <v>275</v>
      </c>
      <c r="C769" s="25" t="s">
        <v>1874</v>
      </c>
      <c r="E769" s="26" t="s">
        <v>1762</v>
      </c>
      <c r="F769" s="198" t="s">
        <v>943</v>
      </c>
      <c r="G769" s="198" t="s">
        <v>1700</v>
      </c>
      <c r="H769" s="25" t="s">
        <v>1700</v>
      </c>
      <c r="J769" s="27" t="s">
        <v>866</v>
      </c>
      <c r="X769" s="84" t="s">
        <v>1700</v>
      </c>
      <c r="Y769" s="84" t="s">
        <v>649</v>
      </c>
      <c r="AA769" s="84" t="s">
        <v>1875</v>
      </c>
      <c r="AB769" s="84" t="s">
        <v>51</v>
      </c>
      <c r="CB769" s="26"/>
      <c r="CC769" s="26"/>
      <c r="CF769" s="8"/>
      <c r="CG769" s="26"/>
      <c r="CH769" s="8"/>
      <c r="CM769" s="8"/>
      <c r="CR769" s="8"/>
    </row>
    <row r="770" spans="1:129" x14ac:dyDescent="0.25">
      <c r="A770" s="8" t="s">
        <v>1539</v>
      </c>
      <c r="B770" s="24" t="s">
        <v>1540</v>
      </c>
      <c r="C770" s="25" t="s">
        <v>1541</v>
      </c>
      <c r="E770" s="26" t="s">
        <v>1762</v>
      </c>
      <c r="F770" s="198" t="s">
        <v>977</v>
      </c>
      <c r="G770" s="198" t="s">
        <v>1700</v>
      </c>
      <c r="H770" s="25" t="s">
        <v>2721</v>
      </c>
      <c r="J770" s="27" t="s">
        <v>866</v>
      </c>
      <c r="R770" s="29" t="s">
        <v>853</v>
      </c>
      <c r="W770" s="93">
        <v>0</v>
      </c>
      <c r="X770" s="84" t="s">
        <v>1700</v>
      </c>
      <c r="Y770" s="84" t="s">
        <v>195</v>
      </c>
      <c r="AA770" s="84" t="s">
        <v>1542</v>
      </c>
      <c r="AB770" s="84" t="s">
        <v>1251</v>
      </c>
      <c r="CB770" s="26">
        <v>41921</v>
      </c>
      <c r="CC770" s="26" t="s">
        <v>853</v>
      </c>
      <c r="CD770" s="8" t="s">
        <v>2722</v>
      </c>
      <c r="CE770" s="8">
        <v>479.88</v>
      </c>
      <c r="CF770" s="8">
        <v>160</v>
      </c>
      <c r="CG770" s="26"/>
      <c r="CH770" s="8"/>
      <c r="CM770" s="8"/>
      <c r="CR770" s="8"/>
    </row>
    <row r="771" spans="1:129" x14ac:dyDescent="0.25">
      <c r="A771" s="8" t="s">
        <v>1124</v>
      </c>
      <c r="B771" s="24" t="s">
        <v>1911</v>
      </c>
      <c r="F771" s="198" t="s">
        <v>1700</v>
      </c>
      <c r="G771" s="198" t="s">
        <v>1700</v>
      </c>
      <c r="H771" s="25" t="s">
        <v>1700</v>
      </c>
      <c r="J771" s="27" t="s">
        <v>866</v>
      </c>
      <c r="R771" s="29" t="s">
        <v>1763</v>
      </c>
      <c r="CB771" s="26"/>
      <c r="CC771" s="26"/>
      <c r="CF771" s="8"/>
      <c r="CG771" s="26"/>
      <c r="CH771" s="8"/>
      <c r="CM771" s="8"/>
      <c r="CR771" s="8"/>
    </row>
    <row r="772" spans="1:129" x14ac:dyDescent="0.25">
      <c r="A772" s="8" t="s">
        <v>3886</v>
      </c>
      <c r="B772" s="24" t="s">
        <v>3887</v>
      </c>
      <c r="F772" s="198" t="s">
        <v>1700</v>
      </c>
      <c r="G772" s="198" t="s">
        <v>1700</v>
      </c>
      <c r="H772" s="25" t="s">
        <v>1700</v>
      </c>
      <c r="J772" s="27" t="s">
        <v>866</v>
      </c>
      <c r="R772" s="29" t="s">
        <v>889</v>
      </c>
      <c r="CB772" s="278"/>
      <c r="CG772" s="278"/>
    </row>
    <row r="773" spans="1:129" x14ac:dyDescent="0.25">
      <c r="A773" s="8" t="s">
        <v>171</v>
      </c>
      <c r="B773" s="24" t="s">
        <v>894</v>
      </c>
      <c r="F773" s="198" t="s">
        <v>3512</v>
      </c>
      <c r="G773" s="198" t="s">
        <v>1700</v>
      </c>
      <c r="H773" s="25" t="s">
        <v>1700</v>
      </c>
      <c r="J773" s="27" t="s">
        <v>866</v>
      </c>
      <c r="R773" s="29" t="s">
        <v>854</v>
      </c>
      <c r="CB773" s="26"/>
      <c r="CC773" s="26"/>
      <c r="CF773" s="8"/>
      <c r="CG773" s="26"/>
      <c r="CH773" s="8"/>
      <c r="CM773" s="8"/>
      <c r="CR773" s="8"/>
    </row>
    <row r="774" spans="1:129" x14ac:dyDescent="0.25">
      <c r="A774" s="8" t="s">
        <v>104</v>
      </c>
      <c r="B774" s="24" t="s">
        <v>105</v>
      </c>
      <c r="D774" s="26">
        <v>29057</v>
      </c>
      <c r="E774" s="26" t="s">
        <v>1762</v>
      </c>
      <c r="F774" s="198" t="s">
        <v>1209</v>
      </c>
      <c r="G774" s="198" t="s">
        <v>1700</v>
      </c>
      <c r="H774" s="25" t="s">
        <v>106</v>
      </c>
      <c r="I774" s="27" t="s">
        <v>3904</v>
      </c>
      <c r="J774" s="27" t="s">
        <v>866</v>
      </c>
      <c r="K774" s="28" t="s">
        <v>855</v>
      </c>
      <c r="L774" s="29" t="s">
        <v>3906</v>
      </c>
      <c r="CB774" s="26"/>
      <c r="CC774" s="26"/>
      <c r="CF774" s="8"/>
      <c r="CG774" s="26"/>
      <c r="CH774" s="8"/>
      <c r="CM774" s="8"/>
      <c r="CR774" s="8"/>
    </row>
    <row r="775" spans="1:129" x14ac:dyDescent="0.25">
      <c r="A775" s="8" t="s">
        <v>3994</v>
      </c>
      <c r="B775" s="24" t="s">
        <v>3995</v>
      </c>
      <c r="C775" s="25" t="s">
        <v>3993</v>
      </c>
      <c r="E775" s="26" t="s">
        <v>1762</v>
      </c>
      <c r="F775" s="198" t="s">
        <v>1892</v>
      </c>
      <c r="G775" s="198" t="s">
        <v>1700</v>
      </c>
      <c r="H775" s="25" t="s">
        <v>3996</v>
      </c>
      <c r="I775" s="27" t="s">
        <v>3901</v>
      </c>
      <c r="J775" s="27" t="s">
        <v>866</v>
      </c>
      <c r="K775" s="28" t="s">
        <v>853</v>
      </c>
      <c r="W775" s="93">
        <v>157</v>
      </c>
      <c r="X775" s="84" t="s">
        <v>1700</v>
      </c>
      <c r="Y775" s="84" t="s">
        <v>2711</v>
      </c>
      <c r="AA775" s="84" t="s">
        <v>3997</v>
      </c>
      <c r="AB775" s="84" t="s">
        <v>2629</v>
      </c>
      <c r="AC775" s="26">
        <v>42299</v>
      </c>
      <c r="AD775" s="26" t="s">
        <v>853</v>
      </c>
      <c r="AE775" s="8" t="s">
        <v>3992</v>
      </c>
      <c r="AF775" s="8">
        <v>315</v>
      </c>
      <c r="AG775" s="8">
        <v>157</v>
      </c>
      <c r="CB775" s="278"/>
      <c r="CG775" s="278"/>
    </row>
    <row r="776" spans="1:129" x14ac:dyDescent="0.25">
      <c r="A776" s="8" t="s">
        <v>4630</v>
      </c>
      <c r="B776" s="24" t="s">
        <v>4631</v>
      </c>
      <c r="F776" s="198" t="s">
        <v>1700</v>
      </c>
      <c r="G776" s="198" t="s">
        <v>1700</v>
      </c>
      <c r="H776" s="25" t="s">
        <v>1700</v>
      </c>
      <c r="I776" s="27" t="s">
        <v>3893</v>
      </c>
      <c r="J776" s="27" t="s">
        <v>866</v>
      </c>
      <c r="K776" s="28" t="s">
        <v>816</v>
      </c>
      <c r="CB776" s="278"/>
      <c r="CG776" s="278"/>
    </row>
    <row r="777" spans="1:129" ht="13.5" x14ac:dyDescent="0.25">
      <c r="A777" s="8" t="s">
        <v>1610</v>
      </c>
      <c r="B777" s="24" t="s">
        <v>55</v>
      </c>
      <c r="E777" s="26" t="s">
        <v>1762</v>
      </c>
      <c r="F777" s="198" t="s">
        <v>1700</v>
      </c>
      <c r="G777" s="198" t="s">
        <v>1700</v>
      </c>
      <c r="H777" s="25" t="s">
        <v>1700</v>
      </c>
      <c r="J777" s="27" t="s">
        <v>866</v>
      </c>
      <c r="S777" s="8" t="s">
        <v>816</v>
      </c>
      <c r="T777" s="8" t="s">
        <v>855</v>
      </c>
      <c r="CB777" s="278"/>
      <c r="CD777" s="279"/>
      <c r="CG777" s="278"/>
      <c r="CH777" s="278"/>
      <c r="CI777" s="258"/>
      <c r="CK777" s="279"/>
      <c r="CL777" s="278"/>
      <c r="CM777" s="278"/>
      <c r="CN777" s="258"/>
      <c r="CP777" s="279"/>
      <c r="CQ777" s="258"/>
      <c r="CR777" s="258"/>
      <c r="CS777" s="258"/>
      <c r="CU777" s="258"/>
      <c r="CV777" s="258"/>
      <c r="CW777" s="258"/>
      <c r="CX777" s="258"/>
      <c r="CZ777" s="258"/>
      <c r="DA777" s="258"/>
      <c r="DB777" s="258"/>
      <c r="DC777" s="258"/>
      <c r="DE777" s="258"/>
      <c r="DF777" s="258"/>
      <c r="DG777" s="258"/>
      <c r="DH777" s="258"/>
      <c r="DJ777" s="258"/>
      <c r="DK777" s="258"/>
      <c r="DL777" s="258"/>
      <c r="DM777" s="258"/>
      <c r="DO777" s="258"/>
      <c r="DP777" s="258"/>
      <c r="DQ777" s="258"/>
      <c r="DR777" s="258"/>
      <c r="DT777" s="258"/>
      <c r="DU777" s="258"/>
      <c r="DV777" s="258"/>
      <c r="DW777" s="258"/>
      <c r="DY777" s="258"/>
    </row>
    <row r="778" spans="1:129" x14ac:dyDescent="0.25">
      <c r="A778" s="19" t="s">
        <v>1610</v>
      </c>
      <c r="B778" s="12" t="s">
        <v>1611</v>
      </c>
      <c r="C778" s="13" t="s">
        <v>1975</v>
      </c>
      <c r="D778" s="14">
        <v>26788</v>
      </c>
      <c r="E778" s="14" t="s">
        <v>1762</v>
      </c>
      <c r="F778" s="199" t="s">
        <v>898</v>
      </c>
      <c r="G778" s="199" t="s">
        <v>1700</v>
      </c>
      <c r="H778" s="13" t="s">
        <v>1550</v>
      </c>
      <c r="I778" s="20" t="s">
        <v>3902</v>
      </c>
      <c r="J778" s="20" t="s">
        <v>866</v>
      </c>
      <c r="K778" s="17" t="s">
        <v>3907</v>
      </c>
      <c r="L778" s="21"/>
      <c r="M778" s="21"/>
      <c r="N778" s="21"/>
      <c r="O778" s="21"/>
      <c r="P778" s="17">
        <v>1</v>
      </c>
      <c r="Q778" s="95"/>
      <c r="R778" s="17" t="s">
        <v>1763</v>
      </c>
      <c r="S778" s="29"/>
      <c r="T778" s="29"/>
      <c r="U778" s="29"/>
      <c r="V778" s="29"/>
      <c r="CB778" s="26"/>
      <c r="CC778" s="26"/>
      <c r="CF778" s="8"/>
      <c r="CG778" s="26"/>
      <c r="CH778" s="8"/>
      <c r="CM778" s="8"/>
      <c r="CR778" s="8"/>
    </row>
    <row r="779" spans="1:129" x14ac:dyDescent="0.25">
      <c r="A779" s="8" t="s">
        <v>1610</v>
      </c>
      <c r="B779" s="24" t="s">
        <v>4038</v>
      </c>
      <c r="F779" s="198" t="s">
        <v>1700</v>
      </c>
      <c r="G779" s="198" t="s">
        <v>1700</v>
      </c>
      <c r="H779" s="25" t="s">
        <v>1700</v>
      </c>
      <c r="I779" s="27" t="s">
        <v>3902</v>
      </c>
      <c r="J779" s="27" t="s">
        <v>866</v>
      </c>
      <c r="K779" s="28" t="s">
        <v>3907</v>
      </c>
      <c r="P779" s="17">
        <v>1</v>
      </c>
      <c r="CB779" s="278"/>
      <c r="CG779" s="278"/>
    </row>
    <row r="780" spans="1:129" x14ac:dyDescent="0.25">
      <c r="A780" s="8" t="s">
        <v>1610</v>
      </c>
      <c r="B780" s="24" t="s">
        <v>444</v>
      </c>
      <c r="C780" s="25" t="s">
        <v>1283</v>
      </c>
      <c r="D780" s="26">
        <v>32267</v>
      </c>
      <c r="E780" s="26" t="s">
        <v>1764</v>
      </c>
      <c r="F780" s="198" t="s">
        <v>2533</v>
      </c>
      <c r="G780" s="198" t="s">
        <v>1700</v>
      </c>
      <c r="H780" s="25" t="s">
        <v>2534</v>
      </c>
      <c r="I780" s="27" t="s">
        <v>3903</v>
      </c>
      <c r="J780" s="27" t="s">
        <v>866</v>
      </c>
      <c r="K780" s="28" t="s">
        <v>853</v>
      </c>
      <c r="W780" s="93">
        <v>160</v>
      </c>
      <c r="X780" s="84" t="s">
        <v>1700</v>
      </c>
      <c r="Y780" s="84" t="s">
        <v>1205</v>
      </c>
      <c r="AA780" s="84" t="s">
        <v>263</v>
      </c>
      <c r="AB780" s="84" t="s">
        <v>2047</v>
      </c>
      <c r="AC780" s="26">
        <v>42360</v>
      </c>
      <c r="AD780" s="26" t="s">
        <v>853</v>
      </c>
      <c r="AE780" s="8" t="s">
        <v>4479</v>
      </c>
      <c r="AF780" s="8">
        <v>521.79999999999995</v>
      </c>
      <c r="AG780" s="8">
        <v>160</v>
      </c>
      <c r="CB780" s="26"/>
      <c r="CC780" s="26"/>
      <c r="CF780" s="8"/>
      <c r="CG780" s="26"/>
      <c r="CH780" s="8"/>
      <c r="CM780" s="8"/>
      <c r="CR780" s="8"/>
    </row>
    <row r="781" spans="1:129" x14ac:dyDescent="0.25">
      <c r="A781" s="8" t="s">
        <v>1610</v>
      </c>
      <c r="B781" s="24" t="s">
        <v>1625</v>
      </c>
      <c r="F781" s="198" t="s">
        <v>1700</v>
      </c>
      <c r="G781" s="198" t="s">
        <v>1700</v>
      </c>
      <c r="H781" s="25" t="s">
        <v>1700</v>
      </c>
      <c r="J781" s="27" t="s">
        <v>866</v>
      </c>
      <c r="CB781" s="26"/>
      <c r="CC781" s="26"/>
      <c r="CF781" s="8"/>
      <c r="CG781" s="26"/>
      <c r="CH781" s="8"/>
      <c r="CM781" s="8"/>
      <c r="CR781" s="8"/>
    </row>
    <row r="782" spans="1:129" x14ac:dyDescent="0.25">
      <c r="A782" s="8" t="s">
        <v>1610</v>
      </c>
      <c r="B782" s="24" t="s">
        <v>2487</v>
      </c>
      <c r="C782" s="25" t="s">
        <v>2488</v>
      </c>
      <c r="E782" s="26" t="s">
        <v>1762</v>
      </c>
      <c r="F782" s="198" t="s">
        <v>754</v>
      </c>
      <c r="G782" s="198" t="s">
        <v>1700</v>
      </c>
      <c r="H782" s="25" t="s">
        <v>2489</v>
      </c>
      <c r="J782" s="27" t="s">
        <v>866</v>
      </c>
      <c r="X782" s="84" t="s">
        <v>1700</v>
      </c>
      <c r="Y782" s="84" t="s">
        <v>2490</v>
      </c>
      <c r="AA782" s="84" t="s">
        <v>2491</v>
      </c>
      <c r="AB782" s="84" t="s">
        <v>1957</v>
      </c>
      <c r="CB782" s="26"/>
      <c r="CC782" s="26"/>
      <c r="CF782" s="8"/>
      <c r="CG782" s="26"/>
      <c r="CH782" s="8"/>
      <c r="CM782" s="8"/>
      <c r="CR782" s="8"/>
    </row>
    <row r="783" spans="1:129" x14ac:dyDescent="0.25">
      <c r="A783" s="8" t="s">
        <v>381</v>
      </c>
      <c r="B783" s="24" t="s">
        <v>2138</v>
      </c>
      <c r="C783" s="25" t="s">
        <v>475</v>
      </c>
      <c r="E783" s="26" t="s">
        <v>1762</v>
      </c>
      <c r="F783" s="198" t="s">
        <v>734</v>
      </c>
      <c r="G783" s="198" t="s">
        <v>1700</v>
      </c>
      <c r="H783" s="25" t="s">
        <v>1700</v>
      </c>
      <c r="I783" s="27" t="s">
        <v>3901</v>
      </c>
      <c r="J783" s="27" t="s">
        <v>866</v>
      </c>
      <c r="K783" s="28" t="s">
        <v>3908</v>
      </c>
      <c r="R783" s="29" t="s">
        <v>857</v>
      </c>
      <c r="CB783" s="26"/>
      <c r="CC783" s="26"/>
      <c r="CF783" s="8"/>
      <c r="CG783" s="26"/>
      <c r="CH783" s="8"/>
      <c r="CM783" s="8"/>
      <c r="CR783" s="8"/>
    </row>
    <row r="784" spans="1:129" x14ac:dyDescent="0.25">
      <c r="A784" s="8" t="s">
        <v>704</v>
      </c>
      <c r="B784" s="24" t="s">
        <v>1991</v>
      </c>
      <c r="C784" s="25" t="s">
        <v>2260</v>
      </c>
      <c r="E784" s="26" t="s">
        <v>1762</v>
      </c>
      <c r="F784" s="198" t="s">
        <v>407</v>
      </c>
      <c r="G784" s="198" t="s">
        <v>1700</v>
      </c>
      <c r="H784" s="25" t="s">
        <v>2672</v>
      </c>
      <c r="J784" s="27" t="s">
        <v>866</v>
      </c>
      <c r="R784" s="29" t="s">
        <v>853</v>
      </c>
      <c r="X784" s="84" t="s">
        <v>1700</v>
      </c>
      <c r="Y784" s="84" t="s">
        <v>2261</v>
      </c>
      <c r="AA784" s="84" t="s">
        <v>2262</v>
      </c>
      <c r="AB784" s="84" t="s">
        <v>2263</v>
      </c>
      <c r="CB784" s="26">
        <v>41921</v>
      </c>
      <c r="CC784" s="26" t="s">
        <v>853</v>
      </c>
      <c r="CD784" s="8" t="s">
        <v>2673</v>
      </c>
      <c r="CE784" s="8">
        <v>730</v>
      </c>
      <c r="CF784" s="8">
        <v>160</v>
      </c>
      <c r="CG784" s="26"/>
      <c r="CH784" s="8"/>
      <c r="CM784" s="8"/>
      <c r="CR784" s="8"/>
    </row>
    <row r="785" spans="1:130" x14ac:dyDescent="0.25">
      <c r="A785" s="8" t="s">
        <v>316</v>
      </c>
      <c r="B785" s="24" t="s">
        <v>950</v>
      </c>
      <c r="C785" s="25" t="s">
        <v>582</v>
      </c>
      <c r="E785" s="26" t="s">
        <v>1762</v>
      </c>
      <c r="F785" s="198" t="s">
        <v>1700</v>
      </c>
      <c r="G785" s="198" t="s">
        <v>1700</v>
      </c>
      <c r="H785" s="25" t="s">
        <v>1700</v>
      </c>
      <c r="J785" s="27" t="s">
        <v>866</v>
      </c>
      <c r="Q785" s="93"/>
      <c r="R785" s="28" t="s">
        <v>816</v>
      </c>
      <c r="S785" s="13"/>
      <c r="T785" s="13"/>
      <c r="U785" s="21"/>
      <c r="V785" s="21"/>
      <c r="CB785" s="26"/>
      <c r="CC785" s="26"/>
      <c r="CF785" s="8"/>
      <c r="CG785" s="26"/>
      <c r="CH785" s="8"/>
      <c r="CM785" s="8"/>
      <c r="CR785" s="8"/>
    </row>
    <row r="786" spans="1:130" x14ac:dyDescent="0.25">
      <c r="A786" s="8" t="s">
        <v>3678</v>
      </c>
      <c r="B786" s="24" t="s">
        <v>1822</v>
      </c>
      <c r="C786" s="25" t="s">
        <v>3677</v>
      </c>
      <c r="E786" s="26" t="s">
        <v>1762</v>
      </c>
      <c r="F786" s="198" t="s">
        <v>134</v>
      </c>
      <c r="G786" s="198" t="s">
        <v>1700</v>
      </c>
      <c r="H786" s="25" t="s">
        <v>1700</v>
      </c>
      <c r="J786" s="27" t="s">
        <v>866</v>
      </c>
      <c r="R786" s="29" t="s">
        <v>1126</v>
      </c>
      <c r="CB786" s="278">
        <v>42094</v>
      </c>
      <c r="CC786" s="278" t="s">
        <v>1126</v>
      </c>
      <c r="CD786" s="8" t="s">
        <v>3675</v>
      </c>
      <c r="CE786" s="8">
        <v>40.700000000000003</v>
      </c>
      <c r="CF786" s="279">
        <v>20.350000000000001</v>
      </c>
      <c r="CG786" s="278"/>
    </row>
    <row r="787" spans="1:130" x14ac:dyDescent="0.25">
      <c r="A787" s="8" t="s">
        <v>1674</v>
      </c>
      <c r="B787" s="24" t="s">
        <v>873</v>
      </c>
      <c r="C787" s="25" t="s">
        <v>1675</v>
      </c>
      <c r="E787" s="26" t="s">
        <v>1762</v>
      </c>
      <c r="F787" s="198" t="s">
        <v>245</v>
      </c>
      <c r="G787" s="198" t="s">
        <v>1700</v>
      </c>
      <c r="H787" s="25" t="s">
        <v>1700</v>
      </c>
      <c r="J787" s="27" t="s">
        <v>866</v>
      </c>
      <c r="X787" s="84" t="s">
        <v>1700</v>
      </c>
      <c r="Y787" s="84" t="s">
        <v>195</v>
      </c>
      <c r="AA787" s="84" t="s">
        <v>1676</v>
      </c>
      <c r="AB787" s="84" t="s">
        <v>1825</v>
      </c>
      <c r="CB787" s="26"/>
      <c r="CC787" s="26"/>
      <c r="CF787" s="8"/>
      <c r="CG787" s="26"/>
      <c r="CH787" s="8"/>
      <c r="CM787" s="8"/>
      <c r="CR787" s="8"/>
    </row>
    <row r="788" spans="1:130" x14ac:dyDescent="0.25">
      <c r="A788" s="19" t="s">
        <v>1612</v>
      </c>
      <c r="B788" s="12" t="s">
        <v>864</v>
      </c>
      <c r="C788" s="13" t="s">
        <v>272</v>
      </c>
      <c r="D788" s="14"/>
      <c r="E788" s="14" t="s">
        <v>1762</v>
      </c>
      <c r="F788" s="199" t="s">
        <v>2939</v>
      </c>
      <c r="G788" s="199" t="s">
        <v>1700</v>
      </c>
      <c r="H788" s="13" t="s">
        <v>2940</v>
      </c>
      <c r="I788" s="20"/>
      <c r="J788" s="20" t="s">
        <v>866</v>
      </c>
      <c r="K788" s="17"/>
      <c r="M788" s="21"/>
      <c r="N788" s="21"/>
      <c r="O788" s="21"/>
      <c r="Q788" s="95"/>
      <c r="R788" s="17" t="s">
        <v>853</v>
      </c>
      <c r="S788" s="29"/>
      <c r="T788" s="29"/>
      <c r="U788" s="29"/>
      <c r="V788" s="29"/>
      <c r="X788" s="84" t="s">
        <v>1700</v>
      </c>
      <c r="Y788" s="84" t="s">
        <v>190</v>
      </c>
      <c r="AA788" s="84" t="s">
        <v>1242</v>
      </c>
      <c r="AB788" s="84" t="s">
        <v>126</v>
      </c>
      <c r="CB788" s="26">
        <v>41934</v>
      </c>
      <c r="CC788" s="26" t="s">
        <v>853</v>
      </c>
      <c r="CD788" s="8" t="s">
        <v>2941</v>
      </c>
      <c r="CE788" s="8">
        <v>266</v>
      </c>
      <c r="CF788" s="8">
        <v>133</v>
      </c>
      <c r="CG788" s="26">
        <v>41934</v>
      </c>
      <c r="CH788" s="8" t="s">
        <v>853</v>
      </c>
      <c r="CI788" s="8" t="s">
        <v>2942</v>
      </c>
      <c r="CJ788" s="8">
        <v>150</v>
      </c>
      <c r="CK788" s="8">
        <v>27</v>
      </c>
      <c r="CM788" s="8"/>
      <c r="CR788" s="8"/>
    </row>
    <row r="789" spans="1:130" x14ac:dyDescent="0.25">
      <c r="A789" s="8" t="s">
        <v>3098</v>
      </c>
      <c r="B789" s="24" t="s">
        <v>3099</v>
      </c>
      <c r="E789" s="26" t="s">
        <v>1762</v>
      </c>
      <c r="F789" s="198" t="s">
        <v>1700</v>
      </c>
      <c r="G789" s="198" t="s">
        <v>1700</v>
      </c>
      <c r="H789" s="25" t="s">
        <v>1700</v>
      </c>
      <c r="J789" s="27" t="s">
        <v>866</v>
      </c>
      <c r="R789" s="29" t="s">
        <v>1972</v>
      </c>
      <c r="CB789" s="26"/>
      <c r="CC789" s="26"/>
      <c r="CF789" s="8"/>
      <c r="CG789" s="26"/>
      <c r="CH789" s="8"/>
      <c r="CM789" s="8"/>
      <c r="CR789" s="8"/>
    </row>
    <row r="790" spans="1:130" x14ac:dyDescent="0.25">
      <c r="A790" s="8" t="s">
        <v>2979</v>
      </c>
      <c r="B790" s="24" t="s">
        <v>1378</v>
      </c>
      <c r="D790" s="26">
        <v>24169</v>
      </c>
      <c r="E790" s="26" t="s">
        <v>1762</v>
      </c>
      <c r="F790" s="198" t="s">
        <v>1879</v>
      </c>
      <c r="G790" s="198" t="s">
        <v>1700</v>
      </c>
      <c r="H790" s="25" t="s">
        <v>1700</v>
      </c>
      <c r="I790" s="27" t="s">
        <v>3902</v>
      </c>
      <c r="J790" s="27" t="s">
        <v>866</v>
      </c>
      <c r="K790" s="28" t="s">
        <v>817</v>
      </c>
      <c r="R790" s="29" t="s">
        <v>817</v>
      </c>
      <c r="CB790" s="26"/>
      <c r="CC790" s="26"/>
      <c r="CF790" s="8"/>
      <c r="CG790" s="26"/>
      <c r="CH790" s="8"/>
      <c r="CM790" s="8"/>
      <c r="CR790" s="8"/>
    </row>
    <row r="791" spans="1:130" x14ac:dyDescent="0.25">
      <c r="A791" s="8" t="s">
        <v>514</v>
      </c>
      <c r="B791" s="24" t="s">
        <v>1504</v>
      </c>
      <c r="C791" s="25" t="s">
        <v>515</v>
      </c>
      <c r="E791" s="26" t="s">
        <v>1762</v>
      </c>
      <c r="F791" s="198" t="s">
        <v>2664</v>
      </c>
      <c r="G791" s="198" t="s">
        <v>1700</v>
      </c>
      <c r="H791" s="25" t="s">
        <v>2663</v>
      </c>
      <c r="I791" s="27" t="s">
        <v>3901</v>
      </c>
      <c r="J791" s="27" t="s">
        <v>866</v>
      </c>
      <c r="K791" s="28" t="s">
        <v>853</v>
      </c>
      <c r="R791" s="29" t="s">
        <v>853</v>
      </c>
      <c r="W791" s="93">
        <v>82</v>
      </c>
      <c r="X791" s="84" t="s">
        <v>1700</v>
      </c>
      <c r="Y791" s="84" t="s">
        <v>791</v>
      </c>
      <c r="AA791" s="84" t="s">
        <v>516</v>
      </c>
      <c r="AB791" s="84" t="s">
        <v>126</v>
      </c>
      <c r="AC791" s="26">
        <v>42299</v>
      </c>
      <c r="AD791" s="26" t="s">
        <v>853</v>
      </c>
      <c r="AE791" s="8" t="s">
        <v>4006</v>
      </c>
      <c r="AF791" s="8">
        <v>165</v>
      </c>
      <c r="AG791" s="8">
        <v>82</v>
      </c>
      <c r="CB791" s="26">
        <v>41921</v>
      </c>
      <c r="CC791" s="26" t="s">
        <v>853</v>
      </c>
      <c r="CD791" s="8" t="s">
        <v>2665</v>
      </c>
      <c r="CE791" s="8">
        <v>162</v>
      </c>
      <c r="CF791" s="8">
        <v>81</v>
      </c>
      <c r="CG791" s="26"/>
      <c r="CH791" s="8"/>
      <c r="CM791" s="8"/>
      <c r="CR791" s="8"/>
    </row>
    <row r="792" spans="1:130" x14ac:dyDescent="0.25">
      <c r="A792" s="8" t="s">
        <v>3683</v>
      </c>
      <c r="B792" s="24" t="s">
        <v>2494</v>
      </c>
      <c r="C792" s="25" t="s">
        <v>4621</v>
      </c>
      <c r="E792" s="26" t="s">
        <v>1762</v>
      </c>
      <c r="F792" s="198" t="s">
        <v>1700</v>
      </c>
      <c r="G792" s="198" t="s">
        <v>1700</v>
      </c>
      <c r="H792" s="25" t="s">
        <v>1700</v>
      </c>
      <c r="I792" s="27" t="s">
        <v>3893</v>
      </c>
      <c r="J792" s="27" t="s">
        <v>866</v>
      </c>
      <c r="K792" s="28" t="s">
        <v>859</v>
      </c>
      <c r="R792" s="29" t="s">
        <v>1763</v>
      </c>
      <c r="W792" s="93">
        <v>250</v>
      </c>
      <c r="X792" s="84" t="s">
        <v>1700</v>
      </c>
      <c r="Y792" s="84" t="s">
        <v>4622</v>
      </c>
      <c r="AA792" s="84" t="s">
        <v>4623</v>
      </c>
      <c r="AB792" s="84" t="s">
        <v>348</v>
      </c>
      <c r="AC792" s="26">
        <v>42439</v>
      </c>
      <c r="AD792" s="26" t="s">
        <v>859</v>
      </c>
      <c r="AE792" s="8" t="s">
        <v>2237</v>
      </c>
      <c r="AF792" s="8">
        <v>500</v>
      </c>
      <c r="AG792" s="8">
        <v>250</v>
      </c>
      <c r="CB792" s="278"/>
      <c r="CG792" s="278"/>
    </row>
    <row r="793" spans="1:130" x14ac:dyDescent="0.25">
      <c r="A793" s="8" t="s">
        <v>4943</v>
      </c>
      <c r="B793" s="24" t="s">
        <v>4944</v>
      </c>
      <c r="E793" s="26" t="s">
        <v>1762</v>
      </c>
      <c r="F793" s="198" t="s">
        <v>1700</v>
      </c>
      <c r="G793" s="198" t="s">
        <v>1700</v>
      </c>
      <c r="H793" s="25" t="s">
        <v>1700</v>
      </c>
      <c r="I793" s="27" t="s">
        <v>3901</v>
      </c>
      <c r="J793" s="27" t="s">
        <v>866</v>
      </c>
      <c r="K793" s="28" t="s">
        <v>3908</v>
      </c>
      <c r="CB793" s="278"/>
      <c r="CG793" s="278"/>
    </row>
    <row r="794" spans="1:130" x14ac:dyDescent="0.25">
      <c r="A794" s="8" t="s">
        <v>1908</v>
      </c>
      <c r="B794" s="24" t="s">
        <v>1136</v>
      </c>
      <c r="C794" s="25" t="s">
        <v>1909</v>
      </c>
      <c r="E794" s="26" t="s">
        <v>1762</v>
      </c>
      <c r="F794" s="198" t="s">
        <v>1596</v>
      </c>
      <c r="G794" s="198" t="s">
        <v>1700</v>
      </c>
      <c r="H794" s="25" t="s">
        <v>3671</v>
      </c>
      <c r="J794" s="27" t="s">
        <v>866</v>
      </c>
      <c r="R794" s="29" t="s">
        <v>853</v>
      </c>
      <c r="X794" s="84" t="s">
        <v>1700</v>
      </c>
      <c r="Y794" s="84" t="s">
        <v>195</v>
      </c>
      <c r="AA794" s="84" t="s">
        <v>1063</v>
      </c>
      <c r="AB794" s="84" t="s">
        <v>1462</v>
      </c>
      <c r="CB794" s="26">
        <v>42097</v>
      </c>
      <c r="CC794" s="26" t="s">
        <v>853</v>
      </c>
      <c r="CD794" s="8" t="s">
        <v>3672</v>
      </c>
      <c r="CE794" s="8">
        <v>69</v>
      </c>
      <c r="CF794" s="8">
        <v>35</v>
      </c>
      <c r="CG794" s="26"/>
      <c r="CH794" s="8"/>
      <c r="CM794" s="8"/>
      <c r="CR794" s="8"/>
    </row>
    <row r="795" spans="1:130" x14ac:dyDescent="0.25">
      <c r="A795" s="8" t="s">
        <v>2981</v>
      </c>
      <c r="B795" s="24" t="s">
        <v>1508</v>
      </c>
      <c r="D795" s="26">
        <v>23460</v>
      </c>
      <c r="E795" s="26" t="s">
        <v>877</v>
      </c>
      <c r="F795" s="198" t="s">
        <v>4027</v>
      </c>
      <c r="G795" s="198" t="s">
        <v>1700</v>
      </c>
      <c r="H795" s="25" t="s">
        <v>1700</v>
      </c>
      <c r="I795" s="27" t="s">
        <v>3902</v>
      </c>
      <c r="J795" s="27" t="s">
        <v>866</v>
      </c>
      <c r="K795" s="28" t="s">
        <v>817</v>
      </c>
      <c r="R795" s="29" t="s">
        <v>817</v>
      </c>
      <c r="CB795" s="26"/>
      <c r="CC795" s="26"/>
      <c r="CF795" s="8"/>
      <c r="CG795" s="26"/>
      <c r="CH795" s="8"/>
      <c r="CM795" s="8"/>
      <c r="CR795" s="8"/>
    </row>
    <row r="796" spans="1:130" x14ac:dyDescent="0.25">
      <c r="A796" s="8" t="s">
        <v>2168</v>
      </c>
      <c r="B796" s="24" t="s">
        <v>2169</v>
      </c>
      <c r="E796" s="26" t="s">
        <v>1762</v>
      </c>
      <c r="F796" s="198" t="s">
        <v>898</v>
      </c>
      <c r="G796" s="198" t="s">
        <v>1700</v>
      </c>
      <c r="H796" s="25" t="s">
        <v>1700</v>
      </c>
      <c r="J796" s="27" t="s">
        <v>866</v>
      </c>
      <c r="Q796" s="93"/>
      <c r="R796" s="28" t="s">
        <v>854</v>
      </c>
      <c r="S796" s="21" t="s">
        <v>1416</v>
      </c>
      <c r="T796" s="21"/>
      <c r="U796" s="21"/>
      <c r="V796" s="21"/>
      <c r="CB796" s="26"/>
      <c r="CC796" s="26"/>
      <c r="CF796" s="8"/>
      <c r="CG796" s="26"/>
      <c r="CH796" s="8"/>
      <c r="CM796" s="8"/>
      <c r="CR796" s="8"/>
    </row>
    <row r="797" spans="1:130" x14ac:dyDescent="0.25">
      <c r="A797" s="8" t="s">
        <v>4226</v>
      </c>
      <c r="B797" s="24" t="s">
        <v>4227</v>
      </c>
      <c r="C797" s="25" t="s">
        <v>4225</v>
      </c>
      <c r="E797" s="26" t="s">
        <v>1762</v>
      </c>
      <c r="F797" s="198" t="s">
        <v>1899</v>
      </c>
      <c r="G797" s="198" t="s">
        <v>1700</v>
      </c>
      <c r="H797" s="25" t="s">
        <v>4228</v>
      </c>
      <c r="I797" s="27" t="s">
        <v>3902</v>
      </c>
      <c r="J797" s="27" t="s">
        <v>866</v>
      </c>
      <c r="K797" s="28" t="s">
        <v>853</v>
      </c>
      <c r="W797" s="93">
        <v>160</v>
      </c>
      <c r="X797" s="84" t="s">
        <v>1700</v>
      </c>
      <c r="Y797" s="84" t="s">
        <v>2424</v>
      </c>
      <c r="AA797" s="84" t="s">
        <v>4229</v>
      </c>
      <c r="AB797" s="84" t="s">
        <v>1957</v>
      </c>
      <c r="AC797" s="26">
        <v>42313</v>
      </c>
      <c r="AD797" s="26" t="s">
        <v>853</v>
      </c>
      <c r="AE797" s="8" t="s">
        <v>4257</v>
      </c>
      <c r="AF797" s="8">
        <v>448.4</v>
      </c>
      <c r="AG797" s="8">
        <v>160</v>
      </c>
      <c r="CB797" s="278"/>
      <c r="CG797" s="278"/>
    </row>
    <row r="798" spans="1:130" x14ac:dyDescent="0.25">
      <c r="A798" s="8" t="s">
        <v>3563</v>
      </c>
      <c r="B798" s="24" t="s">
        <v>1391</v>
      </c>
      <c r="C798" s="25" t="s">
        <v>3562</v>
      </c>
      <c r="E798" s="26" t="s">
        <v>1762</v>
      </c>
      <c r="F798" s="198" t="s">
        <v>1962</v>
      </c>
      <c r="G798" s="198" t="s">
        <v>1700</v>
      </c>
      <c r="H798" s="25" t="s">
        <v>3564</v>
      </c>
      <c r="I798" s="27" t="s">
        <v>3896</v>
      </c>
      <c r="J798" s="27" t="s">
        <v>866</v>
      </c>
      <c r="K798" s="28" t="s">
        <v>853</v>
      </c>
      <c r="R798" s="29" t="s">
        <v>853</v>
      </c>
      <c r="W798" s="93">
        <v>140</v>
      </c>
      <c r="X798" s="84" t="s">
        <v>1700</v>
      </c>
      <c r="Y798" s="84" t="s">
        <v>649</v>
      </c>
      <c r="AA798" s="84" t="s">
        <v>3565</v>
      </c>
      <c r="AB798" s="84" t="s">
        <v>1151</v>
      </c>
      <c r="AC798" s="26">
        <v>42493</v>
      </c>
      <c r="AD798" s="26" t="s">
        <v>853</v>
      </c>
      <c r="AE798" s="8" t="s">
        <v>4783</v>
      </c>
      <c r="AF798" s="8">
        <v>280</v>
      </c>
      <c r="AG798" s="8">
        <v>140</v>
      </c>
      <c r="CB798" s="278">
        <v>42074</v>
      </c>
      <c r="CC798" s="278" t="s">
        <v>853</v>
      </c>
      <c r="CD798" s="8" t="s">
        <v>3566</v>
      </c>
      <c r="CE798" s="8">
        <v>442</v>
      </c>
      <c r="CF798" s="279">
        <v>160</v>
      </c>
      <c r="CG798" s="278"/>
    </row>
    <row r="799" spans="1:130" ht="13.5" x14ac:dyDescent="0.25">
      <c r="A799" s="8" t="s">
        <v>3377</v>
      </c>
      <c r="B799" s="24" t="s">
        <v>812</v>
      </c>
      <c r="C799" s="25" t="s">
        <v>3378</v>
      </c>
      <c r="E799" s="26" t="s">
        <v>1762</v>
      </c>
      <c r="F799" s="198" t="s">
        <v>946</v>
      </c>
      <c r="G799" s="198" t="s">
        <v>1700</v>
      </c>
      <c r="H799" s="25" t="s">
        <v>3379</v>
      </c>
      <c r="I799" s="27" t="s">
        <v>3903</v>
      </c>
      <c r="J799" s="27" t="s">
        <v>866</v>
      </c>
      <c r="K799" s="28" t="s">
        <v>853</v>
      </c>
      <c r="R799" s="29" t="s">
        <v>853</v>
      </c>
      <c r="W799" s="93">
        <v>145</v>
      </c>
      <c r="X799" s="84" t="s">
        <v>1700</v>
      </c>
      <c r="Y799" s="84" t="s">
        <v>2634</v>
      </c>
      <c r="AA799" s="84" t="s">
        <v>3381</v>
      </c>
      <c r="AB799" s="84" t="s">
        <v>348</v>
      </c>
      <c r="AC799" s="26">
        <v>42360</v>
      </c>
      <c r="AD799" s="26" t="s">
        <v>853</v>
      </c>
      <c r="AE799" s="8" t="s">
        <v>4434</v>
      </c>
      <c r="AF799" s="8">
        <v>290</v>
      </c>
      <c r="AG799" s="8">
        <v>145</v>
      </c>
      <c r="CB799" s="278">
        <v>42011</v>
      </c>
      <c r="CC799" s="278" t="s">
        <v>853</v>
      </c>
      <c r="CD799" s="8" t="s">
        <v>3380</v>
      </c>
      <c r="CE799" s="8">
        <v>290</v>
      </c>
      <c r="CF799" s="279">
        <v>145</v>
      </c>
      <c r="CG799" s="278"/>
      <c r="DZ799" s="258"/>
    </row>
    <row r="800" spans="1:130" x14ac:dyDescent="0.25">
      <c r="A800" s="8" t="s">
        <v>4628</v>
      </c>
      <c r="B800" s="24" t="s">
        <v>4629</v>
      </c>
      <c r="F800" s="198" t="s">
        <v>1700</v>
      </c>
      <c r="G800" s="198" t="s">
        <v>1700</v>
      </c>
      <c r="H800" s="25" t="s">
        <v>1700</v>
      </c>
      <c r="I800" s="27" t="s">
        <v>3893</v>
      </c>
      <c r="J800" s="27" t="s">
        <v>866</v>
      </c>
      <c r="K800" s="28" t="s">
        <v>816</v>
      </c>
      <c r="CB800" s="278"/>
      <c r="CG800" s="278"/>
    </row>
    <row r="801" spans="1:130" ht="13.5" x14ac:dyDescent="0.25">
      <c r="A801" s="8" t="s">
        <v>2270</v>
      </c>
      <c r="B801" s="24" t="s">
        <v>2271</v>
      </c>
      <c r="F801" s="198" t="s">
        <v>1700</v>
      </c>
      <c r="G801" s="198" t="s">
        <v>1700</v>
      </c>
      <c r="H801" s="25" t="s">
        <v>1700</v>
      </c>
      <c r="I801" s="27" t="s">
        <v>3893</v>
      </c>
      <c r="J801" s="27" t="s">
        <v>866</v>
      </c>
      <c r="K801" s="28" t="s">
        <v>3907</v>
      </c>
      <c r="P801" s="17">
        <v>1</v>
      </c>
      <c r="CB801" s="278"/>
      <c r="CD801" s="279"/>
      <c r="CG801" s="278"/>
      <c r="CH801" s="278"/>
      <c r="CI801" s="279"/>
      <c r="CK801" s="279"/>
      <c r="CL801" s="278"/>
      <c r="CM801" s="278"/>
      <c r="CN801" s="279"/>
      <c r="CP801" s="279"/>
      <c r="CQ801" s="278"/>
      <c r="CR801" s="279"/>
      <c r="CS801" s="279"/>
      <c r="CU801" s="279"/>
      <c r="CV801" s="278"/>
      <c r="CW801" s="279"/>
      <c r="CX801" s="279"/>
      <c r="CZ801" s="279"/>
      <c r="DA801" s="278"/>
      <c r="DB801" s="279"/>
      <c r="DC801" s="279"/>
      <c r="DE801" s="279"/>
      <c r="DF801" s="278"/>
      <c r="DG801" s="279"/>
      <c r="DH801" s="279"/>
      <c r="DJ801" s="279"/>
      <c r="DK801" s="278"/>
      <c r="DL801" s="279"/>
      <c r="DM801" s="279"/>
      <c r="DO801" s="279"/>
      <c r="DP801" s="278"/>
      <c r="DQ801" s="279"/>
      <c r="DR801" s="279"/>
      <c r="DT801" s="279"/>
      <c r="DU801" s="278"/>
      <c r="DV801" s="258"/>
      <c r="DW801" s="258"/>
      <c r="DY801" s="258"/>
      <c r="DZ801" s="258"/>
    </row>
    <row r="802" spans="1:130" ht="13.5" x14ac:dyDescent="0.25">
      <c r="A802" s="19" t="s">
        <v>1615</v>
      </c>
      <c r="B802" s="12" t="s">
        <v>199</v>
      </c>
      <c r="C802" s="13" t="s">
        <v>262</v>
      </c>
      <c r="D802" s="14"/>
      <c r="E802" s="14" t="s">
        <v>1762</v>
      </c>
      <c r="F802" s="199" t="s">
        <v>946</v>
      </c>
      <c r="G802" s="199" t="s">
        <v>2383</v>
      </c>
      <c r="H802" s="13" t="s">
        <v>2891</v>
      </c>
      <c r="I802" s="23" t="s">
        <v>3902</v>
      </c>
      <c r="J802" s="23" t="s">
        <v>866</v>
      </c>
      <c r="K802" s="16" t="s">
        <v>853</v>
      </c>
      <c r="M802" s="13"/>
      <c r="N802" s="21"/>
      <c r="O802" s="21"/>
      <c r="Q802" s="95"/>
      <c r="R802" s="16" t="s">
        <v>853</v>
      </c>
      <c r="S802" s="21"/>
      <c r="T802" s="21"/>
      <c r="U802" s="21"/>
      <c r="V802" s="21"/>
      <c r="W802" s="93">
        <v>160</v>
      </c>
      <c r="X802" s="84" t="s">
        <v>1700</v>
      </c>
      <c r="Y802" s="84" t="s">
        <v>246</v>
      </c>
      <c r="AA802" s="84" t="s">
        <v>1275</v>
      </c>
      <c r="AB802" s="84" t="s">
        <v>126</v>
      </c>
      <c r="AC802" s="26">
        <v>42334</v>
      </c>
      <c r="AD802" s="26" t="s">
        <v>853</v>
      </c>
      <c r="AE802" s="8" t="s">
        <v>4288</v>
      </c>
      <c r="AF802" s="8">
        <v>335</v>
      </c>
      <c r="AG802" s="8">
        <v>160</v>
      </c>
      <c r="CB802" s="26">
        <v>41934</v>
      </c>
      <c r="CC802" s="26" t="s">
        <v>853</v>
      </c>
      <c r="CD802" s="8" t="s">
        <v>2892</v>
      </c>
      <c r="CE802" s="8">
        <v>325</v>
      </c>
      <c r="CF802" s="8">
        <v>160</v>
      </c>
      <c r="CG802" s="26"/>
      <c r="CH802" s="8"/>
      <c r="CM802" s="8"/>
      <c r="CR802" s="8"/>
      <c r="DZ802" s="258"/>
    </row>
    <row r="803" spans="1:130" x14ac:dyDescent="0.25">
      <c r="A803" s="8" t="s">
        <v>1180</v>
      </c>
      <c r="B803" s="24" t="s">
        <v>1620</v>
      </c>
      <c r="C803" s="25" t="s">
        <v>1181</v>
      </c>
      <c r="E803" s="26" t="s">
        <v>1762</v>
      </c>
      <c r="F803" s="198" t="s">
        <v>1201</v>
      </c>
      <c r="G803" s="198" t="s">
        <v>1700</v>
      </c>
      <c r="H803" s="25" t="s">
        <v>2928</v>
      </c>
      <c r="I803" s="27" t="s">
        <v>3902</v>
      </c>
      <c r="J803" s="27" t="s">
        <v>866</v>
      </c>
      <c r="K803" s="28" t="s">
        <v>853</v>
      </c>
      <c r="R803" s="29" t="s">
        <v>853</v>
      </c>
      <c r="W803" s="93">
        <v>37</v>
      </c>
      <c r="X803" s="84" t="s">
        <v>1700</v>
      </c>
      <c r="Y803" s="84" t="s">
        <v>2929</v>
      </c>
      <c r="AA803" s="84" t="s">
        <v>1192</v>
      </c>
      <c r="AB803" s="84" t="s">
        <v>1193</v>
      </c>
      <c r="AC803" s="26">
        <v>42313</v>
      </c>
      <c r="AD803" s="26" t="s">
        <v>853</v>
      </c>
      <c r="AE803" s="8" t="s">
        <v>4250</v>
      </c>
      <c r="AF803" s="8">
        <v>75</v>
      </c>
      <c r="AG803" s="8">
        <v>37</v>
      </c>
      <c r="CB803" s="26">
        <v>41934</v>
      </c>
      <c r="CC803" s="26" t="s">
        <v>853</v>
      </c>
      <c r="CD803" s="8" t="s">
        <v>2930</v>
      </c>
      <c r="CE803" s="8">
        <v>75</v>
      </c>
      <c r="CF803" s="8">
        <v>38</v>
      </c>
      <c r="CG803" s="26"/>
      <c r="CH803" s="8"/>
      <c r="CM803" s="8"/>
      <c r="CR803" s="8"/>
    </row>
    <row r="804" spans="1:130" x14ac:dyDescent="0.25">
      <c r="A804" s="19" t="s">
        <v>1699</v>
      </c>
      <c r="B804" s="12" t="s">
        <v>973</v>
      </c>
      <c r="C804" s="13" t="s">
        <v>648</v>
      </c>
      <c r="D804" s="14"/>
      <c r="E804" s="14" t="s">
        <v>1762</v>
      </c>
      <c r="F804" s="199" t="s">
        <v>1616</v>
      </c>
      <c r="G804" s="199" t="s">
        <v>1700</v>
      </c>
      <c r="H804" s="13" t="s">
        <v>2413</v>
      </c>
      <c r="I804" s="20"/>
      <c r="J804" s="20" t="s">
        <v>866</v>
      </c>
      <c r="K804" s="17"/>
      <c r="L804" s="21"/>
      <c r="M804" s="21"/>
      <c r="N804" s="21"/>
      <c r="O804" s="21"/>
      <c r="Q804" s="95"/>
      <c r="R804" s="17" t="s">
        <v>853</v>
      </c>
      <c r="S804" s="21"/>
      <c r="T804" s="21"/>
      <c r="U804" s="21"/>
      <c r="V804" s="21"/>
      <c r="X804" s="84" t="s">
        <v>1700</v>
      </c>
      <c r="Y804" s="84" t="s">
        <v>246</v>
      </c>
      <c r="AA804" s="84" t="s">
        <v>2414</v>
      </c>
      <c r="AB804" s="84" t="s">
        <v>126</v>
      </c>
      <c r="CB804" s="26">
        <v>42097</v>
      </c>
      <c r="CC804" s="26" t="s">
        <v>853</v>
      </c>
      <c r="CD804" s="8" t="s">
        <v>3673</v>
      </c>
      <c r="CE804" s="8">
        <v>570</v>
      </c>
      <c r="CF804" s="8">
        <v>160</v>
      </c>
      <c r="CG804" s="26"/>
      <c r="CH804" s="8"/>
      <c r="CM804" s="8"/>
      <c r="CR804" s="8"/>
    </row>
    <row r="805" spans="1:130" x14ac:dyDescent="0.25">
      <c r="A805" s="8" t="s">
        <v>488</v>
      </c>
      <c r="B805" s="24" t="s">
        <v>1391</v>
      </c>
      <c r="C805" s="25" t="s">
        <v>489</v>
      </c>
      <c r="E805" s="26" t="s">
        <v>1762</v>
      </c>
      <c r="F805" s="198" t="s">
        <v>1849</v>
      </c>
      <c r="G805" s="198" t="s">
        <v>1700</v>
      </c>
      <c r="H805" s="25" t="s">
        <v>3238</v>
      </c>
      <c r="I805" s="27" t="s">
        <v>3904</v>
      </c>
      <c r="J805" s="27" t="s">
        <v>866</v>
      </c>
      <c r="K805" s="28" t="s">
        <v>853</v>
      </c>
      <c r="R805" s="29" t="s">
        <v>853</v>
      </c>
      <c r="W805" s="93">
        <v>160</v>
      </c>
      <c r="X805" s="84" t="s">
        <v>1700</v>
      </c>
      <c r="Y805" s="84" t="s">
        <v>791</v>
      </c>
      <c r="AA805" s="84" t="s">
        <v>490</v>
      </c>
      <c r="AB805" s="84" t="s">
        <v>126</v>
      </c>
      <c r="AC805" s="26">
        <v>42360</v>
      </c>
      <c r="AD805" s="26" t="s">
        <v>853</v>
      </c>
      <c r="AE805" s="8" t="s">
        <v>4572</v>
      </c>
      <c r="AF805" s="8">
        <v>478.8</v>
      </c>
      <c r="AG805" s="8">
        <v>160</v>
      </c>
      <c r="CB805" s="26">
        <v>41977</v>
      </c>
      <c r="CC805" s="26" t="s">
        <v>853</v>
      </c>
      <c r="CD805" s="8" t="s">
        <v>3239</v>
      </c>
      <c r="CE805" s="8">
        <v>478.8</v>
      </c>
      <c r="CF805" s="8">
        <v>160</v>
      </c>
      <c r="CG805" s="26"/>
      <c r="CH805" s="8"/>
      <c r="CM805" s="8"/>
      <c r="CR805" s="8"/>
    </row>
    <row r="806" spans="1:130" ht="13.5" x14ac:dyDescent="0.25">
      <c r="A806" s="8" t="s">
        <v>1617</v>
      </c>
      <c r="B806" s="24" t="s">
        <v>1601</v>
      </c>
      <c r="C806" s="25" t="s">
        <v>1622</v>
      </c>
      <c r="E806" s="26" t="s">
        <v>1762</v>
      </c>
      <c r="F806" s="198" t="s">
        <v>1616</v>
      </c>
      <c r="G806" s="198" t="s">
        <v>1700</v>
      </c>
      <c r="H806" s="25" t="s">
        <v>3177</v>
      </c>
      <c r="I806" s="27" t="s">
        <v>3902</v>
      </c>
      <c r="J806" s="27" t="s">
        <v>866</v>
      </c>
      <c r="K806" s="28" t="s">
        <v>853</v>
      </c>
      <c r="L806" s="29" t="s">
        <v>816</v>
      </c>
      <c r="Q806" s="93"/>
      <c r="R806" s="28" t="s">
        <v>853</v>
      </c>
      <c r="S806" s="29"/>
      <c r="T806" s="29"/>
      <c r="U806" s="29"/>
      <c r="V806" s="29"/>
      <c r="W806" s="93">
        <v>160</v>
      </c>
      <c r="X806" s="84" t="s">
        <v>1700</v>
      </c>
      <c r="Y806" s="84" t="s">
        <v>256</v>
      </c>
      <c r="AA806" s="84" t="s">
        <v>1292</v>
      </c>
      <c r="AB806" s="84" t="s">
        <v>221</v>
      </c>
      <c r="AC806" s="26">
        <v>42313</v>
      </c>
      <c r="AD806" s="26" t="s">
        <v>853</v>
      </c>
      <c r="AE806" s="8" t="s">
        <v>4196</v>
      </c>
      <c r="AF806" s="8">
        <v>465</v>
      </c>
      <c r="AG806" s="8">
        <v>160</v>
      </c>
      <c r="CB806" s="26">
        <v>41977</v>
      </c>
      <c r="CC806" s="26" t="s">
        <v>853</v>
      </c>
      <c r="CD806" s="8" t="s">
        <v>3178</v>
      </c>
      <c r="CE806" s="8">
        <v>455</v>
      </c>
      <c r="CF806" s="8">
        <v>160</v>
      </c>
      <c r="CG806" s="26"/>
      <c r="CH806" s="8"/>
      <c r="CM806" s="8"/>
      <c r="CR806" s="8"/>
      <c r="DZ806" s="258"/>
    </row>
    <row r="807" spans="1:130" x14ac:dyDescent="0.25">
      <c r="A807" s="8" t="s">
        <v>382</v>
      </c>
      <c r="B807" s="24" t="s">
        <v>897</v>
      </c>
      <c r="C807" s="25" t="s">
        <v>476</v>
      </c>
      <c r="D807" s="26">
        <v>21682</v>
      </c>
      <c r="E807" s="26" t="s">
        <v>1762</v>
      </c>
      <c r="F807" s="198" t="s">
        <v>2442</v>
      </c>
      <c r="G807" s="198" t="s">
        <v>2443</v>
      </c>
      <c r="H807" s="25" t="s">
        <v>2444</v>
      </c>
      <c r="I807" s="27" t="s">
        <v>3901</v>
      </c>
      <c r="J807" s="27" t="s">
        <v>866</v>
      </c>
      <c r="K807" s="28" t="s">
        <v>3908</v>
      </c>
      <c r="Q807" s="93"/>
      <c r="R807" s="28" t="s">
        <v>857</v>
      </c>
      <c r="S807" s="29"/>
      <c r="T807" s="29"/>
      <c r="U807" s="29"/>
      <c r="V807" s="29"/>
      <c r="Y807" s="84" t="s">
        <v>190</v>
      </c>
      <c r="AA807" s="84" t="s">
        <v>1083</v>
      </c>
      <c r="AB807" s="84" t="s">
        <v>126</v>
      </c>
      <c r="CB807" s="26"/>
      <c r="CC807" s="26"/>
      <c r="CF807" s="8"/>
      <c r="CG807" s="26"/>
      <c r="CH807" s="8"/>
      <c r="CM807" s="8"/>
      <c r="CR807" s="8"/>
    </row>
    <row r="808" spans="1:130" x14ac:dyDescent="0.25">
      <c r="A808" s="8" t="s">
        <v>2225</v>
      </c>
      <c r="B808" s="24" t="s">
        <v>2141</v>
      </c>
      <c r="C808" s="25" t="s">
        <v>2226</v>
      </c>
      <c r="E808" s="26" t="s">
        <v>1762</v>
      </c>
      <c r="F808" s="198" t="s">
        <v>1899</v>
      </c>
      <c r="G808" s="198" t="s">
        <v>1700</v>
      </c>
      <c r="H808" s="25" t="s">
        <v>1700</v>
      </c>
      <c r="J808" s="27" t="s">
        <v>866</v>
      </c>
      <c r="X808" s="84" t="s">
        <v>1700</v>
      </c>
      <c r="Y808" s="84" t="s">
        <v>791</v>
      </c>
      <c r="AA808" s="84" t="s">
        <v>2227</v>
      </c>
      <c r="AB808" s="84" t="s">
        <v>126</v>
      </c>
      <c r="CB808" s="26"/>
      <c r="CC808" s="26"/>
      <c r="CF808" s="8"/>
      <c r="CG808" s="26"/>
      <c r="CH808" s="8"/>
      <c r="CM808" s="8"/>
      <c r="CR808" s="8"/>
    </row>
    <row r="809" spans="1:130" ht="13.5" x14ac:dyDescent="0.25">
      <c r="A809" s="8" t="s">
        <v>1217</v>
      </c>
      <c r="B809" s="24" t="s">
        <v>873</v>
      </c>
      <c r="C809" s="25" t="s">
        <v>1769</v>
      </c>
      <c r="E809" s="26" t="s">
        <v>1762</v>
      </c>
      <c r="F809" s="198" t="s">
        <v>1218</v>
      </c>
      <c r="G809" s="198" t="s">
        <v>1700</v>
      </c>
      <c r="H809" s="25" t="s">
        <v>1219</v>
      </c>
      <c r="I809" s="27" t="s">
        <v>3901</v>
      </c>
      <c r="J809" s="27" t="s">
        <v>866</v>
      </c>
      <c r="K809" s="28" t="s">
        <v>858</v>
      </c>
      <c r="L809" s="29" t="s">
        <v>816</v>
      </c>
      <c r="R809" s="29" t="s">
        <v>858</v>
      </c>
      <c r="CB809" s="26"/>
      <c r="CC809" s="26"/>
      <c r="CF809" s="8"/>
      <c r="CG809" s="26"/>
      <c r="CH809" s="8"/>
      <c r="CM809" s="8"/>
      <c r="CR809" s="8"/>
      <c r="DZ809" s="258"/>
    </row>
    <row r="810" spans="1:130" x14ac:dyDescent="0.25">
      <c r="A810" s="8" t="s">
        <v>2272</v>
      </c>
      <c r="B810" s="24" t="s">
        <v>1660</v>
      </c>
      <c r="F810" s="198" t="s">
        <v>1700</v>
      </c>
      <c r="G810" s="198" t="s">
        <v>1700</v>
      </c>
      <c r="H810" s="25" t="s">
        <v>1700</v>
      </c>
      <c r="J810" s="27" t="s">
        <v>866</v>
      </c>
      <c r="CB810" s="26"/>
      <c r="CC810" s="26"/>
      <c r="CF810" s="8"/>
      <c r="CG810" s="26"/>
      <c r="CH810" s="8"/>
      <c r="CM810" s="8"/>
      <c r="CR810" s="8"/>
    </row>
    <row r="811" spans="1:130" x14ac:dyDescent="0.25">
      <c r="A811" s="8" t="s">
        <v>1359</v>
      </c>
      <c r="B811" s="24" t="s">
        <v>875</v>
      </c>
      <c r="C811" s="25" t="s">
        <v>1360</v>
      </c>
      <c r="E811" s="26" t="s">
        <v>1762</v>
      </c>
      <c r="F811" s="198" t="s">
        <v>913</v>
      </c>
      <c r="G811" s="198" t="s">
        <v>1700</v>
      </c>
      <c r="H811" s="25" t="s">
        <v>1700</v>
      </c>
      <c r="J811" s="27" t="s">
        <v>866</v>
      </c>
      <c r="X811" s="84" t="s">
        <v>1700</v>
      </c>
      <c r="Y811" s="84" t="s">
        <v>791</v>
      </c>
      <c r="AA811" s="84" t="s">
        <v>1361</v>
      </c>
      <c r="AB811" s="84" t="s">
        <v>126</v>
      </c>
      <c r="CB811" s="26"/>
      <c r="CC811" s="26"/>
      <c r="CF811" s="8"/>
      <c r="CG811" s="26"/>
      <c r="CH811" s="8"/>
      <c r="CM811" s="8"/>
      <c r="CR811" s="8"/>
    </row>
    <row r="812" spans="1:130" x14ac:dyDescent="0.25">
      <c r="A812" s="8" t="s">
        <v>1010</v>
      </c>
      <c r="B812" s="24" t="s">
        <v>779</v>
      </c>
      <c r="F812" s="198" t="s">
        <v>1700</v>
      </c>
      <c r="G812" s="198" t="s">
        <v>1700</v>
      </c>
      <c r="H812" s="25" t="s">
        <v>1700</v>
      </c>
      <c r="I812" s="27" t="s">
        <v>3902</v>
      </c>
      <c r="J812" s="27" t="s">
        <v>866</v>
      </c>
      <c r="K812" s="28" t="s">
        <v>3907</v>
      </c>
      <c r="P812" s="17">
        <v>1</v>
      </c>
      <c r="CB812" s="26"/>
      <c r="CC812" s="26"/>
      <c r="CF812" s="8"/>
      <c r="CG812" s="26"/>
      <c r="CH812" s="8"/>
      <c r="CM812" s="8"/>
      <c r="CR812" s="8"/>
    </row>
    <row r="813" spans="1:130" x14ac:dyDescent="0.25">
      <c r="A813" s="8" t="s">
        <v>2004</v>
      </c>
      <c r="B813" s="24" t="s">
        <v>875</v>
      </c>
      <c r="E813" s="26" t="s">
        <v>1762</v>
      </c>
      <c r="F813" s="198" t="s">
        <v>852</v>
      </c>
      <c r="G813" s="198" t="s">
        <v>1700</v>
      </c>
      <c r="H813" s="25" t="s">
        <v>1700</v>
      </c>
      <c r="I813" s="27" t="s">
        <v>3902</v>
      </c>
      <c r="J813" s="27" t="s">
        <v>866</v>
      </c>
      <c r="K813" s="28" t="s">
        <v>854</v>
      </c>
      <c r="Q813" s="93"/>
      <c r="R813" s="28" t="s">
        <v>854</v>
      </c>
      <c r="S813" s="21"/>
      <c r="T813" s="21"/>
      <c r="U813" s="21"/>
      <c r="V813" s="21"/>
      <c r="CB813" s="26"/>
      <c r="CC813" s="26"/>
      <c r="CF813" s="8"/>
      <c r="CG813" s="26"/>
      <c r="CH813" s="8"/>
      <c r="CM813" s="8"/>
      <c r="CR813" s="8"/>
    </row>
    <row r="814" spans="1:130" ht="13.5" x14ac:dyDescent="0.25">
      <c r="A814" s="8" t="s">
        <v>2004</v>
      </c>
      <c r="B814" s="24" t="s">
        <v>779</v>
      </c>
      <c r="E814" s="26" t="s">
        <v>1762</v>
      </c>
      <c r="F814" s="198" t="s">
        <v>1700</v>
      </c>
      <c r="G814" s="198" t="s">
        <v>1700</v>
      </c>
      <c r="H814" s="25" t="s">
        <v>1700</v>
      </c>
      <c r="J814" s="27" t="s">
        <v>866</v>
      </c>
      <c r="R814" s="29" t="s">
        <v>1763</v>
      </c>
      <c r="CB814" s="26"/>
      <c r="CC814" s="26"/>
      <c r="CF814" s="8"/>
      <c r="CG814" s="26"/>
      <c r="CH814" s="8"/>
      <c r="CM814" s="8"/>
      <c r="CR814" s="8"/>
      <c r="DZ814" s="258"/>
    </row>
    <row r="815" spans="1:130" x14ac:dyDescent="0.25">
      <c r="A815" s="19" t="s">
        <v>1623</v>
      </c>
      <c r="B815" s="12" t="s">
        <v>1428</v>
      </c>
      <c r="C815" s="13" t="s">
        <v>1284</v>
      </c>
      <c r="D815" s="14"/>
      <c r="E815" s="14" t="s">
        <v>1764</v>
      </c>
      <c r="F815" s="199" t="s">
        <v>290</v>
      </c>
      <c r="G815" s="199" t="s">
        <v>2783</v>
      </c>
      <c r="H815" s="13" t="s">
        <v>2820</v>
      </c>
      <c r="I815" s="20" t="s">
        <v>3893</v>
      </c>
      <c r="J815" s="20" t="s">
        <v>866</v>
      </c>
      <c r="K815" s="17" t="s">
        <v>816</v>
      </c>
      <c r="L815" s="21" t="s">
        <v>853</v>
      </c>
      <c r="N815" s="21"/>
      <c r="O815" s="21"/>
      <c r="Q815" s="95"/>
      <c r="R815" s="17" t="s">
        <v>853</v>
      </c>
      <c r="S815" s="21" t="s">
        <v>816</v>
      </c>
      <c r="T815" s="21"/>
      <c r="U815" s="21"/>
      <c r="V815" s="21"/>
      <c r="W815" s="93">
        <v>75</v>
      </c>
      <c r="X815" s="84" t="s">
        <v>1700</v>
      </c>
      <c r="Y815" s="84" t="s">
        <v>246</v>
      </c>
      <c r="AA815" s="84" t="s">
        <v>1295</v>
      </c>
      <c r="AB815" s="84" t="s">
        <v>126</v>
      </c>
      <c r="AC815" s="26">
        <v>42453</v>
      </c>
      <c r="AD815" s="26" t="s">
        <v>853</v>
      </c>
      <c r="AE815" s="8" t="s">
        <v>4773</v>
      </c>
      <c r="AF815" s="8">
        <v>150</v>
      </c>
      <c r="AG815" s="8">
        <v>75</v>
      </c>
      <c r="CB815" s="26">
        <v>41934</v>
      </c>
      <c r="CC815" s="26" t="s">
        <v>853</v>
      </c>
      <c r="CD815" s="8" t="s">
        <v>2867</v>
      </c>
      <c r="CE815" s="8">
        <v>250</v>
      </c>
      <c r="CF815" s="8">
        <v>125</v>
      </c>
      <c r="CG815" s="26"/>
      <c r="CH815" s="8"/>
      <c r="CM815" s="8"/>
      <c r="CR815" s="8"/>
    </row>
    <row r="816" spans="1:130" x14ac:dyDescent="0.25">
      <c r="A816" s="8" t="s">
        <v>1706</v>
      </c>
      <c r="B816" s="24" t="s">
        <v>1707</v>
      </c>
      <c r="E816" s="26" t="s">
        <v>1762</v>
      </c>
      <c r="F816" s="198" t="s">
        <v>549</v>
      </c>
      <c r="G816" s="198" t="s">
        <v>1700</v>
      </c>
      <c r="H816" s="25" t="s">
        <v>1730</v>
      </c>
      <c r="I816" s="27" t="s">
        <v>3903</v>
      </c>
      <c r="J816" s="27" t="s">
        <v>866</v>
      </c>
      <c r="K816" s="28" t="s">
        <v>851</v>
      </c>
      <c r="CB816" s="26"/>
      <c r="CC816" s="26"/>
      <c r="CF816" s="8"/>
      <c r="CG816" s="26"/>
      <c r="CH816" s="8"/>
      <c r="CM816" s="8"/>
      <c r="CR816" s="8"/>
    </row>
    <row r="817" spans="1:130" ht="13.5" x14ac:dyDescent="0.25">
      <c r="A817" s="8" t="s">
        <v>1773</v>
      </c>
      <c r="B817" s="24" t="s">
        <v>332</v>
      </c>
      <c r="C817" s="25" t="s">
        <v>1774</v>
      </c>
      <c r="E817" s="26" t="s">
        <v>1762</v>
      </c>
      <c r="F817" s="198" t="s">
        <v>637</v>
      </c>
      <c r="G817" s="198" t="s">
        <v>1700</v>
      </c>
      <c r="H817" s="25" t="s">
        <v>3500</v>
      </c>
      <c r="J817" s="27" t="s">
        <v>866</v>
      </c>
      <c r="R817" s="29" t="s">
        <v>853</v>
      </c>
      <c r="X817" s="84" t="s">
        <v>1700</v>
      </c>
      <c r="Y817" s="84" t="s">
        <v>258</v>
      </c>
      <c r="AA817" s="84" t="s">
        <v>1775</v>
      </c>
      <c r="AB817" s="84" t="s">
        <v>1749</v>
      </c>
      <c r="CB817" s="26">
        <v>42032</v>
      </c>
      <c r="CC817" s="26" t="s">
        <v>853</v>
      </c>
      <c r="CD817" s="8" t="s">
        <v>3501</v>
      </c>
      <c r="CE817" s="8">
        <v>130</v>
      </c>
      <c r="CF817" s="8">
        <v>65</v>
      </c>
      <c r="CG817" s="26"/>
      <c r="CH817" s="8"/>
      <c r="CM817" s="8"/>
      <c r="CR817" s="8"/>
      <c r="DZ817" s="258"/>
    </row>
    <row r="818" spans="1:130" x14ac:dyDescent="0.25">
      <c r="A818" s="19" t="s">
        <v>1877</v>
      </c>
      <c r="B818" s="12" t="s">
        <v>978</v>
      </c>
      <c r="C818" s="13" t="s">
        <v>553</v>
      </c>
      <c r="D818" s="14">
        <v>23220</v>
      </c>
      <c r="E818" s="14" t="s">
        <v>1762</v>
      </c>
      <c r="F818" s="199" t="s">
        <v>1353</v>
      </c>
      <c r="G818" s="199" t="s">
        <v>1700</v>
      </c>
      <c r="H818" s="13" t="s">
        <v>1700</v>
      </c>
      <c r="I818" s="20"/>
      <c r="J818" s="20" t="s">
        <v>866</v>
      </c>
      <c r="K818" s="17"/>
      <c r="M818" s="21"/>
      <c r="N818" s="21"/>
      <c r="O818" s="21"/>
      <c r="Q818" s="95"/>
      <c r="R818" s="17" t="s">
        <v>855</v>
      </c>
      <c r="S818" s="29"/>
      <c r="T818" s="29"/>
      <c r="U818" s="29"/>
      <c r="V818" s="29"/>
      <c r="X818" s="84" t="s">
        <v>1700</v>
      </c>
      <c r="Y818" s="84" t="s">
        <v>246</v>
      </c>
      <c r="AA818" s="84" t="s">
        <v>1298</v>
      </c>
      <c r="AB818" s="84" t="s">
        <v>126</v>
      </c>
      <c r="CB818" s="26"/>
      <c r="CC818" s="26"/>
      <c r="CF818" s="8"/>
      <c r="CG818" s="26"/>
      <c r="CH818" s="8"/>
      <c r="CM818" s="8"/>
      <c r="CR818" s="8"/>
    </row>
    <row r="819" spans="1:130" x14ac:dyDescent="0.25">
      <c r="A819" s="8" t="s">
        <v>1723</v>
      </c>
      <c r="B819" s="24" t="s">
        <v>915</v>
      </c>
      <c r="F819" s="198" t="s">
        <v>1700</v>
      </c>
      <c r="G819" s="198" t="s">
        <v>1700</v>
      </c>
      <c r="H819" s="25" t="s">
        <v>1700</v>
      </c>
      <c r="I819" s="27" t="s">
        <v>3902</v>
      </c>
      <c r="J819" s="27" t="s">
        <v>866</v>
      </c>
      <c r="K819" s="28" t="s">
        <v>3907</v>
      </c>
      <c r="P819" s="17">
        <v>1</v>
      </c>
      <c r="CB819" s="278"/>
      <c r="CG819" s="278"/>
    </row>
    <row r="820" spans="1:130" x14ac:dyDescent="0.25">
      <c r="A820" s="8" t="s">
        <v>1688</v>
      </c>
      <c r="B820" s="24" t="s">
        <v>322</v>
      </c>
      <c r="C820" s="25" t="s">
        <v>1689</v>
      </c>
      <c r="E820" s="26" t="s">
        <v>1764</v>
      </c>
      <c r="F820" s="198" t="s">
        <v>276</v>
      </c>
      <c r="G820" s="198" t="s">
        <v>1700</v>
      </c>
      <c r="H820" s="25" t="s">
        <v>2657</v>
      </c>
      <c r="J820" s="27" t="s">
        <v>866</v>
      </c>
      <c r="R820" s="29" t="s">
        <v>853</v>
      </c>
      <c r="X820" s="84" t="s">
        <v>1700</v>
      </c>
      <c r="Y820" s="84" t="s">
        <v>195</v>
      </c>
      <c r="AA820" s="84" t="s">
        <v>1690</v>
      </c>
      <c r="AB820" s="84" t="s">
        <v>1691</v>
      </c>
      <c r="CB820" s="26">
        <v>41921</v>
      </c>
      <c r="CC820" s="26" t="s">
        <v>853</v>
      </c>
      <c r="CD820" s="8" t="s">
        <v>2658</v>
      </c>
      <c r="CE820" s="8">
        <v>245</v>
      </c>
      <c r="CF820" s="8">
        <v>123</v>
      </c>
      <c r="CG820" s="26"/>
      <c r="CH820" s="8"/>
      <c r="CM820" s="8"/>
      <c r="CR820" s="8"/>
    </row>
    <row r="821" spans="1:130" ht="13.5" x14ac:dyDescent="0.25">
      <c r="A821" s="8" t="s">
        <v>1128</v>
      </c>
      <c r="B821" s="24" t="s">
        <v>1853</v>
      </c>
      <c r="E821" s="26" t="s">
        <v>1762</v>
      </c>
      <c r="F821" s="198" t="s">
        <v>1700</v>
      </c>
      <c r="G821" s="198" t="s">
        <v>1700</v>
      </c>
      <c r="H821" s="25" t="s">
        <v>1700</v>
      </c>
      <c r="I821" s="27" t="s">
        <v>3902</v>
      </c>
      <c r="J821" s="27" t="s">
        <v>866</v>
      </c>
      <c r="K821" s="28" t="s">
        <v>3907</v>
      </c>
      <c r="P821" s="17">
        <v>1</v>
      </c>
      <c r="R821" s="29" t="s">
        <v>1763</v>
      </c>
      <c r="CB821" s="278"/>
      <c r="CD821" s="279"/>
      <c r="CG821" s="278"/>
      <c r="CH821" s="278"/>
      <c r="CI821" s="279"/>
      <c r="CK821" s="279"/>
      <c r="CL821" s="278"/>
      <c r="CM821" s="278"/>
      <c r="CN821" s="279"/>
      <c r="CP821" s="279"/>
      <c r="CQ821" s="278"/>
      <c r="CR821" s="279"/>
      <c r="CS821" s="279"/>
      <c r="CU821" s="279"/>
      <c r="CV821" s="278"/>
      <c r="CW821" s="279"/>
      <c r="CX821" s="279"/>
      <c r="CZ821" s="279"/>
      <c r="DA821" s="278"/>
      <c r="DB821" s="279"/>
      <c r="DC821" s="279"/>
      <c r="DE821" s="279"/>
      <c r="DF821" s="278"/>
      <c r="DG821" s="279"/>
      <c r="DH821" s="279"/>
      <c r="DJ821" s="279"/>
      <c r="DK821" s="278"/>
      <c r="DL821" s="279"/>
      <c r="DM821" s="279"/>
      <c r="DO821" s="279"/>
      <c r="DP821" s="278"/>
      <c r="DQ821" s="279"/>
      <c r="DR821" s="279"/>
      <c r="DT821" s="279"/>
      <c r="DU821" s="278"/>
      <c r="DV821" s="258"/>
      <c r="DW821" s="258"/>
      <c r="DY821" s="258"/>
    </row>
    <row r="822" spans="1:130" x14ac:dyDescent="0.25">
      <c r="A822" s="8" t="s">
        <v>3614</v>
      </c>
      <c r="B822" s="24" t="s">
        <v>3615</v>
      </c>
      <c r="C822" s="25" t="s">
        <v>3613</v>
      </c>
      <c r="E822" s="26" t="s">
        <v>1762</v>
      </c>
      <c r="F822" s="198" t="s">
        <v>891</v>
      </c>
      <c r="G822" s="198" t="s">
        <v>3573</v>
      </c>
      <c r="H822" s="25" t="s">
        <v>3616</v>
      </c>
      <c r="I822" s="27" t="s">
        <v>3904</v>
      </c>
      <c r="J822" s="27" t="s">
        <v>866</v>
      </c>
      <c r="K822" s="28" t="s">
        <v>816</v>
      </c>
      <c r="L822" s="29" t="s">
        <v>853</v>
      </c>
      <c r="R822" s="29" t="s">
        <v>853</v>
      </c>
      <c r="W822" s="93">
        <v>160</v>
      </c>
      <c r="X822" s="84" t="s">
        <v>1700</v>
      </c>
      <c r="Y822" s="84" t="s">
        <v>319</v>
      </c>
      <c r="AA822" s="84" t="s">
        <v>3617</v>
      </c>
      <c r="AB822" s="84" t="s">
        <v>302</v>
      </c>
      <c r="AC822" s="26">
        <v>42453</v>
      </c>
      <c r="AD822" s="26" t="s">
        <v>853</v>
      </c>
      <c r="AE822" s="8" t="s">
        <v>4772</v>
      </c>
      <c r="AF822" s="8">
        <v>360</v>
      </c>
      <c r="AG822" s="8">
        <v>160</v>
      </c>
      <c r="CB822" s="278">
        <v>42074</v>
      </c>
      <c r="CC822" s="278" t="s">
        <v>853</v>
      </c>
      <c r="CD822" s="8" t="s">
        <v>3618</v>
      </c>
      <c r="CE822" s="8">
        <v>99</v>
      </c>
      <c r="CF822" s="279">
        <v>50</v>
      </c>
      <c r="CG822" s="278">
        <v>42249</v>
      </c>
      <c r="CH822" s="26" t="s">
        <v>853</v>
      </c>
      <c r="CI822" s="8" t="s">
        <v>3883</v>
      </c>
      <c r="CJ822" s="8">
        <v>158</v>
      </c>
      <c r="CK822" s="8">
        <v>79</v>
      </c>
    </row>
    <row r="823" spans="1:130" x14ac:dyDescent="0.25">
      <c r="A823" s="8" t="s">
        <v>2242</v>
      </c>
      <c r="B823" s="24" t="s">
        <v>952</v>
      </c>
      <c r="C823" s="25" t="s">
        <v>2243</v>
      </c>
      <c r="E823" s="26" t="s">
        <v>1762</v>
      </c>
      <c r="F823" s="198" t="s">
        <v>1317</v>
      </c>
      <c r="G823" s="198" t="s">
        <v>1700</v>
      </c>
      <c r="H823" s="25" t="s">
        <v>3067</v>
      </c>
      <c r="I823" s="27" t="s">
        <v>3903</v>
      </c>
      <c r="J823" s="27" t="s">
        <v>866</v>
      </c>
      <c r="K823" s="28" t="s">
        <v>853</v>
      </c>
      <c r="R823" s="29" t="s">
        <v>853</v>
      </c>
      <c r="W823" s="93">
        <v>121</v>
      </c>
      <c r="X823" s="84" t="s">
        <v>1700</v>
      </c>
      <c r="Y823" s="84" t="s">
        <v>791</v>
      </c>
      <c r="AA823" s="84" t="s">
        <v>2244</v>
      </c>
      <c r="AB823" s="84" t="s">
        <v>126</v>
      </c>
      <c r="AC823" s="26">
        <v>42360</v>
      </c>
      <c r="AD823" s="26" t="s">
        <v>853</v>
      </c>
      <c r="AE823" s="8" t="s">
        <v>4536</v>
      </c>
      <c r="AF823" s="8">
        <v>242</v>
      </c>
      <c r="AG823" s="8">
        <v>121</v>
      </c>
      <c r="CB823" s="26">
        <v>41943</v>
      </c>
      <c r="CC823" s="26" t="s">
        <v>853</v>
      </c>
      <c r="CD823" s="8" t="s">
        <v>3068</v>
      </c>
      <c r="CE823" s="8">
        <v>242</v>
      </c>
      <c r="CF823" s="8">
        <v>121</v>
      </c>
      <c r="CG823" s="26"/>
      <c r="CH823" s="8"/>
      <c r="CM823" s="8"/>
      <c r="CR823" s="8"/>
    </row>
    <row r="824" spans="1:130" x14ac:dyDescent="0.25">
      <c r="A824" s="8" t="s">
        <v>1770</v>
      </c>
      <c r="B824" s="24" t="s">
        <v>1645</v>
      </c>
      <c r="C824" s="25" t="s">
        <v>1771</v>
      </c>
      <c r="E824" s="26" t="s">
        <v>1762</v>
      </c>
      <c r="F824" s="198" t="s">
        <v>946</v>
      </c>
      <c r="G824" s="198" t="s">
        <v>1700</v>
      </c>
      <c r="H824" s="25" t="s">
        <v>1700</v>
      </c>
      <c r="J824" s="27" t="s">
        <v>866</v>
      </c>
      <c r="X824" s="84" t="s">
        <v>1700</v>
      </c>
      <c r="Y824" s="84" t="s">
        <v>791</v>
      </c>
      <c r="AA824" s="84" t="s">
        <v>1772</v>
      </c>
      <c r="AB824" s="84" t="s">
        <v>126</v>
      </c>
      <c r="CB824" s="26"/>
      <c r="CC824" s="26"/>
      <c r="CF824" s="8"/>
      <c r="CG824" s="26"/>
      <c r="CH824" s="8"/>
      <c r="CM824" s="8"/>
      <c r="CR824" s="8"/>
    </row>
    <row r="825" spans="1:130" x14ac:dyDescent="0.25">
      <c r="A825" s="8" t="s">
        <v>1663</v>
      </c>
      <c r="B825" s="24" t="s">
        <v>1991</v>
      </c>
      <c r="C825" s="25" t="s">
        <v>1664</v>
      </c>
      <c r="E825" s="26" t="s">
        <v>1764</v>
      </c>
      <c r="F825" s="198" t="s">
        <v>134</v>
      </c>
      <c r="G825" s="198" t="s">
        <v>1700</v>
      </c>
      <c r="H825" s="25" t="s">
        <v>1700</v>
      </c>
      <c r="J825" s="27" t="s">
        <v>866</v>
      </c>
      <c r="R825" s="29" t="s">
        <v>1126</v>
      </c>
      <c r="X825" s="84" t="s">
        <v>1700</v>
      </c>
      <c r="Y825" s="84" t="s">
        <v>649</v>
      </c>
      <c r="AA825" s="84" t="s">
        <v>1665</v>
      </c>
      <c r="AB825" s="84" t="s">
        <v>1825</v>
      </c>
      <c r="CB825" s="26">
        <v>42094</v>
      </c>
      <c r="CC825" s="26" t="s">
        <v>1126</v>
      </c>
      <c r="CD825" s="8" t="s">
        <v>3675</v>
      </c>
      <c r="CE825" s="8">
        <v>40.700000000000003</v>
      </c>
      <c r="CF825" s="8">
        <v>20.350000000000001</v>
      </c>
      <c r="CG825" s="26"/>
      <c r="CH825" s="8"/>
      <c r="CM825" s="8"/>
      <c r="CR825" s="8"/>
    </row>
    <row r="826" spans="1:130" x14ac:dyDescent="0.25">
      <c r="A826" s="8" t="s">
        <v>1956</v>
      </c>
      <c r="B826" s="24" t="s">
        <v>973</v>
      </c>
      <c r="C826" s="25" t="s">
        <v>1955</v>
      </c>
      <c r="E826" s="26" t="s">
        <v>1762</v>
      </c>
      <c r="F826" s="198" t="s">
        <v>963</v>
      </c>
      <c r="G826" s="198" t="s">
        <v>1700</v>
      </c>
      <c r="H826" s="25" t="s">
        <v>4289</v>
      </c>
      <c r="I826" s="27" t="s">
        <v>3902</v>
      </c>
      <c r="J826" s="27" t="s">
        <v>866</v>
      </c>
      <c r="K826" s="28" t="s">
        <v>853</v>
      </c>
      <c r="R826" s="29" t="s">
        <v>853</v>
      </c>
      <c r="W826" s="93">
        <v>37</v>
      </c>
      <c r="X826" s="84" t="s">
        <v>1700</v>
      </c>
      <c r="Y826" s="84" t="s">
        <v>791</v>
      </c>
      <c r="AA826" s="84" t="s">
        <v>303</v>
      </c>
      <c r="AB826" s="84" t="s">
        <v>126</v>
      </c>
      <c r="AC826" s="26">
        <v>42334</v>
      </c>
      <c r="AD826" s="8" t="s">
        <v>853</v>
      </c>
      <c r="AE826" s="8" t="s">
        <v>4290</v>
      </c>
      <c r="AF826" s="8">
        <v>75</v>
      </c>
      <c r="AG826" s="8">
        <v>37</v>
      </c>
      <c r="BV826" s="8"/>
      <c r="CB826" s="26">
        <v>41921</v>
      </c>
      <c r="CC826" s="8" t="s">
        <v>853</v>
      </c>
      <c r="CD826" s="8" t="s">
        <v>2856</v>
      </c>
      <c r="CE826" s="8">
        <v>75</v>
      </c>
      <c r="CF826" s="8">
        <v>38</v>
      </c>
      <c r="CG826" s="26"/>
      <c r="CH826" s="8"/>
      <c r="CM826" s="8"/>
      <c r="CR826" s="8"/>
      <c r="DU826" s="8"/>
    </row>
    <row r="827" spans="1:130" x14ac:dyDescent="0.25">
      <c r="A827" s="8" t="s">
        <v>3850</v>
      </c>
      <c r="B827" s="24" t="s">
        <v>183</v>
      </c>
      <c r="E827" s="26" t="s">
        <v>1762</v>
      </c>
      <c r="F827" s="198" t="s">
        <v>1700</v>
      </c>
      <c r="G827" s="198" t="s">
        <v>1700</v>
      </c>
      <c r="H827" s="25" t="s">
        <v>1700</v>
      </c>
      <c r="J827" s="27" t="s">
        <v>866</v>
      </c>
      <c r="R827" s="29" t="s">
        <v>1973</v>
      </c>
      <c r="CB827" s="278"/>
      <c r="CG827" s="278"/>
    </row>
    <row r="828" spans="1:130" x14ac:dyDescent="0.25">
      <c r="A828" s="8" t="s">
        <v>1188</v>
      </c>
      <c r="B828" s="24" t="s">
        <v>153</v>
      </c>
      <c r="C828" s="25" t="s">
        <v>1189</v>
      </c>
      <c r="E828" s="26" t="s">
        <v>1762</v>
      </c>
      <c r="F828" s="198" t="s">
        <v>932</v>
      </c>
      <c r="G828" s="198" t="s">
        <v>1700</v>
      </c>
      <c r="H828" s="25" t="s">
        <v>2709</v>
      </c>
      <c r="J828" s="27" t="s">
        <v>866</v>
      </c>
      <c r="R828" s="29" t="s">
        <v>853</v>
      </c>
      <c r="X828" s="84" t="s">
        <v>1700</v>
      </c>
      <c r="Y828" s="84" t="s">
        <v>2711</v>
      </c>
      <c r="AA828" s="84" t="s">
        <v>2712</v>
      </c>
      <c r="AB828" s="84" t="s">
        <v>2629</v>
      </c>
      <c r="CB828" s="26">
        <v>41921</v>
      </c>
      <c r="CC828" s="26" t="s">
        <v>853</v>
      </c>
      <c r="CD828" s="8" t="s">
        <v>2710</v>
      </c>
      <c r="CE828" s="8">
        <v>230</v>
      </c>
      <c r="CF828" s="8">
        <v>115</v>
      </c>
      <c r="CG828" s="26"/>
      <c r="CH828" s="8"/>
      <c r="CM828" s="8"/>
      <c r="CR828" s="8"/>
    </row>
    <row r="829" spans="1:130" ht="13.5" x14ac:dyDescent="0.25">
      <c r="A829" s="8" t="s">
        <v>4235</v>
      </c>
      <c r="B829" s="24" t="s">
        <v>1991</v>
      </c>
      <c r="C829" s="25" t="s">
        <v>4234</v>
      </c>
      <c r="E829" s="26" t="s">
        <v>1762</v>
      </c>
      <c r="F829" s="198" t="s">
        <v>913</v>
      </c>
      <c r="G829" s="198" t="s">
        <v>2374</v>
      </c>
      <c r="H829" s="25" t="s">
        <v>4236</v>
      </c>
      <c r="I829" s="27" t="s">
        <v>3902</v>
      </c>
      <c r="J829" s="27" t="s">
        <v>866</v>
      </c>
      <c r="K829" s="28" t="s">
        <v>853</v>
      </c>
      <c r="W829" s="93">
        <v>67</v>
      </c>
      <c r="X829" s="84" t="s">
        <v>1700</v>
      </c>
      <c r="Y829" s="84" t="s">
        <v>2499</v>
      </c>
      <c r="AA829" s="84" t="s">
        <v>4237</v>
      </c>
      <c r="AB829" s="84" t="s">
        <v>126</v>
      </c>
      <c r="AC829" s="26">
        <v>42313</v>
      </c>
      <c r="AD829" s="26" t="s">
        <v>853</v>
      </c>
      <c r="AE829" s="8" t="s">
        <v>4238</v>
      </c>
      <c r="AF829" s="8">
        <v>135</v>
      </c>
      <c r="AG829" s="8">
        <v>67</v>
      </c>
      <c r="CB829" s="278"/>
      <c r="CG829" s="278"/>
      <c r="DZ829" s="258"/>
    </row>
    <row r="830" spans="1:130" ht="13.5" x14ac:dyDescent="0.25">
      <c r="A830" s="8" t="s">
        <v>3984</v>
      </c>
      <c r="B830" s="24" t="s">
        <v>1720</v>
      </c>
      <c r="C830" s="25" t="s">
        <v>3983</v>
      </c>
      <c r="E830" s="26" t="s">
        <v>1762</v>
      </c>
      <c r="F830" s="198" t="s">
        <v>1849</v>
      </c>
      <c r="G830" s="198" t="s">
        <v>1700</v>
      </c>
      <c r="H830" s="25" t="s">
        <v>3985</v>
      </c>
      <c r="I830" s="27" t="s">
        <v>3901</v>
      </c>
      <c r="J830" s="27" t="s">
        <v>866</v>
      </c>
      <c r="K830" s="28" t="s">
        <v>853</v>
      </c>
      <c r="W830" s="93">
        <v>160</v>
      </c>
      <c r="X830" s="84" t="s">
        <v>1700</v>
      </c>
      <c r="Y830" s="84" t="s">
        <v>2499</v>
      </c>
      <c r="AA830" s="84" t="s">
        <v>3986</v>
      </c>
      <c r="AB830" s="84" t="s">
        <v>126</v>
      </c>
      <c r="AC830" s="26">
        <v>42299</v>
      </c>
      <c r="AD830" s="26" t="s">
        <v>853</v>
      </c>
      <c r="AE830" s="8" t="s">
        <v>3987</v>
      </c>
      <c r="AF830" s="8">
        <v>578.79999999999995</v>
      </c>
      <c r="AG830" s="8">
        <v>160</v>
      </c>
      <c r="CB830" s="278"/>
      <c r="CG830" s="278"/>
      <c r="DZ830" s="258"/>
    </row>
    <row r="831" spans="1:130" x14ac:dyDescent="0.25">
      <c r="A831" s="8" t="s">
        <v>1624</v>
      </c>
      <c r="B831" s="24" t="s">
        <v>139</v>
      </c>
      <c r="C831" s="25" t="s">
        <v>907</v>
      </c>
      <c r="E831" s="26" t="s">
        <v>1762</v>
      </c>
      <c r="F831" s="198" t="s">
        <v>884</v>
      </c>
      <c r="G831" s="198" t="s">
        <v>1700</v>
      </c>
      <c r="H831" s="25" t="s">
        <v>2614</v>
      </c>
      <c r="J831" s="27" t="s">
        <v>866</v>
      </c>
      <c r="X831" s="84" t="s">
        <v>1700</v>
      </c>
      <c r="Y831" s="84" t="s">
        <v>246</v>
      </c>
      <c r="AA831" s="84" t="s">
        <v>1301</v>
      </c>
      <c r="AB831" s="84" t="s">
        <v>126</v>
      </c>
      <c r="CB831" s="26"/>
      <c r="CC831" s="26"/>
      <c r="CF831" s="8"/>
      <c r="CG831" s="26"/>
      <c r="CH831" s="8"/>
      <c r="CM831" s="8"/>
      <c r="CR831" s="8"/>
    </row>
    <row r="832" spans="1:130" x14ac:dyDescent="0.25">
      <c r="A832" s="8" t="s">
        <v>4868</v>
      </c>
      <c r="B832" s="24" t="s">
        <v>1471</v>
      </c>
      <c r="F832" s="198" t="s">
        <v>1700</v>
      </c>
      <c r="G832" s="198" t="s">
        <v>1700</v>
      </c>
      <c r="H832" s="25" t="s">
        <v>1700</v>
      </c>
      <c r="I832" s="27" t="s">
        <v>3898</v>
      </c>
      <c r="J832" s="27" t="s">
        <v>866</v>
      </c>
      <c r="K832" s="28" t="s">
        <v>3907</v>
      </c>
      <c r="P832" s="17">
        <v>1</v>
      </c>
      <c r="CB832" s="278"/>
      <c r="CG832" s="278"/>
    </row>
    <row r="833" spans="1:129" x14ac:dyDescent="0.25">
      <c r="A833" s="8" t="s">
        <v>47</v>
      </c>
      <c r="B833" s="24" t="s">
        <v>1620</v>
      </c>
      <c r="C833" s="25" t="s">
        <v>48</v>
      </c>
      <c r="E833" s="26" t="s">
        <v>1762</v>
      </c>
      <c r="F833" s="198" t="s">
        <v>49</v>
      </c>
      <c r="G833" s="198" t="s">
        <v>1700</v>
      </c>
      <c r="H833" s="25" t="s">
        <v>2315</v>
      </c>
      <c r="J833" s="27" t="s">
        <v>866</v>
      </c>
      <c r="X833" s="84" t="s">
        <v>1700</v>
      </c>
      <c r="Y833" s="84" t="s">
        <v>743</v>
      </c>
      <c r="AA833" s="84" t="s">
        <v>50</v>
      </c>
      <c r="AB833" s="84" t="s">
        <v>126</v>
      </c>
      <c r="CB833" s="26"/>
      <c r="CC833" s="26"/>
      <c r="CF833" s="8"/>
      <c r="CG833" s="26"/>
      <c r="CH833" s="8"/>
      <c r="CM833" s="8"/>
      <c r="CR833" s="8"/>
    </row>
    <row r="834" spans="1:129" x14ac:dyDescent="0.25">
      <c r="A834" s="8" t="s">
        <v>2176</v>
      </c>
      <c r="B834" s="24" t="s">
        <v>2177</v>
      </c>
      <c r="C834" s="25" t="s">
        <v>477</v>
      </c>
      <c r="D834" s="26">
        <v>20342</v>
      </c>
      <c r="E834" s="26" t="s">
        <v>1762</v>
      </c>
      <c r="F834" s="198" t="s">
        <v>852</v>
      </c>
      <c r="G834" s="198" t="s">
        <v>1700</v>
      </c>
      <c r="H834" s="25" t="s">
        <v>1700</v>
      </c>
      <c r="I834" s="27" t="s">
        <v>3903</v>
      </c>
      <c r="J834" s="27" t="s">
        <v>866</v>
      </c>
      <c r="K834" s="28" t="s">
        <v>859</v>
      </c>
      <c r="Q834" s="93"/>
      <c r="R834" s="28" t="s">
        <v>857</v>
      </c>
      <c r="S834" s="21"/>
      <c r="T834" s="21"/>
      <c r="U834" s="21"/>
      <c r="V834" s="21"/>
      <c r="W834" s="93">
        <v>250</v>
      </c>
      <c r="X834" s="84" t="s">
        <v>1700</v>
      </c>
      <c r="Y834" s="84" t="s">
        <v>190</v>
      </c>
      <c r="AA834" s="84" t="s">
        <v>4318</v>
      </c>
      <c r="AB834" s="84" t="s">
        <v>670</v>
      </c>
      <c r="AC834" s="26">
        <v>42416</v>
      </c>
      <c r="AD834" s="26" t="s">
        <v>859</v>
      </c>
      <c r="AE834" s="8" t="s">
        <v>4319</v>
      </c>
      <c r="AF834" s="8">
        <v>500</v>
      </c>
      <c r="AG834" s="8">
        <v>250</v>
      </c>
      <c r="CB834" s="26"/>
      <c r="CC834" s="26"/>
      <c r="CF834" s="8"/>
      <c r="CG834" s="26"/>
      <c r="CH834" s="8"/>
      <c r="CM834" s="8"/>
      <c r="CR834" s="8"/>
    </row>
    <row r="835" spans="1:129" x14ac:dyDescent="0.25">
      <c r="A835" s="8" t="s">
        <v>1451</v>
      </c>
      <c r="B835" s="24" t="s">
        <v>876</v>
      </c>
      <c r="C835" s="25" t="s">
        <v>1452</v>
      </c>
      <c r="E835" s="26" t="s">
        <v>1762</v>
      </c>
      <c r="F835" s="198" t="s">
        <v>1992</v>
      </c>
      <c r="G835" s="198" t="s">
        <v>1700</v>
      </c>
      <c r="H835" s="25" t="s">
        <v>1700</v>
      </c>
      <c r="J835" s="27" t="s">
        <v>866</v>
      </c>
      <c r="X835" s="84" t="s">
        <v>1700</v>
      </c>
      <c r="Y835" s="84" t="s">
        <v>277</v>
      </c>
      <c r="AA835" s="84" t="s">
        <v>1454</v>
      </c>
      <c r="AB835" s="84" t="s">
        <v>712</v>
      </c>
      <c r="CB835" s="26"/>
      <c r="CC835" s="26"/>
      <c r="CF835" s="8"/>
      <c r="CG835" s="26"/>
      <c r="CH835" s="8"/>
      <c r="CM835" s="8"/>
      <c r="CR835" s="8"/>
    </row>
    <row r="836" spans="1:129" ht="13.5" x14ac:dyDescent="0.25">
      <c r="A836" s="8" t="s">
        <v>2477</v>
      </c>
      <c r="B836" s="24" t="s">
        <v>864</v>
      </c>
      <c r="F836" s="198" t="s">
        <v>1700</v>
      </c>
      <c r="G836" s="198" t="s">
        <v>1700</v>
      </c>
      <c r="H836" s="25" t="s">
        <v>1700</v>
      </c>
      <c r="J836" s="27" t="s">
        <v>866</v>
      </c>
      <c r="CB836" s="278"/>
      <c r="CD836" s="279"/>
      <c r="CG836" s="278"/>
      <c r="CH836" s="278"/>
      <c r="CI836" s="279"/>
      <c r="CK836" s="279"/>
      <c r="CL836" s="278"/>
      <c r="CM836" s="278"/>
      <c r="CN836" s="279"/>
      <c r="CP836" s="279"/>
      <c r="CQ836" s="278"/>
      <c r="CR836" s="279"/>
      <c r="CS836" s="279"/>
      <c r="CU836" s="279"/>
      <c r="CV836" s="278"/>
      <c r="CW836" s="279"/>
      <c r="CX836" s="279"/>
      <c r="CZ836" s="279"/>
      <c r="DA836" s="278"/>
      <c r="DB836" s="279"/>
      <c r="DC836" s="279"/>
      <c r="DE836" s="279"/>
      <c r="DF836" s="278"/>
      <c r="DG836" s="279"/>
      <c r="DH836" s="279"/>
      <c r="DJ836" s="279"/>
      <c r="DK836" s="278"/>
      <c r="DL836" s="279"/>
      <c r="DM836" s="279"/>
      <c r="DO836" s="279"/>
      <c r="DP836" s="278"/>
      <c r="DQ836" s="279"/>
      <c r="DR836" s="279"/>
      <c r="DT836" s="279"/>
      <c r="DU836" s="278"/>
      <c r="DV836" s="258"/>
      <c r="DW836" s="258"/>
      <c r="DY836" s="258"/>
    </row>
    <row r="837" spans="1:129" x14ac:dyDescent="0.25">
      <c r="A837" s="8" t="s">
        <v>2281</v>
      </c>
      <c r="B837" s="24" t="s">
        <v>1859</v>
      </c>
      <c r="C837" s="25" t="s">
        <v>2282</v>
      </c>
      <c r="D837" s="26">
        <v>19333</v>
      </c>
      <c r="E837" s="26" t="s">
        <v>1762</v>
      </c>
      <c r="F837" s="198" t="s">
        <v>1506</v>
      </c>
      <c r="G837" s="198" t="s">
        <v>1700</v>
      </c>
      <c r="H837" s="25" t="s">
        <v>4593</v>
      </c>
      <c r="I837" s="27" t="s">
        <v>3904</v>
      </c>
      <c r="J837" s="27" t="s">
        <v>866</v>
      </c>
      <c r="K837" s="28" t="s">
        <v>1416</v>
      </c>
      <c r="R837" s="29" t="s">
        <v>1416</v>
      </c>
      <c r="CB837" s="26"/>
      <c r="CC837" s="26"/>
      <c r="CF837" s="8"/>
      <c r="CG837" s="26"/>
      <c r="CH837" s="8"/>
      <c r="CM837" s="8"/>
      <c r="CR837" s="8"/>
    </row>
    <row r="838" spans="1:129" x14ac:dyDescent="0.25">
      <c r="A838" s="8" t="s">
        <v>4054</v>
      </c>
      <c r="B838" s="24" t="s">
        <v>4055</v>
      </c>
      <c r="C838" s="25" t="s">
        <v>4053</v>
      </c>
      <c r="E838" s="26" t="s">
        <v>1762</v>
      </c>
      <c r="F838" s="198" t="s">
        <v>913</v>
      </c>
      <c r="G838" s="198" t="s">
        <v>3129</v>
      </c>
      <c r="H838" s="25" t="s">
        <v>4056</v>
      </c>
      <c r="I838" s="27" t="s">
        <v>3901</v>
      </c>
      <c r="J838" s="27" t="s">
        <v>866</v>
      </c>
      <c r="K838" s="28" t="s">
        <v>853</v>
      </c>
      <c r="W838" s="93">
        <v>82</v>
      </c>
      <c r="X838" s="84" t="s">
        <v>1700</v>
      </c>
      <c r="Y838" s="84" t="s">
        <v>2499</v>
      </c>
      <c r="AA838" s="84" t="s">
        <v>4057</v>
      </c>
      <c r="AB838" s="84" t="s">
        <v>126</v>
      </c>
      <c r="AC838" s="26">
        <v>42311</v>
      </c>
      <c r="AD838" s="26" t="s">
        <v>853</v>
      </c>
      <c r="AE838" s="8" t="s">
        <v>4058</v>
      </c>
      <c r="AF838" s="8">
        <v>164</v>
      </c>
      <c r="AG838" s="8">
        <v>82</v>
      </c>
      <c r="CB838" s="278"/>
      <c r="CG838" s="278"/>
    </row>
    <row r="839" spans="1:129" x14ac:dyDescent="0.25">
      <c r="A839" s="8" t="s">
        <v>915</v>
      </c>
      <c r="B839" s="24" t="s">
        <v>1447</v>
      </c>
      <c r="C839" s="25" t="s">
        <v>1613</v>
      </c>
      <c r="E839" s="26" t="s">
        <v>1762</v>
      </c>
      <c r="F839" s="198" t="s">
        <v>1546</v>
      </c>
      <c r="G839" s="198" t="s">
        <v>1700</v>
      </c>
      <c r="H839" s="25" t="s">
        <v>1700</v>
      </c>
      <c r="I839" s="27" t="s">
        <v>3904</v>
      </c>
      <c r="J839" s="27" t="s">
        <v>866</v>
      </c>
      <c r="K839" s="28" t="s">
        <v>859</v>
      </c>
      <c r="R839" s="29" t="s">
        <v>1972</v>
      </c>
      <c r="S839" s="8" t="s">
        <v>859</v>
      </c>
      <c r="T839" s="8" t="s">
        <v>816</v>
      </c>
      <c r="W839" s="93">
        <v>280</v>
      </c>
      <c r="X839" s="84" t="s">
        <v>1700</v>
      </c>
      <c r="Y839" s="84" t="s">
        <v>1700</v>
      </c>
      <c r="AA839" s="84" t="s">
        <v>673</v>
      </c>
      <c r="AB839" s="84" t="s">
        <v>674</v>
      </c>
      <c r="AC839" s="26">
        <v>42416</v>
      </c>
      <c r="AD839" s="26" t="s">
        <v>859</v>
      </c>
      <c r="AE839" s="8" t="s">
        <v>2231</v>
      </c>
      <c r="AF839" s="8">
        <v>624</v>
      </c>
      <c r="AG839" s="8">
        <v>280</v>
      </c>
      <c r="CB839" s="26">
        <v>41977</v>
      </c>
      <c r="CC839" s="26" t="s">
        <v>859</v>
      </c>
      <c r="CD839" s="8" t="s">
        <v>2231</v>
      </c>
      <c r="CE839" s="8">
        <v>852</v>
      </c>
      <c r="CF839" s="8">
        <v>280</v>
      </c>
      <c r="CG839" s="26"/>
      <c r="CH839" s="8"/>
      <c r="CM839" s="8"/>
      <c r="CR839" s="8"/>
    </row>
    <row r="840" spans="1:129" x14ac:dyDescent="0.25">
      <c r="A840" s="8" t="s">
        <v>615</v>
      </c>
      <c r="B840" s="24" t="s">
        <v>1626</v>
      </c>
      <c r="D840" s="26">
        <v>22089</v>
      </c>
      <c r="E840" s="26" t="s">
        <v>1762</v>
      </c>
      <c r="F840" s="198" t="s">
        <v>616</v>
      </c>
      <c r="G840" s="198" t="s">
        <v>1700</v>
      </c>
      <c r="H840" s="25" t="s">
        <v>617</v>
      </c>
      <c r="J840" s="27" t="s">
        <v>866</v>
      </c>
      <c r="CB840" s="26"/>
      <c r="CC840" s="26"/>
      <c r="CF840" s="8"/>
      <c r="CG840" s="26"/>
      <c r="CH840" s="8"/>
      <c r="CM840" s="8"/>
      <c r="CR840" s="8"/>
    </row>
    <row r="841" spans="1:129" x14ac:dyDescent="0.25">
      <c r="A841" s="8" t="s">
        <v>665</v>
      </c>
      <c r="B841" s="24" t="s">
        <v>2184</v>
      </c>
      <c r="C841" s="25" t="s">
        <v>666</v>
      </c>
      <c r="E841" s="26" t="s">
        <v>1762</v>
      </c>
      <c r="F841" s="198" t="s">
        <v>1700</v>
      </c>
      <c r="G841" s="198" t="s">
        <v>1700</v>
      </c>
      <c r="H841" s="25" t="s">
        <v>1700</v>
      </c>
      <c r="J841" s="27" t="s">
        <v>866</v>
      </c>
      <c r="R841" s="29" t="s">
        <v>859</v>
      </c>
      <c r="X841" s="84" t="s">
        <v>1700</v>
      </c>
      <c r="Y841" s="84" t="s">
        <v>1700</v>
      </c>
      <c r="AA841" s="84" t="s">
        <v>2332</v>
      </c>
      <c r="AB841" s="84" t="s">
        <v>1904</v>
      </c>
      <c r="CB841" s="26">
        <v>42135</v>
      </c>
      <c r="CC841" s="26" t="s">
        <v>859</v>
      </c>
      <c r="CD841" s="8" t="s">
        <v>2237</v>
      </c>
      <c r="CE841" s="8">
        <v>624</v>
      </c>
      <c r="CF841" s="8">
        <v>280</v>
      </c>
      <c r="CG841" s="26"/>
      <c r="CH841" s="8"/>
      <c r="CM841" s="8"/>
      <c r="CR841" s="8"/>
    </row>
    <row r="842" spans="1:129" x14ac:dyDescent="0.25">
      <c r="A842" s="8" t="s">
        <v>1245</v>
      </c>
      <c r="B842" s="24" t="s">
        <v>1246</v>
      </c>
      <c r="C842" s="25" t="s">
        <v>1247</v>
      </c>
      <c r="E842" s="26" t="s">
        <v>1762</v>
      </c>
      <c r="F842" s="198" t="s">
        <v>946</v>
      </c>
      <c r="G842" s="198" t="s">
        <v>2383</v>
      </c>
      <c r="H842" s="25" t="s">
        <v>3549</v>
      </c>
      <c r="I842" s="27" t="s">
        <v>3894</v>
      </c>
      <c r="J842" s="27" t="s">
        <v>866</v>
      </c>
      <c r="K842" s="28" t="s">
        <v>853</v>
      </c>
      <c r="R842" s="29" t="s">
        <v>853</v>
      </c>
      <c r="W842" s="93">
        <v>160</v>
      </c>
      <c r="X842" s="84" t="s">
        <v>1700</v>
      </c>
      <c r="Y842" s="84" t="s">
        <v>649</v>
      </c>
      <c r="AA842" s="84" t="s">
        <v>1248</v>
      </c>
      <c r="AB842" s="84" t="s">
        <v>1152</v>
      </c>
      <c r="AC842" s="26">
        <v>42453</v>
      </c>
      <c r="AD842" s="26" t="s">
        <v>853</v>
      </c>
      <c r="AE842" s="8" t="s">
        <v>4267</v>
      </c>
      <c r="AF842" s="8">
        <v>444</v>
      </c>
      <c r="AG842" s="8">
        <v>160</v>
      </c>
      <c r="CB842" s="26">
        <v>42074</v>
      </c>
      <c r="CC842" s="26" t="s">
        <v>853</v>
      </c>
      <c r="CD842" s="8" t="s">
        <v>2363</v>
      </c>
      <c r="CE842" s="8">
        <v>444</v>
      </c>
      <c r="CF842" s="8">
        <v>160</v>
      </c>
      <c r="CG842" s="26"/>
      <c r="CH842" s="8"/>
      <c r="CM842" s="8"/>
      <c r="CR842" s="8"/>
    </row>
    <row r="843" spans="1:129" x14ac:dyDescent="0.25">
      <c r="A843" s="8" t="s">
        <v>267</v>
      </c>
      <c r="B843" s="24" t="s">
        <v>34</v>
      </c>
      <c r="F843" s="198" t="s">
        <v>1700</v>
      </c>
      <c r="G843" s="198" t="s">
        <v>1700</v>
      </c>
      <c r="H843" s="25" t="s">
        <v>1700</v>
      </c>
      <c r="J843" s="27" t="s">
        <v>866</v>
      </c>
      <c r="R843" s="29" t="s">
        <v>1763</v>
      </c>
      <c r="CB843" s="278"/>
      <c r="CG843" s="278"/>
    </row>
    <row r="844" spans="1:129" x14ac:dyDescent="0.25">
      <c r="A844" s="8" t="s">
        <v>267</v>
      </c>
      <c r="B844" s="24" t="s">
        <v>2641</v>
      </c>
      <c r="C844" s="25" t="s">
        <v>266</v>
      </c>
      <c r="E844" s="26" t="s">
        <v>1762</v>
      </c>
      <c r="F844" s="198" t="s">
        <v>977</v>
      </c>
      <c r="G844" s="198" t="s">
        <v>1700</v>
      </c>
      <c r="H844" s="25" t="s">
        <v>2642</v>
      </c>
      <c r="I844" s="27" t="s">
        <v>3901</v>
      </c>
      <c r="J844" s="27" t="s">
        <v>866</v>
      </c>
      <c r="K844" s="28" t="s">
        <v>853</v>
      </c>
      <c r="Q844" s="93"/>
      <c r="R844" s="28" t="s">
        <v>853</v>
      </c>
      <c r="S844" s="29"/>
      <c r="T844" s="29"/>
      <c r="U844" s="29"/>
      <c r="V844" s="29"/>
      <c r="W844" s="93">
        <v>75</v>
      </c>
      <c r="X844" s="84" t="s">
        <v>1700</v>
      </c>
      <c r="Y844" s="84" t="s">
        <v>246</v>
      </c>
      <c r="AA844" s="84" t="s">
        <v>1302</v>
      </c>
      <c r="AB844" s="84" t="s">
        <v>126</v>
      </c>
      <c r="AC844" s="26">
        <v>42299</v>
      </c>
      <c r="AD844" s="26" t="s">
        <v>853</v>
      </c>
      <c r="AE844" s="8" t="s">
        <v>3982</v>
      </c>
      <c r="AF844" s="8">
        <v>150</v>
      </c>
      <c r="AG844" s="8">
        <v>75</v>
      </c>
      <c r="CB844" s="26">
        <v>41921</v>
      </c>
      <c r="CC844" s="26" t="s">
        <v>853</v>
      </c>
      <c r="CD844" s="8" t="s">
        <v>2633</v>
      </c>
      <c r="CE844" s="8">
        <v>150</v>
      </c>
      <c r="CF844" s="8">
        <v>75</v>
      </c>
      <c r="CG844" s="26"/>
      <c r="CH844" s="8"/>
      <c r="CM844" s="8"/>
      <c r="CR844" s="8"/>
    </row>
    <row r="845" spans="1:129" x14ac:dyDescent="0.25">
      <c r="A845" s="8" t="s">
        <v>1870</v>
      </c>
      <c r="B845" s="24" t="s">
        <v>880</v>
      </c>
      <c r="C845" s="25" t="s">
        <v>1871</v>
      </c>
      <c r="E845" s="26" t="s">
        <v>1762</v>
      </c>
      <c r="F845" s="198" t="s">
        <v>245</v>
      </c>
      <c r="G845" s="198" t="s">
        <v>1700</v>
      </c>
      <c r="H845" s="25" t="s">
        <v>1700</v>
      </c>
      <c r="J845" s="27" t="s">
        <v>866</v>
      </c>
      <c r="X845" s="84" t="s">
        <v>1700</v>
      </c>
      <c r="Y845" s="84" t="s">
        <v>791</v>
      </c>
      <c r="AA845" s="84" t="s">
        <v>1872</v>
      </c>
      <c r="AB845" s="84" t="s">
        <v>126</v>
      </c>
      <c r="CB845" s="26"/>
      <c r="CC845" s="26"/>
      <c r="CF845" s="8"/>
      <c r="CG845" s="26"/>
      <c r="CH845" s="8"/>
      <c r="CM845" s="8"/>
      <c r="CR845" s="8"/>
    </row>
    <row r="846" spans="1:129" x14ac:dyDescent="0.25">
      <c r="A846" s="8" t="s">
        <v>4529</v>
      </c>
      <c r="B846" s="24" t="s">
        <v>4530</v>
      </c>
      <c r="C846" s="25" t="s">
        <v>4528</v>
      </c>
      <c r="E846" s="26" t="s">
        <v>1764</v>
      </c>
      <c r="F846" s="198" t="s">
        <v>946</v>
      </c>
      <c r="G846" s="198" t="s">
        <v>1700</v>
      </c>
      <c r="H846" s="25" t="s">
        <v>4531</v>
      </c>
      <c r="I846" s="27" t="s">
        <v>3903</v>
      </c>
      <c r="J846" s="27" t="s">
        <v>866</v>
      </c>
      <c r="K846" s="28" t="s">
        <v>853</v>
      </c>
      <c r="W846" s="93">
        <v>160</v>
      </c>
      <c r="X846" s="84" t="s">
        <v>1700</v>
      </c>
      <c r="Y846" s="84" t="s">
        <v>4532</v>
      </c>
      <c r="AA846" s="84" t="s">
        <v>4533</v>
      </c>
      <c r="AB846" s="84" t="s">
        <v>1152</v>
      </c>
      <c r="AC846" s="26">
        <v>42360</v>
      </c>
      <c r="AD846" s="26" t="s">
        <v>853</v>
      </c>
      <c r="AE846" s="8" t="s">
        <v>4534</v>
      </c>
      <c r="AF846" s="8">
        <v>475</v>
      </c>
      <c r="AG846" s="8">
        <v>160</v>
      </c>
      <c r="CB846" s="278"/>
      <c r="CG846" s="278"/>
    </row>
    <row r="847" spans="1:129" ht="13.5" x14ac:dyDescent="0.25">
      <c r="A847" s="8" t="s">
        <v>1629</v>
      </c>
      <c r="B847" s="24" t="s">
        <v>1631</v>
      </c>
      <c r="E847" s="26" t="s">
        <v>1762</v>
      </c>
      <c r="F847" s="198" t="s">
        <v>3513</v>
      </c>
      <c r="G847" s="198" t="s">
        <v>1700</v>
      </c>
      <c r="H847" s="25" t="s">
        <v>1700</v>
      </c>
      <c r="I847" s="27" t="s">
        <v>3902</v>
      </c>
      <c r="J847" s="27" t="s">
        <v>866</v>
      </c>
      <c r="K847" s="28" t="s">
        <v>854</v>
      </c>
      <c r="Q847" s="93"/>
      <c r="R847" s="28" t="s">
        <v>854</v>
      </c>
      <c r="S847" s="29"/>
      <c r="T847" s="13"/>
      <c r="U847" s="21"/>
      <c r="V847" s="21"/>
      <c r="CB847" s="278"/>
      <c r="CD847" s="279"/>
      <c r="CG847" s="278"/>
      <c r="CH847" s="278"/>
      <c r="CI847" s="279"/>
      <c r="CK847" s="279"/>
      <c r="CL847" s="278"/>
      <c r="CM847" s="278"/>
      <c r="CN847" s="279"/>
      <c r="CP847" s="279"/>
      <c r="CQ847" s="278"/>
      <c r="CR847" s="279"/>
      <c r="CS847" s="279"/>
      <c r="CU847" s="279"/>
      <c r="CV847" s="278"/>
      <c r="CW847" s="279"/>
      <c r="CX847" s="279"/>
      <c r="CZ847" s="279"/>
      <c r="DA847" s="278"/>
      <c r="DB847" s="279"/>
      <c r="DC847" s="279"/>
      <c r="DE847" s="279"/>
      <c r="DF847" s="278"/>
      <c r="DG847" s="279"/>
      <c r="DH847" s="279"/>
      <c r="DJ847" s="279"/>
      <c r="DK847" s="278"/>
      <c r="DL847" s="279"/>
      <c r="DM847" s="279"/>
      <c r="DO847" s="279"/>
      <c r="DP847" s="278"/>
      <c r="DQ847" s="279"/>
      <c r="DR847" s="279"/>
      <c r="DT847" s="279"/>
      <c r="DU847" s="278"/>
      <c r="DV847" s="258"/>
      <c r="DW847" s="258"/>
      <c r="DY847" s="258"/>
    </row>
    <row r="848" spans="1:129" x14ac:dyDescent="0.25">
      <c r="A848" s="8" t="s">
        <v>3587</v>
      </c>
      <c r="B848" s="24" t="s">
        <v>1655</v>
      </c>
      <c r="F848" s="198" t="s">
        <v>1700</v>
      </c>
      <c r="G848" s="198" t="s">
        <v>1700</v>
      </c>
      <c r="H848" s="25" t="s">
        <v>1700</v>
      </c>
      <c r="J848" s="27" t="s">
        <v>866</v>
      </c>
      <c r="R848" s="29" t="s">
        <v>1763</v>
      </c>
      <c r="CB848" s="278"/>
      <c r="CG848" s="278"/>
    </row>
    <row r="849" spans="1:96" x14ac:dyDescent="0.25">
      <c r="A849" s="8" t="s">
        <v>1264</v>
      </c>
      <c r="B849" s="24" t="s">
        <v>2151</v>
      </c>
      <c r="C849" s="25" t="s">
        <v>1265</v>
      </c>
      <c r="E849" s="26" t="s">
        <v>1762</v>
      </c>
      <c r="F849" s="198" t="s">
        <v>1609</v>
      </c>
      <c r="G849" s="198" t="s">
        <v>1700</v>
      </c>
      <c r="H849" s="25" t="s">
        <v>2788</v>
      </c>
      <c r="I849" s="27" t="s">
        <v>3894</v>
      </c>
      <c r="J849" s="27" t="s">
        <v>866</v>
      </c>
      <c r="K849" s="28" t="s">
        <v>853</v>
      </c>
      <c r="R849" s="29" t="s">
        <v>853</v>
      </c>
      <c r="W849" s="93">
        <v>160</v>
      </c>
      <c r="X849" s="84" t="s">
        <v>1700</v>
      </c>
      <c r="Y849" s="84" t="s">
        <v>2499</v>
      </c>
      <c r="AA849" s="84" t="s">
        <v>2789</v>
      </c>
      <c r="AB849" s="84" t="s">
        <v>126</v>
      </c>
      <c r="AC849" s="26">
        <v>42453</v>
      </c>
      <c r="AD849" s="26" t="s">
        <v>853</v>
      </c>
      <c r="AE849" s="8" t="s">
        <v>4713</v>
      </c>
      <c r="AF849" s="8">
        <v>342</v>
      </c>
      <c r="AG849" s="8">
        <v>160</v>
      </c>
      <c r="CB849" s="26">
        <v>41934</v>
      </c>
      <c r="CC849" s="26" t="s">
        <v>853</v>
      </c>
      <c r="CD849" s="8" t="s">
        <v>2866</v>
      </c>
      <c r="CE849" s="8">
        <v>876</v>
      </c>
      <c r="CF849" s="8">
        <v>160</v>
      </c>
      <c r="CG849" s="26"/>
      <c r="CH849" s="8"/>
      <c r="CM849" s="8"/>
      <c r="CR849" s="8"/>
    </row>
    <row r="850" spans="1:96" x14ac:dyDescent="0.25">
      <c r="A850" s="8" t="s">
        <v>684</v>
      </c>
      <c r="B850" s="24" t="s">
        <v>1822</v>
      </c>
      <c r="C850" s="25" t="s">
        <v>685</v>
      </c>
      <c r="E850" s="26" t="s">
        <v>1762</v>
      </c>
      <c r="F850" s="198" t="s">
        <v>913</v>
      </c>
      <c r="G850" s="198" t="s">
        <v>3129</v>
      </c>
      <c r="H850" s="25" t="s">
        <v>3370</v>
      </c>
      <c r="J850" s="27" t="s">
        <v>866</v>
      </c>
      <c r="R850" s="29" t="s">
        <v>853</v>
      </c>
      <c r="X850" s="84" t="s">
        <v>1700</v>
      </c>
      <c r="Y850" s="84" t="s">
        <v>762</v>
      </c>
      <c r="AA850" s="84" t="s">
        <v>686</v>
      </c>
      <c r="AB850" s="84" t="s">
        <v>687</v>
      </c>
      <c r="CB850" s="26">
        <v>42011</v>
      </c>
      <c r="CC850" s="26" t="s">
        <v>853</v>
      </c>
      <c r="CD850" s="8" t="s">
        <v>3371</v>
      </c>
      <c r="CE850" s="8">
        <v>343</v>
      </c>
      <c r="CF850" s="8">
        <v>160</v>
      </c>
      <c r="CG850" s="26"/>
      <c r="CH850" s="8"/>
      <c r="CM850" s="8"/>
      <c r="CR850" s="8"/>
    </row>
    <row r="851" spans="1:96" x14ac:dyDescent="0.25">
      <c r="A851" s="8" t="s">
        <v>2523</v>
      </c>
      <c r="B851" s="24" t="s">
        <v>196</v>
      </c>
      <c r="C851" s="25" t="s">
        <v>2524</v>
      </c>
      <c r="E851" s="26" t="s">
        <v>1762</v>
      </c>
      <c r="F851" s="198" t="s">
        <v>350</v>
      </c>
      <c r="G851" s="198" t="s">
        <v>1700</v>
      </c>
      <c r="H851" s="25" t="s">
        <v>2525</v>
      </c>
      <c r="J851" s="27" t="s">
        <v>866</v>
      </c>
      <c r="X851" s="84" t="s">
        <v>1700</v>
      </c>
      <c r="Y851" s="84" t="s">
        <v>2499</v>
      </c>
      <c r="AA851" s="84" t="s">
        <v>2526</v>
      </c>
      <c r="AB851" s="84" t="s">
        <v>126</v>
      </c>
      <c r="CB851" s="26"/>
      <c r="CC851" s="26"/>
      <c r="CF851" s="8"/>
      <c r="CG851" s="26"/>
      <c r="CH851" s="8"/>
      <c r="CM851" s="8"/>
      <c r="CR851" s="8"/>
    </row>
    <row r="852" spans="1:96" x14ac:dyDescent="0.25">
      <c r="A852" s="8" t="s">
        <v>4159</v>
      </c>
      <c r="B852" s="24" t="s">
        <v>166</v>
      </c>
      <c r="E852" s="26" t="s">
        <v>1762</v>
      </c>
      <c r="F852" s="198" t="s">
        <v>1700</v>
      </c>
      <c r="G852" s="198" t="s">
        <v>1700</v>
      </c>
      <c r="H852" s="25" t="s">
        <v>1700</v>
      </c>
      <c r="I852" s="27" t="s">
        <v>3902</v>
      </c>
      <c r="J852" s="27" t="s">
        <v>866</v>
      </c>
      <c r="K852" s="28" t="s">
        <v>3906</v>
      </c>
      <c r="CB852" s="278"/>
      <c r="CG852" s="278"/>
    </row>
    <row r="853" spans="1:96" x14ac:dyDescent="0.25">
      <c r="A853" s="8" t="s">
        <v>526</v>
      </c>
      <c r="B853" s="24" t="s">
        <v>1635</v>
      </c>
      <c r="C853" s="25" t="s">
        <v>1796</v>
      </c>
      <c r="E853" s="26" t="s">
        <v>1764</v>
      </c>
      <c r="F853" s="198" t="s">
        <v>1797</v>
      </c>
      <c r="G853" s="198" t="s">
        <v>1700</v>
      </c>
      <c r="H853" s="25" t="s">
        <v>1700</v>
      </c>
      <c r="J853" s="27" t="s">
        <v>866</v>
      </c>
      <c r="X853" s="84" t="s">
        <v>1700</v>
      </c>
      <c r="Y853" s="84" t="s">
        <v>500</v>
      </c>
      <c r="AA853" s="84" t="s">
        <v>1798</v>
      </c>
      <c r="AB853" s="84" t="s">
        <v>221</v>
      </c>
      <c r="CB853" s="26"/>
      <c r="CC853" s="26"/>
      <c r="CF853" s="8"/>
      <c r="CG853" s="26"/>
      <c r="CH853" s="8"/>
      <c r="CM853" s="8"/>
      <c r="CR853" s="8"/>
    </row>
    <row r="854" spans="1:96" x14ac:dyDescent="0.25">
      <c r="A854" s="8" t="s">
        <v>4504</v>
      </c>
      <c r="B854" s="24" t="s">
        <v>4505</v>
      </c>
      <c r="C854" s="25" t="s">
        <v>4503</v>
      </c>
      <c r="E854" s="26" t="s">
        <v>1762</v>
      </c>
      <c r="F854" s="198" t="s">
        <v>916</v>
      </c>
      <c r="G854" s="198" t="s">
        <v>1700</v>
      </c>
      <c r="H854" s="25" t="s">
        <v>4506</v>
      </c>
      <c r="I854" s="27" t="s">
        <v>3903</v>
      </c>
      <c r="J854" s="27" t="s">
        <v>866</v>
      </c>
      <c r="K854" s="28" t="s">
        <v>853</v>
      </c>
      <c r="W854" s="93">
        <v>90</v>
      </c>
      <c r="X854" s="84" t="s">
        <v>1700</v>
      </c>
      <c r="Y854" s="84" t="s">
        <v>2499</v>
      </c>
      <c r="AA854" s="84" t="s">
        <v>4507</v>
      </c>
      <c r="AB854" s="84" t="s">
        <v>126</v>
      </c>
      <c r="AC854" s="26">
        <v>42360</v>
      </c>
      <c r="AD854" s="26" t="s">
        <v>853</v>
      </c>
      <c r="AE854" s="8" t="s">
        <v>4508</v>
      </c>
      <c r="AF854" s="8">
        <v>180</v>
      </c>
      <c r="AG854" s="8">
        <v>90</v>
      </c>
      <c r="CB854" s="278"/>
      <c r="CG854" s="278"/>
    </row>
    <row r="855" spans="1:96" x14ac:dyDescent="0.25">
      <c r="A855" s="8" t="s">
        <v>306</v>
      </c>
      <c r="B855" s="24" t="s">
        <v>934</v>
      </c>
      <c r="E855" s="26" t="s">
        <v>1762</v>
      </c>
      <c r="F855" s="198" t="s">
        <v>1700</v>
      </c>
      <c r="G855" s="198" t="s">
        <v>1700</v>
      </c>
      <c r="H855" s="25" t="s">
        <v>1700</v>
      </c>
      <c r="I855" s="27" t="s">
        <v>3893</v>
      </c>
      <c r="J855" s="27" t="s">
        <v>866</v>
      </c>
      <c r="K855" s="28" t="s">
        <v>816</v>
      </c>
      <c r="Q855" s="93"/>
      <c r="R855" s="28" t="s">
        <v>816</v>
      </c>
      <c r="S855" s="29"/>
      <c r="T855" s="29"/>
      <c r="U855" s="29"/>
      <c r="V855" s="29"/>
      <c r="CB855" s="26"/>
      <c r="CC855" s="26"/>
      <c r="CF855" s="8"/>
      <c r="CG855" s="26"/>
      <c r="CH855" s="8"/>
      <c r="CM855" s="8"/>
      <c r="CR855" s="8"/>
    </row>
    <row r="856" spans="1:96" x14ac:dyDescent="0.25">
      <c r="A856" s="8" t="s">
        <v>306</v>
      </c>
      <c r="B856" s="24" t="s">
        <v>962</v>
      </c>
      <c r="E856" s="26" t="s">
        <v>1762</v>
      </c>
      <c r="F856" s="198" t="s">
        <v>1700</v>
      </c>
      <c r="G856" s="198" t="s">
        <v>1700</v>
      </c>
      <c r="H856" s="25" t="s">
        <v>1700</v>
      </c>
      <c r="I856" s="27" t="s">
        <v>3893</v>
      </c>
      <c r="J856" s="27" t="s">
        <v>866</v>
      </c>
      <c r="K856" s="28" t="s">
        <v>816</v>
      </c>
      <c r="R856" s="29" t="s">
        <v>816</v>
      </c>
      <c r="CB856" s="278"/>
      <c r="CG856" s="278"/>
    </row>
    <row r="857" spans="1:96" x14ac:dyDescent="0.25">
      <c r="A857" s="8" t="s">
        <v>1145</v>
      </c>
      <c r="B857" s="24" t="s">
        <v>933</v>
      </c>
      <c r="C857" s="25" t="s">
        <v>1146</v>
      </c>
      <c r="E857" s="26" t="s">
        <v>1764</v>
      </c>
      <c r="F857" s="198" t="s">
        <v>1201</v>
      </c>
      <c r="G857" s="198" t="s">
        <v>1700</v>
      </c>
      <c r="H857" s="25" t="s">
        <v>4179</v>
      </c>
      <c r="I857" s="27" t="s">
        <v>3902</v>
      </c>
      <c r="J857" s="27" t="s">
        <v>866</v>
      </c>
      <c r="K857" s="28" t="s">
        <v>853</v>
      </c>
      <c r="R857" s="29" t="s">
        <v>853</v>
      </c>
      <c r="W857" s="93">
        <v>90</v>
      </c>
      <c r="X857" s="84" t="s">
        <v>1700</v>
      </c>
      <c r="Y857" s="84" t="s">
        <v>3368</v>
      </c>
      <c r="AA857" s="84" t="s">
        <v>3369</v>
      </c>
      <c r="AB857" s="84" t="s">
        <v>3367</v>
      </c>
      <c r="AC857" s="26">
        <v>42313</v>
      </c>
      <c r="AD857" s="26" t="s">
        <v>853</v>
      </c>
      <c r="AE857" s="8" t="s">
        <v>4180</v>
      </c>
      <c r="AF857" s="8">
        <v>180</v>
      </c>
      <c r="AG857" s="8">
        <v>90</v>
      </c>
      <c r="CB857" s="26">
        <v>42011</v>
      </c>
      <c r="CC857" s="26" t="s">
        <v>853</v>
      </c>
      <c r="CD857" s="8" t="s">
        <v>3366</v>
      </c>
      <c r="CE857" s="8">
        <v>180</v>
      </c>
      <c r="CF857" s="8">
        <v>90</v>
      </c>
      <c r="CG857" s="26"/>
      <c r="CH857" s="8"/>
      <c r="CM857" s="8"/>
      <c r="CR857" s="8"/>
    </row>
    <row r="858" spans="1:96" x14ac:dyDescent="0.25">
      <c r="A858" s="8" t="s">
        <v>2069</v>
      </c>
      <c r="B858" s="24" t="s">
        <v>2167</v>
      </c>
      <c r="C858" s="25" t="s">
        <v>2070</v>
      </c>
      <c r="E858" s="26" t="s">
        <v>1762</v>
      </c>
      <c r="F858" s="198" t="s">
        <v>138</v>
      </c>
      <c r="G858" s="198" t="s">
        <v>1700</v>
      </c>
      <c r="H858" s="25" t="s">
        <v>3122</v>
      </c>
      <c r="I858" s="27" t="s">
        <v>3901</v>
      </c>
      <c r="J858" s="27" t="s">
        <v>866</v>
      </c>
      <c r="K858" s="28" t="s">
        <v>853</v>
      </c>
      <c r="R858" s="29" t="s">
        <v>853</v>
      </c>
      <c r="W858" s="93">
        <v>75</v>
      </c>
      <c r="X858" s="84" t="s">
        <v>1700</v>
      </c>
      <c r="Y858" s="84" t="s">
        <v>791</v>
      </c>
      <c r="AA858" s="84" t="s">
        <v>2071</v>
      </c>
      <c r="AB858" s="84" t="s">
        <v>126</v>
      </c>
      <c r="AC858" s="26">
        <v>42311</v>
      </c>
      <c r="AD858" s="26" t="s">
        <v>853</v>
      </c>
      <c r="AE858" s="8" t="s">
        <v>4131</v>
      </c>
      <c r="AF858" s="8">
        <v>150</v>
      </c>
      <c r="AG858" s="8">
        <v>75</v>
      </c>
      <c r="CB858" s="26">
        <v>41977</v>
      </c>
      <c r="CC858" s="26" t="s">
        <v>853</v>
      </c>
      <c r="CD858" s="8" t="s">
        <v>3123</v>
      </c>
      <c r="CE858" s="8">
        <v>150</v>
      </c>
      <c r="CF858" s="8">
        <v>75</v>
      </c>
      <c r="CG858" s="26"/>
      <c r="CH858" s="8"/>
      <c r="CM858" s="8"/>
      <c r="CR858" s="8"/>
    </row>
    <row r="859" spans="1:96" x14ac:dyDescent="0.25">
      <c r="A859" s="8" t="s">
        <v>4218</v>
      </c>
      <c r="B859" s="24" t="s">
        <v>812</v>
      </c>
      <c r="C859" s="25" t="s">
        <v>4217</v>
      </c>
      <c r="E859" s="26" t="s">
        <v>896</v>
      </c>
      <c r="F859" s="198" t="s">
        <v>896</v>
      </c>
      <c r="G859" s="198" t="s">
        <v>1700</v>
      </c>
      <c r="H859" s="25" t="s">
        <v>4219</v>
      </c>
      <c r="I859" s="27" t="s">
        <v>3902</v>
      </c>
      <c r="J859" s="27" t="s">
        <v>866</v>
      </c>
      <c r="K859" s="28" t="s">
        <v>853</v>
      </c>
      <c r="W859" s="93">
        <v>160</v>
      </c>
      <c r="X859" s="84" t="s">
        <v>1700</v>
      </c>
      <c r="Y859" s="84" t="s">
        <v>2367</v>
      </c>
      <c r="AA859" s="84" t="s">
        <v>4220</v>
      </c>
      <c r="AB859" s="84" t="s">
        <v>221</v>
      </c>
      <c r="AC859" s="26">
        <v>42313</v>
      </c>
      <c r="AD859" s="26" t="s">
        <v>853</v>
      </c>
      <c r="AE859" s="8" t="s">
        <v>4221</v>
      </c>
      <c r="AF859" s="8">
        <v>630</v>
      </c>
      <c r="AG859" s="8">
        <v>160</v>
      </c>
      <c r="CB859" s="278"/>
      <c r="CG859" s="278"/>
    </row>
    <row r="860" spans="1:96" x14ac:dyDescent="0.25">
      <c r="A860" s="8" t="s">
        <v>1016</v>
      </c>
      <c r="B860" s="24" t="s">
        <v>1822</v>
      </c>
      <c r="C860" s="25" t="s">
        <v>2283</v>
      </c>
      <c r="D860" s="26">
        <v>32382</v>
      </c>
      <c r="F860" s="198" t="s">
        <v>1700</v>
      </c>
      <c r="G860" s="198" t="s">
        <v>1700</v>
      </c>
      <c r="H860" s="25" t="s">
        <v>1700</v>
      </c>
      <c r="I860" s="27" t="s">
        <v>3902</v>
      </c>
      <c r="J860" s="27" t="s">
        <v>866</v>
      </c>
      <c r="K860" s="28" t="s">
        <v>3907</v>
      </c>
      <c r="P860" s="17">
        <v>1</v>
      </c>
      <c r="CB860" s="26"/>
      <c r="CC860" s="26"/>
      <c r="CF860" s="8"/>
      <c r="CG860" s="26"/>
      <c r="CH860" s="8"/>
      <c r="CM860" s="8"/>
      <c r="CR860" s="8"/>
    </row>
    <row r="861" spans="1:96" x14ac:dyDescent="0.25">
      <c r="A861" s="8" t="s">
        <v>1163</v>
      </c>
      <c r="B861" s="24" t="s">
        <v>1162</v>
      </c>
      <c r="C861" s="25" t="s">
        <v>1463</v>
      </c>
      <c r="E861" s="26" t="s">
        <v>1762</v>
      </c>
      <c r="F861" s="198" t="s">
        <v>1616</v>
      </c>
      <c r="G861" s="198" t="s">
        <v>1700</v>
      </c>
      <c r="H861" s="25" t="s">
        <v>3526</v>
      </c>
      <c r="J861" s="27" t="s">
        <v>866</v>
      </c>
      <c r="R861" s="29" t="s">
        <v>853</v>
      </c>
      <c r="X861" s="84" t="s">
        <v>1700</v>
      </c>
      <c r="Y861" s="84" t="s">
        <v>282</v>
      </c>
      <c r="AA861" s="84" t="s">
        <v>1464</v>
      </c>
      <c r="AB861" s="84" t="s">
        <v>1465</v>
      </c>
      <c r="CB861" s="26">
        <v>42074</v>
      </c>
      <c r="CC861" s="26" t="s">
        <v>853</v>
      </c>
      <c r="CD861" s="8" t="s">
        <v>3527</v>
      </c>
      <c r="CE861" s="8">
        <v>366</v>
      </c>
      <c r="CF861" s="8">
        <v>160</v>
      </c>
      <c r="CG861" s="26"/>
      <c r="CH861" s="8"/>
      <c r="CM861" s="8"/>
      <c r="CR861" s="8"/>
    </row>
    <row r="862" spans="1:96" x14ac:dyDescent="0.25">
      <c r="A862" s="8" t="s">
        <v>2624</v>
      </c>
      <c r="B862" s="24" t="s">
        <v>481</v>
      </c>
      <c r="C862" s="25" t="s">
        <v>2625</v>
      </c>
      <c r="E862" s="26" t="s">
        <v>1762</v>
      </c>
      <c r="F862" s="198" t="s">
        <v>754</v>
      </c>
      <c r="G862" s="198" t="s">
        <v>1700</v>
      </c>
      <c r="H862" s="25" t="s">
        <v>2626</v>
      </c>
      <c r="J862" s="27" t="s">
        <v>866</v>
      </c>
      <c r="X862" s="84" t="s">
        <v>1700</v>
      </c>
      <c r="Y862" s="84" t="s">
        <v>258</v>
      </c>
      <c r="AA862" s="84" t="s">
        <v>2627</v>
      </c>
      <c r="AB862" s="84" t="s">
        <v>1749</v>
      </c>
      <c r="CB862" s="26"/>
      <c r="CC862" s="26"/>
      <c r="CF862" s="8"/>
      <c r="CG862" s="26"/>
      <c r="CH862" s="8"/>
      <c r="CM862" s="8"/>
      <c r="CR862" s="8"/>
    </row>
    <row r="863" spans="1:96" x14ac:dyDescent="0.25">
      <c r="A863" s="8" t="s">
        <v>4579</v>
      </c>
      <c r="B863" s="24" t="s">
        <v>4580</v>
      </c>
      <c r="C863" s="25" t="s">
        <v>4578</v>
      </c>
      <c r="E863" s="26" t="s">
        <v>1762</v>
      </c>
      <c r="F863" s="198" t="s">
        <v>947</v>
      </c>
      <c r="G863" s="198" t="s">
        <v>1700</v>
      </c>
      <c r="H863" s="25" t="s">
        <v>4581</v>
      </c>
      <c r="I863" s="27" t="s">
        <v>3904</v>
      </c>
      <c r="J863" s="27" t="s">
        <v>866</v>
      </c>
      <c r="K863" s="28" t="s">
        <v>853</v>
      </c>
      <c r="W863" s="93">
        <v>160</v>
      </c>
      <c r="X863" s="84" t="s">
        <v>1700</v>
      </c>
      <c r="Y863" s="84" t="s">
        <v>4582</v>
      </c>
      <c r="AA863" s="84" t="s">
        <v>4583</v>
      </c>
      <c r="AB863" s="84" t="s">
        <v>4584</v>
      </c>
      <c r="AC863" s="26">
        <v>42360</v>
      </c>
      <c r="AD863" s="26" t="s">
        <v>853</v>
      </c>
      <c r="AE863" s="8" t="s">
        <v>4585</v>
      </c>
      <c r="AF863" s="8">
        <v>540</v>
      </c>
      <c r="AG863" s="8">
        <v>160</v>
      </c>
      <c r="CB863" s="278"/>
      <c r="CG863" s="278"/>
    </row>
    <row r="864" spans="1:96" x14ac:dyDescent="0.25">
      <c r="A864" s="8" t="s">
        <v>4337</v>
      </c>
      <c r="B864" s="24" t="s">
        <v>4338</v>
      </c>
      <c r="C864" s="25" t="s">
        <v>4336</v>
      </c>
      <c r="E864" s="26" t="s">
        <v>1764</v>
      </c>
      <c r="F864" s="198" t="s">
        <v>4340</v>
      </c>
      <c r="G864" s="198" t="s">
        <v>1700</v>
      </c>
      <c r="H864" s="25" t="s">
        <v>4339</v>
      </c>
      <c r="I864" s="27" t="s">
        <v>3903</v>
      </c>
      <c r="J864" s="27" t="s">
        <v>866</v>
      </c>
      <c r="K864" s="28" t="s">
        <v>853</v>
      </c>
      <c r="W864" s="93">
        <v>90</v>
      </c>
      <c r="X864" s="84" t="s">
        <v>1700</v>
      </c>
      <c r="Y864" s="84" t="s">
        <v>2921</v>
      </c>
      <c r="AA864" s="84" t="s">
        <v>4342</v>
      </c>
      <c r="AB864" s="84" t="s">
        <v>1387</v>
      </c>
      <c r="AC864" s="26">
        <v>42352</v>
      </c>
      <c r="AD864" s="26" t="s">
        <v>853</v>
      </c>
      <c r="AE864" s="8" t="s">
        <v>4341</v>
      </c>
      <c r="AF864" s="8">
        <v>181</v>
      </c>
      <c r="AG864" s="8">
        <v>90</v>
      </c>
      <c r="CB864" s="278"/>
      <c r="CG864" s="278"/>
    </row>
    <row r="865" spans="1:129" ht="13.5" x14ac:dyDescent="0.25">
      <c r="A865" s="8" t="s">
        <v>1273</v>
      </c>
      <c r="B865" s="24" t="s">
        <v>873</v>
      </c>
      <c r="F865" s="198" t="s">
        <v>1700</v>
      </c>
      <c r="G865" s="198" t="s">
        <v>1700</v>
      </c>
      <c r="H865" s="25" t="s">
        <v>1700</v>
      </c>
      <c r="J865" s="27" t="s">
        <v>866</v>
      </c>
      <c r="R865" s="29" t="s">
        <v>889</v>
      </c>
      <c r="CB865" s="278"/>
      <c r="CD865"/>
      <c r="CG865" s="278"/>
      <c r="CH865" s="278"/>
      <c r="CI865"/>
      <c r="CK865" s="279"/>
      <c r="CL865" s="278"/>
      <c r="CM865" s="278"/>
      <c r="CN865"/>
      <c r="CP865" s="279"/>
      <c r="CQ865"/>
      <c r="CR865"/>
      <c r="CS865"/>
      <c r="CU865"/>
      <c r="CV865"/>
      <c r="CW865"/>
      <c r="CX865"/>
      <c r="CZ865"/>
      <c r="DA865"/>
      <c r="DB865"/>
      <c r="DC865"/>
      <c r="DE865"/>
      <c r="DF865"/>
      <c r="DG865"/>
      <c r="DH865"/>
      <c r="DJ865"/>
      <c r="DK865"/>
      <c r="DL865"/>
      <c r="DM865"/>
      <c r="DO865"/>
      <c r="DP865"/>
      <c r="DQ865"/>
      <c r="DR865"/>
      <c r="DT865"/>
      <c r="DU865"/>
      <c r="DV865"/>
      <c r="DW865"/>
      <c r="DY865"/>
    </row>
    <row r="866" spans="1:129" x14ac:dyDescent="0.25">
      <c r="A866" s="8" t="s">
        <v>1223</v>
      </c>
      <c r="B866" s="24" t="s">
        <v>1224</v>
      </c>
      <c r="C866" s="25" t="s">
        <v>1225</v>
      </c>
      <c r="E866" s="26" t="s">
        <v>1764</v>
      </c>
      <c r="F866" s="198" t="s">
        <v>746</v>
      </c>
      <c r="G866" s="198" t="s">
        <v>1700</v>
      </c>
      <c r="H866" s="25" t="s">
        <v>2701</v>
      </c>
      <c r="J866" s="27" t="s">
        <v>866</v>
      </c>
      <c r="R866" s="29" t="s">
        <v>853</v>
      </c>
      <c r="X866" s="84" t="s">
        <v>1700</v>
      </c>
      <c r="Y866" s="84" t="s">
        <v>500</v>
      </c>
      <c r="AA866" s="84" t="s">
        <v>1226</v>
      </c>
      <c r="AB866" s="84" t="s">
        <v>221</v>
      </c>
      <c r="CB866" s="26">
        <v>41921</v>
      </c>
      <c r="CC866" s="26" t="s">
        <v>853</v>
      </c>
      <c r="CD866" s="8" t="s">
        <v>2702</v>
      </c>
      <c r="CE866" s="8">
        <v>400</v>
      </c>
      <c r="CF866" s="8">
        <v>160</v>
      </c>
      <c r="CG866" s="26"/>
      <c r="CH866" s="8"/>
      <c r="CM866" s="8"/>
      <c r="CR866" s="8"/>
    </row>
    <row r="867" spans="1:129" x14ac:dyDescent="0.25">
      <c r="A867" s="8" t="s">
        <v>2024</v>
      </c>
      <c r="B867" s="24" t="s">
        <v>931</v>
      </c>
      <c r="C867" s="25" t="s">
        <v>2025</v>
      </c>
      <c r="E867" s="26" t="s">
        <v>1762</v>
      </c>
      <c r="F867" s="198" t="s">
        <v>867</v>
      </c>
      <c r="G867" s="198" t="s">
        <v>2926</v>
      </c>
      <c r="H867" s="25" t="s">
        <v>4258</v>
      </c>
      <c r="I867" s="27" t="s">
        <v>3902</v>
      </c>
      <c r="J867" s="27" t="s">
        <v>866</v>
      </c>
      <c r="K867" s="28" t="s">
        <v>853</v>
      </c>
      <c r="R867" s="29" t="s">
        <v>853</v>
      </c>
      <c r="W867" s="93">
        <v>60</v>
      </c>
      <c r="X867" s="84" t="s">
        <v>1700</v>
      </c>
      <c r="Y867" s="84" t="s">
        <v>2499</v>
      </c>
      <c r="AA867" s="84" t="s">
        <v>2026</v>
      </c>
      <c r="AB867" s="84" t="s">
        <v>126</v>
      </c>
      <c r="AC867" s="26">
        <v>42334</v>
      </c>
      <c r="AD867" s="26" t="s">
        <v>853</v>
      </c>
      <c r="AE867" s="8" t="s">
        <v>4259</v>
      </c>
      <c r="AF867" s="8">
        <v>120</v>
      </c>
      <c r="AG867" s="8">
        <v>60</v>
      </c>
      <c r="CB867" s="26">
        <v>41934</v>
      </c>
      <c r="CC867" s="26" t="s">
        <v>853</v>
      </c>
      <c r="CD867" s="8" t="s">
        <v>2927</v>
      </c>
      <c r="CE867" s="8">
        <v>120</v>
      </c>
      <c r="CF867" s="8">
        <v>60</v>
      </c>
      <c r="CG867" s="26"/>
      <c r="CH867" s="8"/>
      <c r="CM867" s="8"/>
      <c r="CR867" s="8"/>
    </row>
    <row r="868" spans="1:129" ht="13.5" x14ac:dyDescent="0.25">
      <c r="A868" s="8" t="s">
        <v>902</v>
      </c>
      <c r="B868" s="24" t="s">
        <v>903</v>
      </c>
      <c r="E868" s="26" t="s">
        <v>1762</v>
      </c>
      <c r="F868" s="198" t="s">
        <v>852</v>
      </c>
      <c r="G868" s="198" t="s">
        <v>1700</v>
      </c>
      <c r="H868" s="25" t="s">
        <v>1700</v>
      </c>
      <c r="J868" s="27" t="s">
        <v>866</v>
      </c>
      <c r="CB868" s="278"/>
      <c r="CD868" s="279"/>
      <c r="CG868" s="278"/>
      <c r="CH868" s="278"/>
      <c r="CI868" s="279"/>
      <c r="CK868" s="279"/>
      <c r="CL868" s="278"/>
      <c r="CM868" s="278"/>
      <c r="CN868" s="279"/>
      <c r="CP868" s="279"/>
      <c r="CQ868" s="278"/>
      <c r="CR868" s="279"/>
      <c r="CS868" s="279"/>
      <c r="CU868" s="279"/>
      <c r="CV868" s="278"/>
      <c r="CW868" s="279"/>
      <c r="CX868" s="279"/>
      <c r="CZ868" s="279"/>
      <c r="DA868" s="278"/>
      <c r="DB868" s="279"/>
      <c r="DC868" s="279"/>
      <c r="DE868" s="279"/>
      <c r="DF868" s="278"/>
      <c r="DG868" s="279"/>
      <c r="DH868" s="279"/>
      <c r="DJ868" s="279"/>
      <c r="DK868" s="278"/>
      <c r="DL868" s="279"/>
      <c r="DM868" s="279"/>
      <c r="DO868" s="279"/>
      <c r="DP868" s="278"/>
      <c r="DQ868" s="279"/>
      <c r="DR868" s="279"/>
      <c r="DT868" s="279"/>
      <c r="DU868" s="279"/>
      <c r="DV868" s="258"/>
      <c r="DW868" s="258"/>
      <c r="DY868" s="258"/>
    </row>
    <row r="869" spans="1:129" x14ac:dyDescent="0.25">
      <c r="A869" s="8" t="s">
        <v>4101</v>
      </c>
      <c r="B869" s="24" t="s">
        <v>4100</v>
      </c>
      <c r="C869" s="25" t="s">
        <v>4102</v>
      </c>
      <c r="E869" s="26" t="s">
        <v>896</v>
      </c>
      <c r="F869" s="198" t="s">
        <v>1700</v>
      </c>
      <c r="G869" s="198" t="s">
        <v>1700</v>
      </c>
      <c r="H869" s="25" t="s">
        <v>1700</v>
      </c>
      <c r="I869" s="27" t="s">
        <v>3902</v>
      </c>
      <c r="J869" s="27" t="s">
        <v>866</v>
      </c>
      <c r="K869" s="28" t="s">
        <v>859</v>
      </c>
      <c r="W869" s="93">
        <v>250</v>
      </c>
      <c r="X869" s="84" t="s">
        <v>1700</v>
      </c>
      <c r="Y869" s="84" t="s">
        <v>4103</v>
      </c>
      <c r="AA869" s="84" t="s">
        <v>4104</v>
      </c>
      <c r="AB869" s="84" t="s">
        <v>1749</v>
      </c>
      <c r="AC869" s="26">
        <v>42313</v>
      </c>
      <c r="AD869" s="26" t="s">
        <v>859</v>
      </c>
      <c r="AE869" s="8" t="s">
        <v>4105</v>
      </c>
      <c r="AF869" s="8">
        <v>500</v>
      </c>
      <c r="AG869" s="8">
        <v>250</v>
      </c>
      <c r="CB869" s="278"/>
      <c r="CG869" s="278"/>
    </row>
    <row r="870" spans="1:129" x14ac:dyDescent="0.25">
      <c r="A870" s="8" t="s">
        <v>4600</v>
      </c>
      <c r="B870" s="24" t="s">
        <v>1632</v>
      </c>
      <c r="C870" s="25" t="s">
        <v>1633</v>
      </c>
      <c r="E870" s="26" t="s">
        <v>1762</v>
      </c>
      <c r="F870" s="198" t="s">
        <v>927</v>
      </c>
      <c r="G870" s="198" t="s">
        <v>1700</v>
      </c>
      <c r="H870" s="25" t="s">
        <v>1700</v>
      </c>
      <c r="I870" s="27" t="s">
        <v>3903</v>
      </c>
      <c r="J870" s="27" t="s">
        <v>866</v>
      </c>
      <c r="K870" s="28" t="s">
        <v>385</v>
      </c>
      <c r="CB870" s="278"/>
      <c r="CG870" s="278"/>
    </row>
    <row r="871" spans="1:129" x14ac:dyDescent="0.25">
      <c r="A871" s="8" t="s">
        <v>1805</v>
      </c>
      <c r="B871" s="24" t="s">
        <v>1806</v>
      </c>
      <c r="C871" s="25" t="s">
        <v>1807</v>
      </c>
      <c r="E871" s="26" t="s">
        <v>1762</v>
      </c>
      <c r="F871" s="198" t="s">
        <v>913</v>
      </c>
      <c r="G871" s="198" t="s">
        <v>3406</v>
      </c>
      <c r="H871" s="25" t="s">
        <v>3576</v>
      </c>
      <c r="I871" s="27" t="s">
        <v>3904</v>
      </c>
      <c r="J871" s="27" t="s">
        <v>866</v>
      </c>
      <c r="K871" s="28" t="s">
        <v>853</v>
      </c>
      <c r="R871" s="29" t="s">
        <v>853</v>
      </c>
      <c r="W871" s="93">
        <v>95</v>
      </c>
      <c r="X871" s="84" t="s">
        <v>1700</v>
      </c>
      <c r="Y871" s="84" t="s">
        <v>649</v>
      </c>
      <c r="AA871" s="84" t="s">
        <v>1808</v>
      </c>
      <c r="AB871" s="84" t="s">
        <v>1152</v>
      </c>
      <c r="AC871" s="26">
        <v>42360</v>
      </c>
      <c r="AD871" s="26" t="s">
        <v>853</v>
      </c>
      <c r="AE871" s="8" t="s">
        <v>4538</v>
      </c>
      <c r="AF871" s="8">
        <v>190</v>
      </c>
      <c r="AG871" s="8">
        <v>95</v>
      </c>
      <c r="CB871" s="26">
        <v>42074</v>
      </c>
      <c r="CC871" s="26" t="s">
        <v>853</v>
      </c>
      <c r="CD871" s="8" t="s">
        <v>3577</v>
      </c>
      <c r="CE871" s="8">
        <v>185</v>
      </c>
      <c r="CF871" s="8">
        <v>93</v>
      </c>
      <c r="CG871" s="26">
        <v>42074</v>
      </c>
      <c r="CH871" s="8" t="s">
        <v>853</v>
      </c>
      <c r="CI871" s="8" t="s">
        <v>3578</v>
      </c>
      <c r="CJ871" s="8">
        <v>80</v>
      </c>
      <c r="CK871" s="8">
        <v>40</v>
      </c>
      <c r="CM871" s="8"/>
      <c r="CR871" s="8"/>
    </row>
    <row r="872" spans="1:129" x14ac:dyDescent="0.25">
      <c r="A872" s="8" t="s">
        <v>1805</v>
      </c>
      <c r="B872" s="24" t="s">
        <v>4453</v>
      </c>
      <c r="C872" s="25" t="s">
        <v>4454</v>
      </c>
      <c r="E872" s="26" t="s">
        <v>1762</v>
      </c>
      <c r="F872" s="198" t="s">
        <v>913</v>
      </c>
      <c r="G872" s="198" t="s">
        <v>2374</v>
      </c>
      <c r="H872" s="25" t="s">
        <v>4455</v>
      </c>
      <c r="I872" s="27" t="s">
        <v>3903</v>
      </c>
      <c r="J872" s="27" t="s">
        <v>866</v>
      </c>
      <c r="K872" s="28" t="s">
        <v>853</v>
      </c>
      <c r="W872" s="93">
        <v>160</v>
      </c>
      <c r="X872" s="84" t="s">
        <v>1700</v>
      </c>
      <c r="Y872" s="84" t="s">
        <v>2499</v>
      </c>
      <c r="AA872" s="84" t="s">
        <v>4456</v>
      </c>
      <c r="AB872" s="84" t="s">
        <v>126</v>
      </c>
      <c r="AC872" s="26">
        <v>42360</v>
      </c>
      <c r="AD872" s="26" t="s">
        <v>853</v>
      </c>
      <c r="AE872" s="8" t="s">
        <v>4457</v>
      </c>
      <c r="AF872" s="8">
        <v>568</v>
      </c>
      <c r="AG872" s="8">
        <v>160</v>
      </c>
      <c r="CB872" s="278"/>
      <c r="CG872" s="278"/>
    </row>
    <row r="873" spans="1:129" x14ac:dyDescent="0.25">
      <c r="A873" s="8" t="s">
        <v>3851</v>
      </c>
      <c r="B873" s="24" t="s">
        <v>779</v>
      </c>
      <c r="E873" s="26" t="s">
        <v>1762</v>
      </c>
      <c r="F873" s="198" t="s">
        <v>1700</v>
      </c>
      <c r="G873" s="198" t="s">
        <v>1700</v>
      </c>
      <c r="H873" s="25" t="s">
        <v>1700</v>
      </c>
      <c r="J873" s="27" t="s">
        <v>866</v>
      </c>
      <c r="R873" s="29" t="s">
        <v>1973</v>
      </c>
      <c r="CB873" s="278"/>
      <c r="CG873" s="278"/>
    </row>
    <row r="874" spans="1:129" x14ac:dyDescent="0.25">
      <c r="A874" s="8" t="s">
        <v>391</v>
      </c>
      <c r="B874" s="24" t="s">
        <v>978</v>
      </c>
      <c r="C874" s="25" t="s">
        <v>393</v>
      </c>
      <c r="D874" s="26">
        <v>31379</v>
      </c>
      <c r="E874" s="26" t="s">
        <v>1762</v>
      </c>
      <c r="F874" s="198" t="s">
        <v>396</v>
      </c>
      <c r="G874" s="198" t="s">
        <v>394</v>
      </c>
      <c r="H874" s="25" t="s">
        <v>395</v>
      </c>
      <c r="I874" s="27" t="s">
        <v>3904</v>
      </c>
      <c r="J874" s="27" t="s">
        <v>866</v>
      </c>
      <c r="K874" s="28" t="s">
        <v>3907</v>
      </c>
      <c r="L874" s="29" t="s">
        <v>816</v>
      </c>
      <c r="P874" s="17">
        <v>1</v>
      </c>
      <c r="Q874" s="93"/>
      <c r="R874" s="28" t="s">
        <v>816</v>
      </c>
      <c r="S874" s="29"/>
      <c r="T874" s="29"/>
      <c r="U874" s="29"/>
      <c r="V874" s="29"/>
      <c r="CB874" s="26"/>
      <c r="CC874" s="26"/>
      <c r="CF874" s="8"/>
      <c r="CG874" s="26"/>
      <c r="CH874" s="8"/>
      <c r="CM874" s="8"/>
      <c r="CR874" s="8"/>
    </row>
    <row r="875" spans="1:129" x14ac:dyDescent="0.25">
      <c r="A875" s="8" t="s">
        <v>482</v>
      </c>
      <c r="B875" s="24" t="s">
        <v>481</v>
      </c>
      <c r="C875" s="25" t="s">
        <v>483</v>
      </c>
      <c r="E875" s="26" t="s">
        <v>1762</v>
      </c>
      <c r="F875" s="198" t="s">
        <v>948</v>
      </c>
      <c r="G875" s="198" t="s">
        <v>1700</v>
      </c>
      <c r="H875" s="25" t="s">
        <v>2801</v>
      </c>
      <c r="J875" s="27" t="s">
        <v>866</v>
      </c>
      <c r="R875" s="29" t="s">
        <v>853</v>
      </c>
      <c r="X875" s="84" t="s">
        <v>1700</v>
      </c>
      <c r="Y875" s="84" t="s">
        <v>195</v>
      </c>
      <c r="AA875" s="84" t="s">
        <v>484</v>
      </c>
      <c r="AB875" s="84" t="s">
        <v>988</v>
      </c>
      <c r="AD875" s="8"/>
      <c r="BV875" s="8"/>
      <c r="CB875" s="26">
        <v>41921</v>
      </c>
      <c r="CC875" s="8" t="s">
        <v>853</v>
      </c>
      <c r="CD875" s="8" t="s">
        <v>2802</v>
      </c>
      <c r="CE875" s="8">
        <v>77</v>
      </c>
      <c r="CF875" s="8">
        <v>39</v>
      </c>
      <c r="CG875" s="26"/>
      <c r="CH875" s="8"/>
      <c r="CM875" s="8"/>
      <c r="CR875" s="8"/>
      <c r="DU875" s="8"/>
    </row>
    <row r="876" spans="1:129" x14ac:dyDescent="0.25">
      <c r="A876" s="8" t="s">
        <v>695</v>
      </c>
      <c r="B876" s="24" t="s">
        <v>696</v>
      </c>
      <c r="C876" s="25" t="s">
        <v>697</v>
      </c>
      <c r="E876" s="26" t="s">
        <v>1762</v>
      </c>
      <c r="F876" s="198" t="s">
        <v>1326</v>
      </c>
      <c r="G876" s="198" t="s">
        <v>1700</v>
      </c>
      <c r="H876" s="25" t="s">
        <v>3517</v>
      </c>
      <c r="I876" s="27" t="s">
        <v>3901</v>
      </c>
      <c r="J876" s="27" t="s">
        <v>866</v>
      </c>
      <c r="K876" s="28" t="s">
        <v>853</v>
      </c>
      <c r="R876" s="29" t="s">
        <v>853</v>
      </c>
      <c r="W876" s="93">
        <v>115</v>
      </c>
      <c r="X876" s="84" t="s">
        <v>1700</v>
      </c>
      <c r="Y876" s="84" t="s">
        <v>282</v>
      </c>
      <c r="AA876" s="84" t="s">
        <v>226</v>
      </c>
      <c r="AB876" s="84" t="s">
        <v>2072</v>
      </c>
      <c r="AC876" s="26">
        <v>42311</v>
      </c>
      <c r="AD876" s="26" t="s">
        <v>853</v>
      </c>
      <c r="AE876" s="8" t="s">
        <v>4075</v>
      </c>
      <c r="AF876" s="8">
        <v>230</v>
      </c>
      <c r="AG876" s="8">
        <v>115</v>
      </c>
      <c r="CB876" s="26">
        <v>42074</v>
      </c>
      <c r="CC876" s="26" t="s">
        <v>853</v>
      </c>
      <c r="CD876" s="8" t="s">
        <v>3518</v>
      </c>
      <c r="CE876" s="8">
        <v>282.82</v>
      </c>
      <c r="CF876" s="8">
        <v>141</v>
      </c>
      <c r="CG876" s="26"/>
      <c r="CH876" s="8"/>
      <c r="CM876" s="8"/>
      <c r="CR876" s="8"/>
    </row>
    <row r="877" spans="1:129" x14ac:dyDescent="0.25">
      <c r="A877" s="8" t="s">
        <v>1943</v>
      </c>
      <c r="B877" s="24" t="s">
        <v>966</v>
      </c>
      <c r="C877" s="25" t="s">
        <v>1944</v>
      </c>
      <c r="E877" s="26" t="s">
        <v>1762</v>
      </c>
      <c r="F877" s="198" t="s">
        <v>1326</v>
      </c>
      <c r="G877" s="198" t="s">
        <v>1558</v>
      </c>
      <c r="H877" s="25" t="s">
        <v>2786</v>
      </c>
      <c r="I877" s="27" t="s">
        <v>3902</v>
      </c>
      <c r="J877" s="27" t="s">
        <v>866</v>
      </c>
      <c r="K877" s="28" t="s">
        <v>853</v>
      </c>
      <c r="R877" s="29" t="s">
        <v>853</v>
      </c>
      <c r="W877" s="93">
        <v>105</v>
      </c>
      <c r="X877" s="84" t="s">
        <v>1700</v>
      </c>
      <c r="Y877" s="84" t="s">
        <v>791</v>
      </c>
      <c r="AA877" s="84" t="s">
        <v>2228</v>
      </c>
      <c r="AB877" s="84" t="s">
        <v>126</v>
      </c>
      <c r="AC877" s="26">
        <v>42313</v>
      </c>
      <c r="AD877" s="8" t="s">
        <v>853</v>
      </c>
      <c r="AE877" s="8" t="s">
        <v>4194</v>
      </c>
      <c r="AF877" s="8">
        <v>220</v>
      </c>
      <c r="AG877" s="8">
        <v>105</v>
      </c>
      <c r="BV877" s="8"/>
      <c r="CB877" s="26">
        <v>41921</v>
      </c>
      <c r="CC877" s="8" t="s">
        <v>853</v>
      </c>
      <c r="CD877" s="8" t="s">
        <v>2787</v>
      </c>
      <c r="CE877" s="8">
        <v>310</v>
      </c>
      <c r="CF877" s="8">
        <v>155</v>
      </c>
      <c r="CG877" s="26"/>
      <c r="CH877" s="8"/>
      <c r="CM877" s="8"/>
      <c r="CR877" s="8"/>
      <c r="DU877" s="8"/>
    </row>
    <row r="878" spans="1:129" ht="13.5" x14ac:dyDescent="0.25">
      <c r="A878" s="8" t="s">
        <v>370</v>
      </c>
      <c r="B878" s="24" t="s">
        <v>371</v>
      </c>
      <c r="F878" s="198" t="s">
        <v>1700</v>
      </c>
      <c r="G878" s="198" t="s">
        <v>1700</v>
      </c>
      <c r="H878" s="25" t="s">
        <v>1700</v>
      </c>
      <c r="J878" s="27" t="s">
        <v>866</v>
      </c>
      <c r="CB878" s="278"/>
      <c r="CD878"/>
      <c r="CG878" s="278"/>
      <c r="CH878" s="278"/>
      <c r="CI878"/>
      <c r="CK878" s="279"/>
      <c r="CL878" s="278"/>
      <c r="CM878" s="278"/>
      <c r="CN878"/>
      <c r="CP878" s="279"/>
      <c r="CQ878"/>
      <c r="CR878"/>
      <c r="CS878"/>
      <c r="CU878"/>
      <c r="CV878"/>
      <c r="CW878"/>
      <c r="CX878"/>
      <c r="CZ878"/>
      <c r="DA878"/>
      <c r="DB878"/>
      <c r="DC878"/>
      <c r="DE878"/>
      <c r="DF878"/>
      <c r="DG878"/>
      <c r="DH878"/>
      <c r="DJ878"/>
      <c r="DK878"/>
      <c r="DL878"/>
      <c r="DM878"/>
      <c r="DO878"/>
      <c r="DP878"/>
      <c r="DQ878"/>
      <c r="DR878"/>
      <c r="DT878"/>
      <c r="DU878"/>
      <c r="DV878"/>
      <c r="DW878"/>
      <c r="DY878"/>
    </row>
    <row r="879" spans="1:129" x14ac:dyDescent="0.25">
      <c r="A879" s="8" t="s">
        <v>1634</v>
      </c>
      <c r="B879" s="24" t="s">
        <v>956</v>
      </c>
      <c r="D879" s="26">
        <v>22258</v>
      </c>
      <c r="E879" s="26" t="s">
        <v>1764</v>
      </c>
      <c r="F879" s="198" t="s">
        <v>1776</v>
      </c>
      <c r="G879" s="198" t="s">
        <v>1700</v>
      </c>
      <c r="H879" s="25" t="s">
        <v>1700</v>
      </c>
      <c r="J879" s="27" t="s">
        <v>866</v>
      </c>
      <c r="Q879" s="93"/>
      <c r="R879" s="28" t="s">
        <v>817</v>
      </c>
      <c r="S879" s="29"/>
      <c r="T879" s="29"/>
      <c r="U879" s="29"/>
      <c r="V879" s="29"/>
      <c r="CB879" s="26"/>
      <c r="CC879" s="26"/>
      <c r="CF879" s="8"/>
      <c r="CG879" s="26"/>
      <c r="CH879" s="8"/>
      <c r="CM879" s="8"/>
      <c r="CR879" s="8"/>
    </row>
    <row r="880" spans="1:129" ht="13.5" x14ac:dyDescent="0.25">
      <c r="A880" s="8" t="s">
        <v>1634</v>
      </c>
      <c r="B880" s="24" t="s">
        <v>861</v>
      </c>
      <c r="D880" s="26">
        <v>21226</v>
      </c>
      <c r="E880" s="26" t="s">
        <v>877</v>
      </c>
      <c r="F880" s="198" t="s">
        <v>1700</v>
      </c>
      <c r="G880" s="198" t="s">
        <v>1700</v>
      </c>
      <c r="H880" s="25" t="s">
        <v>1700</v>
      </c>
      <c r="J880" s="27" t="s">
        <v>866</v>
      </c>
      <c r="R880" s="29" t="s">
        <v>817</v>
      </c>
      <c r="CB880" s="278"/>
      <c r="CD880" s="279"/>
      <c r="CG880" s="278"/>
      <c r="CH880" s="278"/>
      <c r="CI880" s="279"/>
      <c r="CK880" s="279"/>
      <c r="CL880" s="278"/>
      <c r="CM880" s="278"/>
      <c r="CN880" s="279"/>
      <c r="CP880" s="279"/>
      <c r="CQ880" s="278"/>
      <c r="CR880" s="279"/>
      <c r="CS880" s="279"/>
      <c r="CU880" s="279"/>
      <c r="CV880" s="278"/>
      <c r="CW880" s="279"/>
      <c r="CX880" s="279"/>
      <c r="CZ880" s="279"/>
      <c r="DA880" s="278"/>
      <c r="DB880" s="279"/>
      <c r="DC880" s="279"/>
      <c r="DE880" s="279"/>
      <c r="DF880" s="278"/>
      <c r="DG880" s="279"/>
      <c r="DH880" s="279"/>
      <c r="DJ880" s="279"/>
      <c r="DK880" s="278"/>
      <c r="DL880" s="279"/>
      <c r="DM880" s="279"/>
      <c r="DO880" s="279"/>
      <c r="DP880" s="278"/>
      <c r="DQ880" s="279"/>
      <c r="DR880" s="279"/>
      <c r="DT880" s="279"/>
      <c r="DU880" s="278"/>
      <c r="DV880" s="258"/>
      <c r="DW880" s="258"/>
      <c r="DY880" s="258"/>
    </row>
    <row r="881" spans="1:137" x14ac:dyDescent="0.25">
      <c r="A881" s="8" t="s">
        <v>238</v>
      </c>
      <c r="B881" s="24" t="s">
        <v>141</v>
      </c>
      <c r="E881" s="26" t="s">
        <v>1762</v>
      </c>
      <c r="F881" s="198" t="s">
        <v>1700</v>
      </c>
      <c r="G881" s="198" t="s">
        <v>1700</v>
      </c>
      <c r="H881" s="25" t="s">
        <v>1700</v>
      </c>
      <c r="I881" s="27" t="s">
        <v>3902</v>
      </c>
      <c r="J881" s="27" t="s">
        <v>866</v>
      </c>
      <c r="K881" s="28" t="s">
        <v>3907</v>
      </c>
      <c r="P881" s="17">
        <v>1</v>
      </c>
      <c r="R881" s="29" t="s">
        <v>1763</v>
      </c>
      <c r="CB881" s="26"/>
      <c r="CC881" s="26"/>
      <c r="CF881" s="8"/>
      <c r="CG881" s="26"/>
      <c r="CH881" s="8"/>
      <c r="CM881" s="8"/>
      <c r="CR881" s="8"/>
    </row>
    <row r="882" spans="1:137" x14ac:dyDescent="0.25">
      <c r="A882" s="8" t="s">
        <v>2056</v>
      </c>
      <c r="B882" s="24" t="s">
        <v>2536</v>
      </c>
      <c r="C882" s="25" t="s">
        <v>2615</v>
      </c>
      <c r="D882" s="26">
        <v>32497</v>
      </c>
      <c r="E882" s="26" t="s">
        <v>1762</v>
      </c>
      <c r="F882" s="198" t="s">
        <v>1554</v>
      </c>
      <c r="G882" s="198" t="s">
        <v>1700</v>
      </c>
      <c r="H882" s="25" t="s">
        <v>2616</v>
      </c>
      <c r="J882" s="27" t="s">
        <v>866</v>
      </c>
      <c r="R882" s="29" t="s">
        <v>855</v>
      </c>
      <c r="X882" s="84" t="s">
        <v>1700</v>
      </c>
      <c r="Y882" s="84" t="s">
        <v>2367</v>
      </c>
      <c r="AA882" s="84" t="s">
        <v>2617</v>
      </c>
      <c r="AB882" s="84" t="s">
        <v>221</v>
      </c>
      <c r="CB882" s="26"/>
      <c r="CC882" s="26"/>
      <c r="CF882" s="8"/>
      <c r="CG882" s="26"/>
      <c r="CH882" s="8"/>
      <c r="CM882" s="8"/>
      <c r="CR882" s="8"/>
    </row>
    <row r="883" spans="1:137" ht="13.5" x14ac:dyDescent="0.25">
      <c r="A883" s="8" t="s">
        <v>2056</v>
      </c>
      <c r="B883" s="24" t="s">
        <v>2057</v>
      </c>
      <c r="E883" s="26" t="s">
        <v>1762</v>
      </c>
      <c r="F883" s="198" t="s">
        <v>3514</v>
      </c>
      <c r="G883" s="198" t="s">
        <v>1700</v>
      </c>
      <c r="H883" s="25" t="s">
        <v>1700</v>
      </c>
      <c r="I883" s="27" t="s">
        <v>3904</v>
      </c>
      <c r="J883" s="27" t="s">
        <v>866</v>
      </c>
      <c r="K883" s="28" t="s">
        <v>855</v>
      </c>
      <c r="L883" s="29" t="s">
        <v>854</v>
      </c>
      <c r="CB883" s="278"/>
      <c r="CD883" s="279"/>
      <c r="CG883" s="278"/>
      <c r="CH883" s="278"/>
      <c r="CI883" s="279"/>
      <c r="CK883" s="279"/>
      <c r="CL883" s="278"/>
      <c r="CM883" s="278"/>
      <c r="CN883" s="279"/>
      <c r="CP883" s="279"/>
      <c r="CQ883" s="278"/>
      <c r="CR883" s="279"/>
      <c r="CS883" s="279"/>
      <c r="CU883" s="279"/>
      <c r="CV883" s="278"/>
      <c r="CW883" s="279"/>
      <c r="CX883" s="279"/>
      <c r="CZ883" s="279"/>
      <c r="DA883" s="278"/>
      <c r="DB883" s="279"/>
      <c r="DC883" s="279"/>
      <c r="DE883" s="279"/>
      <c r="DF883" s="278"/>
      <c r="DG883" s="279"/>
      <c r="DH883" s="279"/>
      <c r="DJ883" s="279"/>
      <c r="DK883" s="278"/>
      <c r="DL883" s="279"/>
      <c r="DM883" s="279"/>
      <c r="DO883" s="279"/>
      <c r="DP883" s="278"/>
      <c r="DQ883" s="279"/>
      <c r="DR883" s="279"/>
      <c r="DT883" s="279"/>
      <c r="DU883" s="278"/>
      <c r="DV883" s="258"/>
      <c r="DW883" s="258"/>
      <c r="DY883" s="258"/>
    </row>
    <row r="884" spans="1:137" x14ac:dyDescent="0.25">
      <c r="A884" s="8" t="s">
        <v>1330</v>
      </c>
      <c r="B884" s="24" t="s">
        <v>934</v>
      </c>
      <c r="C884" s="25" t="s">
        <v>532</v>
      </c>
      <c r="E884" s="26" t="s">
        <v>1762</v>
      </c>
      <c r="F884" s="198" t="s">
        <v>533</v>
      </c>
      <c r="G884" s="198" t="s">
        <v>1700</v>
      </c>
      <c r="H884" s="25" t="s">
        <v>1700</v>
      </c>
      <c r="J884" s="27" t="s">
        <v>866</v>
      </c>
      <c r="X884" s="84" t="s">
        <v>1700</v>
      </c>
      <c r="Y884" s="84" t="s">
        <v>791</v>
      </c>
      <c r="AA884" s="84" t="s">
        <v>534</v>
      </c>
      <c r="AB884" s="84" t="s">
        <v>126</v>
      </c>
      <c r="CB884" s="26"/>
      <c r="CC884" s="26"/>
      <c r="CF884" s="8"/>
      <c r="CG884" s="26"/>
      <c r="CH884" s="8"/>
      <c r="CM884" s="8"/>
      <c r="CR884" s="8"/>
    </row>
    <row r="885" spans="1:137" ht="13.5" x14ac:dyDescent="0.25">
      <c r="A885" s="8" t="s">
        <v>613</v>
      </c>
      <c r="B885" s="24" t="s">
        <v>878</v>
      </c>
      <c r="D885" s="26">
        <v>28298</v>
      </c>
      <c r="E885" s="26" t="s">
        <v>1762</v>
      </c>
      <c r="F885" s="198" t="s">
        <v>325</v>
      </c>
      <c r="G885" s="198" t="s">
        <v>1700</v>
      </c>
      <c r="H885" s="25" t="s">
        <v>614</v>
      </c>
      <c r="J885" s="27" t="s">
        <v>866</v>
      </c>
      <c r="CB885" s="278"/>
      <c r="CD885" s="279"/>
      <c r="CG885" s="278"/>
      <c r="CH885" s="278"/>
      <c r="CI885" s="279"/>
      <c r="CK885" s="279"/>
      <c r="CL885" s="278"/>
      <c r="CM885" s="278"/>
      <c r="CN885" s="279"/>
      <c r="CP885" s="279"/>
      <c r="CQ885" s="278"/>
      <c r="CR885" s="279"/>
      <c r="CS885" s="279"/>
      <c r="CU885" s="279"/>
      <c r="CV885" s="278"/>
      <c r="CW885" s="279"/>
      <c r="CX885" s="279"/>
      <c r="CZ885" s="279"/>
      <c r="DA885" s="278"/>
      <c r="DB885" s="279"/>
      <c r="DC885" s="279"/>
      <c r="DE885" s="279"/>
      <c r="DF885" s="278"/>
      <c r="DG885" s="279"/>
      <c r="DH885" s="279"/>
      <c r="DJ885" s="279"/>
      <c r="DK885" s="278"/>
      <c r="DL885" s="279"/>
      <c r="DM885" s="279"/>
      <c r="DO885" s="279"/>
      <c r="DP885" s="278"/>
      <c r="DQ885" s="279"/>
      <c r="DR885" s="279"/>
      <c r="DT885" s="279"/>
      <c r="DU885" s="278"/>
      <c r="DV885" s="258"/>
      <c r="DW885" s="258"/>
      <c r="DY885" s="258"/>
    </row>
    <row r="886" spans="1:137" x14ac:dyDescent="0.25">
      <c r="A886" s="8" t="s">
        <v>2492</v>
      </c>
      <c r="B886" s="24" t="s">
        <v>404</v>
      </c>
      <c r="E886" s="26" t="s">
        <v>1762</v>
      </c>
      <c r="F886" s="198" t="s">
        <v>898</v>
      </c>
      <c r="G886" s="198" t="s">
        <v>1700</v>
      </c>
      <c r="H886" s="25" t="s">
        <v>1700</v>
      </c>
      <c r="I886" s="27" t="s">
        <v>3902</v>
      </c>
      <c r="J886" s="27" t="s">
        <v>866</v>
      </c>
      <c r="K886" s="28" t="s">
        <v>851</v>
      </c>
      <c r="R886" s="29" t="s">
        <v>851</v>
      </c>
      <c r="CB886" s="26"/>
      <c r="CC886" s="26"/>
      <c r="CF886" s="8"/>
      <c r="CG886" s="26"/>
      <c r="CH886" s="8"/>
      <c r="CM886" s="8"/>
      <c r="CR886" s="8"/>
    </row>
    <row r="887" spans="1:137" x14ac:dyDescent="0.25">
      <c r="A887" s="8" t="s">
        <v>400</v>
      </c>
      <c r="B887" s="24" t="s">
        <v>401</v>
      </c>
      <c r="C887" s="25" t="s">
        <v>399</v>
      </c>
      <c r="E887" s="26" t="s">
        <v>1762</v>
      </c>
      <c r="F887" s="198" t="s">
        <v>867</v>
      </c>
      <c r="G887" s="198" t="s">
        <v>1700</v>
      </c>
      <c r="H887" s="25" t="s">
        <v>3175</v>
      </c>
      <c r="J887" s="27" t="s">
        <v>866</v>
      </c>
      <c r="Q887" s="95"/>
      <c r="R887" s="17" t="s">
        <v>853</v>
      </c>
      <c r="S887" s="29"/>
      <c r="T887" s="29"/>
      <c r="U887" s="29"/>
      <c r="V887" s="29"/>
      <c r="X887" s="84" t="s">
        <v>1700</v>
      </c>
      <c r="Y887" s="84" t="s">
        <v>246</v>
      </c>
      <c r="AA887" s="84" t="s">
        <v>220</v>
      </c>
      <c r="AB887" s="84" t="s">
        <v>126</v>
      </c>
      <c r="AD887" s="8"/>
      <c r="BQ887" s="8"/>
      <c r="BV887" s="8"/>
      <c r="CB887" s="26">
        <v>41977</v>
      </c>
      <c r="CC887" s="8" t="s">
        <v>853</v>
      </c>
      <c r="CD887" s="8" t="s">
        <v>3176</v>
      </c>
      <c r="CE887" s="8">
        <v>370</v>
      </c>
      <c r="CF887" s="8">
        <v>160</v>
      </c>
      <c r="CG887" s="26"/>
      <c r="CH887" s="8"/>
      <c r="CM887" s="8"/>
      <c r="CR887" s="8"/>
      <c r="DP887" s="8"/>
      <c r="DU887" s="8"/>
    </row>
    <row r="888" spans="1:137" x14ac:dyDescent="0.25">
      <c r="A888" s="8" t="s">
        <v>3697</v>
      </c>
      <c r="B888" s="24" t="s">
        <v>2074</v>
      </c>
      <c r="F888" s="198" t="s">
        <v>1700</v>
      </c>
      <c r="G888" s="198" t="s">
        <v>1700</v>
      </c>
      <c r="H888" s="25" t="s">
        <v>1700</v>
      </c>
      <c r="J888" s="27" t="s">
        <v>866</v>
      </c>
      <c r="R888" s="29" t="s">
        <v>889</v>
      </c>
      <c r="CB888" s="278"/>
      <c r="CG888" s="278"/>
    </row>
    <row r="889" spans="1:137" x14ac:dyDescent="0.25">
      <c r="A889" s="8" t="s">
        <v>706</v>
      </c>
      <c r="B889" s="24" t="s">
        <v>707</v>
      </c>
      <c r="F889" s="198" t="s">
        <v>1700</v>
      </c>
      <c r="G889" s="198" t="s">
        <v>1700</v>
      </c>
      <c r="H889" s="25" t="s">
        <v>1700</v>
      </c>
      <c r="J889" s="27" t="s">
        <v>866</v>
      </c>
      <c r="CB889" s="26"/>
      <c r="CC889" s="26"/>
      <c r="CF889" s="8"/>
      <c r="CG889" s="26"/>
      <c r="CH889" s="8"/>
      <c r="CM889" s="8"/>
      <c r="CR889" s="8"/>
    </row>
    <row r="890" spans="1:137" x14ac:dyDescent="0.25">
      <c r="A890" s="8" t="s">
        <v>1821</v>
      </c>
      <c r="B890" s="24" t="s">
        <v>1417</v>
      </c>
      <c r="C890" s="25" t="s">
        <v>1820</v>
      </c>
      <c r="E890" s="26" t="s">
        <v>1762</v>
      </c>
      <c r="F890" s="198" t="s">
        <v>2157</v>
      </c>
      <c r="G890" s="198" t="s">
        <v>1700</v>
      </c>
      <c r="H890" s="25" t="s">
        <v>4239</v>
      </c>
      <c r="I890" s="27" t="s">
        <v>3902</v>
      </c>
      <c r="J890" s="27" t="s">
        <v>866</v>
      </c>
      <c r="K890" s="28" t="s">
        <v>853</v>
      </c>
      <c r="Q890" s="93"/>
      <c r="R890" s="28" t="s">
        <v>853</v>
      </c>
      <c r="S890" s="29"/>
      <c r="T890" s="29"/>
      <c r="U890" s="29"/>
      <c r="V890" s="29"/>
      <c r="W890" s="93">
        <v>77</v>
      </c>
      <c r="X890" s="84" t="s">
        <v>1700</v>
      </c>
      <c r="Y890" s="84" t="s">
        <v>246</v>
      </c>
      <c r="AA890" s="84" t="s">
        <v>1309</v>
      </c>
      <c r="AB890" s="84" t="s">
        <v>126</v>
      </c>
      <c r="AC890" s="26">
        <v>42313</v>
      </c>
      <c r="AD890" s="26" t="s">
        <v>853</v>
      </c>
      <c r="AE890" s="8" t="s">
        <v>4240</v>
      </c>
      <c r="AF890" s="8">
        <v>155</v>
      </c>
      <c r="AG890" s="8">
        <v>77</v>
      </c>
      <c r="CB890" s="26">
        <v>42135</v>
      </c>
      <c r="CC890" s="26" t="s">
        <v>853</v>
      </c>
      <c r="CD890" s="8" t="s">
        <v>3703</v>
      </c>
      <c r="CE890" s="8">
        <v>103.33</v>
      </c>
      <c r="CF890" s="8">
        <v>52</v>
      </c>
      <c r="CG890" s="26"/>
      <c r="CH890" s="8"/>
      <c r="CM890" s="8"/>
      <c r="CR890" s="8"/>
      <c r="EB890" s="8" t="s">
        <v>503</v>
      </c>
      <c r="ED890" s="8" t="s">
        <v>851</v>
      </c>
      <c r="EE890" s="8" t="s">
        <v>3912</v>
      </c>
      <c r="EF890" s="8">
        <v>161.5</v>
      </c>
      <c r="EG890" s="8">
        <v>70</v>
      </c>
    </row>
    <row r="891" spans="1:137" x14ac:dyDescent="0.25">
      <c r="A891" s="8" t="s">
        <v>2134</v>
      </c>
      <c r="B891" s="24" t="s">
        <v>723</v>
      </c>
      <c r="E891" s="26" t="s">
        <v>1764</v>
      </c>
      <c r="F891" s="198" t="s">
        <v>1700</v>
      </c>
      <c r="G891" s="198" t="s">
        <v>1700</v>
      </c>
      <c r="H891" s="25" t="s">
        <v>1700</v>
      </c>
      <c r="J891" s="27" t="s">
        <v>866</v>
      </c>
      <c r="R891" s="29" t="s">
        <v>1763</v>
      </c>
      <c r="CB891" s="26"/>
      <c r="CC891" s="26"/>
      <c r="CF891" s="8"/>
      <c r="CG891" s="26"/>
      <c r="CH891" s="8"/>
      <c r="CM891" s="8"/>
      <c r="CR891" s="8"/>
    </row>
    <row r="892" spans="1:137" x14ac:dyDescent="0.25">
      <c r="A892" s="8" t="s">
        <v>1293</v>
      </c>
      <c r="B892" s="24" t="s">
        <v>1294</v>
      </c>
      <c r="E892" s="26" t="s">
        <v>1762</v>
      </c>
      <c r="F892" s="198" t="s">
        <v>1700</v>
      </c>
      <c r="G892" s="198" t="s">
        <v>1700</v>
      </c>
      <c r="H892" s="25" t="s">
        <v>1700</v>
      </c>
      <c r="J892" s="27" t="s">
        <v>866</v>
      </c>
      <c r="R892" s="29" t="s">
        <v>1763</v>
      </c>
      <c r="CB892" s="26"/>
      <c r="CC892" s="26"/>
      <c r="CF892" s="8"/>
      <c r="CG892" s="26"/>
      <c r="CH892" s="8"/>
      <c r="CM892" s="8"/>
      <c r="CR892" s="8"/>
    </row>
    <row r="893" spans="1:137" x14ac:dyDescent="0.25">
      <c r="A893" s="8" t="s">
        <v>3817</v>
      </c>
      <c r="B893" s="24" t="s">
        <v>293</v>
      </c>
      <c r="D893" s="26">
        <v>31386</v>
      </c>
      <c r="E893" s="26" t="s">
        <v>1762</v>
      </c>
      <c r="F893" s="198" t="s">
        <v>3806</v>
      </c>
      <c r="G893" s="198" t="s">
        <v>1700</v>
      </c>
      <c r="H893" s="25" t="s">
        <v>1700</v>
      </c>
      <c r="J893" s="27" t="s">
        <v>866</v>
      </c>
      <c r="R893" s="29" t="s">
        <v>855</v>
      </c>
      <c r="CB893" s="278"/>
      <c r="CG893" s="278"/>
    </row>
    <row r="894" spans="1:137" x14ac:dyDescent="0.25">
      <c r="A894" s="8" t="s">
        <v>456</v>
      </c>
      <c r="B894" s="24" t="s">
        <v>457</v>
      </c>
      <c r="F894" s="198" t="s">
        <v>1700</v>
      </c>
      <c r="G894" s="198" t="s">
        <v>1700</v>
      </c>
      <c r="H894" s="25" t="s">
        <v>1700</v>
      </c>
      <c r="I894" s="27" t="s">
        <v>3893</v>
      </c>
      <c r="J894" s="27" t="s">
        <v>866</v>
      </c>
      <c r="K894" s="28" t="s">
        <v>816</v>
      </c>
      <c r="R894" s="29" t="s">
        <v>816</v>
      </c>
      <c r="CB894" s="26"/>
      <c r="CC894" s="26"/>
      <c r="CF894" s="8"/>
      <c r="CG894" s="26"/>
      <c r="CH894" s="8"/>
      <c r="CM894" s="8"/>
      <c r="CR894" s="8"/>
    </row>
    <row r="895" spans="1:137" x14ac:dyDescent="0.25">
      <c r="A895" s="8" t="s">
        <v>1878</v>
      </c>
      <c r="B895" s="24" t="s">
        <v>392</v>
      </c>
      <c r="C895" s="25" t="s">
        <v>908</v>
      </c>
      <c r="E895" s="26" t="s">
        <v>1762</v>
      </c>
      <c r="F895" s="198" t="s">
        <v>405</v>
      </c>
      <c r="G895" s="198" t="s">
        <v>1700</v>
      </c>
      <c r="H895" s="25" t="s">
        <v>1700</v>
      </c>
      <c r="J895" s="27" t="s">
        <v>866</v>
      </c>
      <c r="X895" s="84" t="s">
        <v>1700</v>
      </c>
      <c r="Y895" s="84" t="s">
        <v>190</v>
      </c>
      <c r="AA895" s="84" t="s">
        <v>1142</v>
      </c>
      <c r="AB895" s="84" t="s">
        <v>126</v>
      </c>
      <c r="CB895" s="26"/>
      <c r="CC895" s="26"/>
      <c r="CF895" s="8"/>
      <c r="CG895" s="26"/>
      <c r="CH895" s="8"/>
      <c r="CM895" s="8"/>
      <c r="CR895" s="8"/>
    </row>
    <row r="896" spans="1:137" x14ac:dyDescent="0.25">
      <c r="A896" s="8" t="s">
        <v>70</v>
      </c>
      <c r="B896" s="24" t="s">
        <v>71</v>
      </c>
      <c r="C896" s="25" t="s">
        <v>72</v>
      </c>
      <c r="E896" s="26" t="s">
        <v>1764</v>
      </c>
      <c r="F896" s="198" t="s">
        <v>874</v>
      </c>
      <c r="G896" s="198" t="s">
        <v>1700</v>
      </c>
      <c r="H896" s="25" t="s">
        <v>3641</v>
      </c>
      <c r="I896" s="27" t="s">
        <v>3896</v>
      </c>
      <c r="J896" s="27" t="s">
        <v>866</v>
      </c>
      <c r="K896" s="28" t="s">
        <v>853</v>
      </c>
      <c r="R896" s="29" t="s">
        <v>853</v>
      </c>
      <c r="W896" s="93">
        <v>28</v>
      </c>
      <c r="X896" s="84" t="s">
        <v>1700</v>
      </c>
      <c r="Y896" s="84" t="s">
        <v>319</v>
      </c>
      <c r="AA896" s="84" t="s">
        <v>4788</v>
      </c>
      <c r="AB896" s="84" t="s">
        <v>302</v>
      </c>
      <c r="AC896" s="26">
        <v>42493</v>
      </c>
      <c r="AD896" s="26" t="s">
        <v>853</v>
      </c>
      <c r="AE896" s="8" t="s">
        <v>4789</v>
      </c>
      <c r="AF896" s="8">
        <v>57</v>
      </c>
      <c r="AG896" s="8">
        <v>28</v>
      </c>
      <c r="CB896" s="26">
        <v>42097</v>
      </c>
      <c r="CC896" s="26" t="s">
        <v>853</v>
      </c>
      <c r="CD896" s="8" t="s">
        <v>3642</v>
      </c>
      <c r="CE896" s="8">
        <v>52</v>
      </c>
      <c r="CF896" s="8">
        <v>26</v>
      </c>
      <c r="CG896" s="26"/>
      <c r="CH896" s="8"/>
      <c r="CM896" s="8"/>
      <c r="CR896" s="8"/>
    </row>
    <row r="897" spans="1:129" x14ac:dyDescent="0.25">
      <c r="A897" s="8" t="s">
        <v>2419</v>
      </c>
      <c r="B897" s="24" t="s">
        <v>973</v>
      </c>
      <c r="C897" s="25" t="s">
        <v>2415</v>
      </c>
      <c r="E897" s="26" t="s">
        <v>1762</v>
      </c>
      <c r="F897" s="198" t="s">
        <v>867</v>
      </c>
      <c r="G897" s="198" t="s">
        <v>2416</v>
      </c>
      <c r="H897" s="25" t="s">
        <v>2790</v>
      </c>
      <c r="J897" s="27" t="s">
        <v>866</v>
      </c>
      <c r="R897" s="29" t="s">
        <v>853</v>
      </c>
      <c r="X897" s="84" t="s">
        <v>1700</v>
      </c>
      <c r="Y897" s="84" t="s">
        <v>2417</v>
      </c>
      <c r="AA897" s="84" t="s">
        <v>2418</v>
      </c>
      <c r="AB897" s="84" t="s">
        <v>126</v>
      </c>
      <c r="CB897" s="26">
        <v>41921</v>
      </c>
      <c r="CC897" s="26" t="s">
        <v>853</v>
      </c>
      <c r="CD897" s="8" t="s">
        <v>2791</v>
      </c>
      <c r="CE897" s="8">
        <v>214</v>
      </c>
      <c r="CF897" s="8">
        <v>107</v>
      </c>
      <c r="CG897" s="26"/>
      <c r="CH897" s="8"/>
      <c r="CM897" s="8"/>
      <c r="CR897" s="8"/>
    </row>
    <row r="898" spans="1:129" ht="13.5" x14ac:dyDescent="0.25">
      <c r="A898" s="8" t="s">
        <v>2018</v>
      </c>
      <c r="B898" s="24" t="s">
        <v>933</v>
      </c>
      <c r="C898" s="25" t="s">
        <v>3346</v>
      </c>
      <c r="E898" s="26" t="s">
        <v>1762</v>
      </c>
      <c r="F898" s="198" t="s">
        <v>1700</v>
      </c>
      <c r="G898" s="198" t="s">
        <v>1700</v>
      </c>
      <c r="H898" s="25" t="s">
        <v>1700</v>
      </c>
      <c r="I898" s="27" t="s">
        <v>3902</v>
      </c>
      <c r="J898" s="27" t="s">
        <v>866</v>
      </c>
      <c r="K898" s="28" t="s">
        <v>851</v>
      </c>
      <c r="R898" s="29" t="s">
        <v>859</v>
      </c>
      <c r="X898" s="84" t="s">
        <v>1700</v>
      </c>
      <c r="Y898" s="84" t="s">
        <v>2424</v>
      </c>
      <c r="AA898" s="84" t="s">
        <v>3347</v>
      </c>
      <c r="AB898" s="84" t="s">
        <v>1957</v>
      </c>
      <c r="CB898" s="278">
        <v>42032</v>
      </c>
      <c r="CC898" s="278" t="s">
        <v>859</v>
      </c>
      <c r="CD898" s="279" t="s">
        <v>3348</v>
      </c>
      <c r="CE898" s="8">
        <v>588</v>
      </c>
      <c r="CF898" s="279">
        <v>280</v>
      </c>
      <c r="CG898" s="278"/>
      <c r="CH898" s="278"/>
      <c r="CI898" s="279"/>
      <c r="CK898" s="279"/>
      <c r="CL898" s="278"/>
      <c r="CM898" s="278"/>
      <c r="CN898" s="279"/>
      <c r="CP898" s="279"/>
      <c r="CQ898" s="278"/>
      <c r="CR898" s="279"/>
      <c r="CS898" s="279"/>
      <c r="CU898" s="279"/>
      <c r="CV898" s="278"/>
      <c r="CW898" s="279"/>
      <c r="CX898" s="279"/>
      <c r="CZ898" s="279"/>
      <c r="DA898" s="278"/>
      <c r="DB898" s="279"/>
      <c r="DC898" s="279"/>
      <c r="DE898" s="279"/>
      <c r="DF898" s="278"/>
      <c r="DG898" s="279"/>
      <c r="DH898" s="279"/>
      <c r="DJ898" s="279"/>
      <c r="DK898" s="278"/>
      <c r="DL898" s="279"/>
      <c r="DM898" s="279"/>
      <c r="DO898" s="279"/>
      <c r="DP898" s="278"/>
      <c r="DQ898" s="279"/>
      <c r="DR898" s="279"/>
      <c r="DT898" s="279"/>
      <c r="DU898" s="278"/>
      <c r="DV898" s="258"/>
      <c r="DW898" s="258"/>
      <c r="DY898" s="258"/>
    </row>
    <row r="899" spans="1:129" x14ac:dyDescent="0.25">
      <c r="A899" s="8" t="s">
        <v>4246</v>
      </c>
      <c r="B899" s="24" t="s">
        <v>952</v>
      </c>
      <c r="C899" s="25" t="s">
        <v>4245</v>
      </c>
      <c r="E899" s="26" t="s">
        <v>1764</v>
      </c>
      <c r="F899" s="198" t="s">
        <v>367</v>
      </c>
      <c r="G899" s="198" t="s">
        <v>1700</v>
      </c>
      <c r="H899" s="25" t="s">
        <v>4247</v>
      </c>
      <c r="I899" s="27" t="s">
        <v>3902</v>
      </c>
      <c r="J899" s="27" t="s">
        <v>866</v>
      </c>
      <c r="K899" s="28" t="s">
        <v>853</v>
      </c>
      <c r="W899" s="93">
        <v>105</v>
      </c>
      <c r="X899" s="84" t="s">
        <v>1700</v>
      </c>
      <c r="Y899" s="84" t="s">
        <v>258</v>
      </c>
      <c r="AA899" s="84" t="s">
        <v>4248</v>
      </c>
      <c r="AB899" s="84" t="s">
        <v>1749</v>
      </c>
      <c r="AC899" s="26">
        <v>42313</v>
      </c>
      <c r="AD899" s="26" t="s">
        <v>853</v>
      </c>
      <c r="AE899" s="8" t="s">
        <v>4249</v>
      </c>
      <c r="AF899" s="8">
        <v>210</v>
      </c>
      <c r="AG899" s="8">
        <v>105</v>
      </c>
      <c r="CB899" s="278"/>
      <c r="CG899" s="278"/>
    </row>
    <row r="900" spans="1:129" x14ac:dyDescent="0.25">
      <c r="A900" s="8" t="s">
        <v>284</v>
      </c>
      <c r="B900" s="24" t="s">
        <v>931</v>
      </c>
      <c r="C900" s="25" t="s">
        <v>283</v>
      </c>
      <c r="E900" s="26" t="s">
        <v>1762</v>
      </c>
      <c r="F900" s="198" t="s">
        <v>947</v>
      </c>
      <c r="G900" s="198" t="s">
        <v>1700</v>
      </c>
      <c r="H900" s="25" t="s">
        <v>3449</v>
      </c>
      <c r="J900" s="27" t="s">
        <v>866</v>
      </c>
      <c r="Q900" s="93"/>
      <c r="R900" s="28" t="s">
        <v>853</v>
      </c>
      <c r="S900" s="21"/>
      <c r="T900" s="21"/>
      <c r="U900" s="21"/>
      <c r="V900" s="21"/>
      <c r="X900" s="84" t="s">
        <v>1700</v>
      </c>
      <c r="Y900" s="84" t="s">
        <v>246</v>
      </c>
      <c r="AA900" s="84" t="s">
        <v>76</v>
      </c>
      <c r="AB900" s="84" t="s">
        <v>126</v>
      </c>
      <c r="BV900" s="8"/>
      <c r="CB900" s="26">
        <v>42032</v>
      </c>
      <c r="CC900" s="26" t="s">
        <v>853</v>
      </c>
      <c r="CD900" s="8" t="s">
        <v>3450</v>
      </c>
      <c r="CE900" s="8">
        <v>198</v>
      </c>
      <c r="CF900" s="8">
        <v>99</v>
      </c>
      <c r="CG900" s="26"/>
      <c r="CH900" s="8"/>
      <c r="CM900" s="8"/>
      <c r="CR900" s="8"/>
      <c r="DU900" s="8"/>
    </row>
    <row r="901" spans="1:129" x14ac:dyDescent="0.25">
      <c r="A901" s="8" t="s">
        <v>1314</v>
      </c>
      <c r="B901" s="24" t="s">
        <v>2141</v>
      </c>
      <c r="C901" s="25" t="s">
        <v>1315</v>
      </c>
      <c r="E901" s="26" t="s">
        <v>1762</v>
      </c>
      <c r="F901" s="198" t="s">
        <v>788</v>
      </c>
      <c r="G901" s="198" t="s">
        <v>1700</v>
      </c>
      <c r="H901" s="25" t="s">
        <v>3662</v>
      </c>
      <c r="I901" s="27" t="s">
        <v>3903</v>
      </c>
      <c r="J901" s="27" t="s">
        <v>866</v>
      </c>
      <c r="K901" s="28" t="s">
        <v>853</v>
      </c>
      <c r="R901" s="29" t="s">
        <v>853</v>
      </c>
      <c r="W901" s="93">
        <v>60</v>
      </c>
      <c r="X901" s="84" t="s">
        <v>1700</v>
      </c>
      <c r="Y901" s="84" t="s">
        <v>791</v>
      </c>
      <c r="AA901" s="84" t="s">
        <v>1316</v>
      </c>
      <c r="AB901" s="84" t="s">
        <v>126</v>
      </c>
      <c r="AC901" s="26">
        <v>42352</v>
      </c>
      <c r="AD901" s="26" t="s">
        <v>853</v>
      </c>
      <c r="AE901" s="8" t="s">
        <v>4413</v>
      </c>
      <c r="AF901" s="8">
        <v>120</v>
      </c>
      <c r="AG901" s="8">
        <v>60</v>
      </c>
      <c r="CB901" s="26">
        <v>42097</v>
      </c>
      <c r="CC901" s="26" t="s">
        <v>853</v>
      </c>
      <c r="CD901" s="8" t="s">
        <v>3663</v>
      </c>
      <c r="CE901" s="8">
        <v>150</v>
      </c>
      <c r="CF901" s="8">
        <v>75</v>
      </c>
      <c r="CG901" s="26"/>
      <c r="CH901" s="8"/>
      <c r="CM901" s="8"/>
      <c r="CR901" s="8"/>
    </row>
    <row r="902" spans="1:129" x14ac:dyDescent="0.25">
      <c r="A902" s="8" t="s">
        <v>4272</v>
      </c>
      <c r="B902" s="24" t="s">
        <v>1603</v>
      </c>
      <c r="C902" s="25" t="s">
        <v>4271</v>
      </c>
      <c r="E902" s="26" t="s">
        <v>1762</v>
      </c>
      <c r="F902" s="198" t="s">
        <v>913</v>
      </c>
      <c r="G902" s="198" t="s">
        <v>4273</v>
      </c>
      <c r="H902" s="25" t="s">
        <v>4274</v>
      </c>
      <c r="I902" s="27" t="s">
        <v>3902</v>
      </c>
      <c r="J902" s="27" t="s">
        <v>866</v>
      </c>
      <c r="K902" s="28" t="s">
        <v>853</v>
      </c>
      <c r="W902" s="93">
        <v>160</v>
      </c>
      <c r="X902" s="84" t="s">
        <v>1700</v>
      </c>
      <c r="Y902" s="84" t="s">
        <v>4275</v>
      </c>
      <c r="AA902" s="84" t="s">
        <v>4276</v>
      </c>
      <c r="AB902" s="84" t="s">
        <v>3188</v>
      </c>
      <c r="AC902" s="26">
        <v>42334</v>
      </c>
      <c r="AD902" s="26" t="s">
        <v>853</v>
      </c>
      <c r="AE902" s="8" t="s">
        <v>4277</v>
      </c>
      <c r="AF902" s="8">
        <v>427.9</v>
      </c>
      <c r="AG902" s="8">
        <v>160</v>
      </c>
      <c r="CB902" s="278"/>
      <c r="CG902" s="278"/>
    </row>
    <row r="903" spans="1:129" x14ac:dyDescent="0.25">
      <c r="A903" s="8" t="s">
        <v>323</v>
      </c>
      <c r="B903" s="24" t="s">
        <v>324</v>
      </c>
      <c r="D903" s="26">
        <v>26844</v>
      </c>
      <c r="E903" s="26" t="s">
        <v>1762</v>
      </c>
      <c r="F903" s="198" t="s">
        <v>325</v>
      </c>
      <c r="G903" s="198" t="s">
        <v>326</v>
      </c>
      <c r="H903" s="25" t="s">
        <v>327</v>
      </c>
      <c r="J903" s="27" t="s">
        <v>866</v>
      </c>
      <c r="R903" s="29" t="s">
        <v>855</v>
      </c>
      <c r="CB903" s="26"/>
      <c r="CC903" s="26"/>
      <c r="CF903" s="8"/>
      <c r="CG903" s="26"/>
      <c r="CH903" s="8"/>
      <c r="CM903" s="8"/>
      <c r="CR903" s="8"/>
    </row>
    <row r="904" spans="1:129" x14ac:dyDescent="0.25">
      <c r="A904" s="8" t="s">
        <v>323</v>
      </c>
      <c r="B904" s="24" t="s">
        <v>324</v>
      </c>
      <c r="E904" s="26" t="s">
        <v>1762</v>
      </c>
      <c r="F904" s="198" t="s">
        <v>1700</v>
      </c>
      <c r="G904" s="198" t="s">
        <v>1700</v>
      </c>
      <c r="H904" s="25" t="s">
        <v>1700</v>
      </c>
      <c r="J904" s="27" t="s">
        <v>866</v>
      </c>
      <c r="R904" s="29" t="s">
        <v>1973</v>
      </c>
      <c r="CB904" s="278"/>
      <c r="CG904" s="278"/>
    </row>
    <row r="905" spans="1:129" x14ac:dyDescent="0.25">
      <c r="A905" s="8" t="s">
        <v>1817</v>
      </c>
      <c r="B905" s="24" t="s">
        <v>1838</v>
      </c>
      <c r="E905" s="26" t="s">
        <v>1762</v>
      </c>
      <c r="F905" s="198" t="s">
        <v>898</v>
      </c>
      <c r="G905" s="198" t="s">
        <v>1700</v>
      </c>
      <c r="H905" s="25" t="s">
        <v>1818</v>
      </c>
      <c r="I905" s="27" t="s">
        <v>3901</v>
      </c>
      <c r="J905" s="27" t="s">
        <v>866</v>
      </c>
      <c r="K905" s="28" t="s">
        <v>858</v>
      </c>
      <c r="R905" s="29" t="s">
        <v>858</v>
      </c>
      <c r="CB905" s="26"/>
      <c r="CC905" s="26"/>
      <c r="CF905" s="8"/>
      <c r="CG905" s="26"/>
      <c r="CH905" s="8"/>
      <c r="CM905" s="8"/>
      <c r="CR905" s="8"/>
    </row>
    <row r="906" spans="1:129" x14ac:dyDescent="0.25">
      <c r="A906" s="8" t="s">
        <v>4371</v>
      </c>
      <c r="B906" s="24" t="s">
        <v>1417</v>
      </c>
      <c r="C906" s="25" t="s">
        <v>4370</v>
      </c>
      <c r="F906" s="198" t="s">
        <v>874</v>
      </c>
      <c r="G906" s="198" t="s">
        <v>1700</v>
      </c>
      <c r="H906" s="25" t="s">
        <v>4372</v>
      </c>
      <c r="I906" s="27" t="s">
        <v>3903</v>
      </c>
      <c r="J906" s="27" t="s">
        <v>866</v>
      </c>
      <c r="K906" s="28" t="s">
        <v>853</v>
      </c>
      <c r="W906" s="93">
        <v>160</v>
      </c>
      <c r="X906" s="84" t="s">
        <v>1700</v>
      </c>
      <c r="Y906" s="84" t="s">
        <v>4373</v>
      </c>
      <c r="AA906" s="84" t="s">
        <v>4374</v>
      </c>
      <c r="AB906" s="84" t="s">
        <v>4375</v>
      </c>
      <c r="AC906" s="26">
        <v>42352</v>
      </c>
      <c r="AD906" s="26" t="s">
        <v>853</v>
      </c>
      <c r="AE906" s="8" t="s">
        <v>4376</v>
      </c>
      <c r="AF906" s="8">
        <v>355</v>
      </c>
      <c r="AG906" s="8">
        <v>160</v>
      </c>
      <c r="CB906" s="278"/>
      <c r="CG906" s="278"/>
    </row>
    <row r="907" spans="1:129" x14ac:dyDescent="0.25">
      <c r="A907" s="8" t="s">
        <v>2143</v>
      </c>
      <c r="B907" s="24" t="s">
        <v>1655</v>
      </c>
      <c r="C907" s="25" t="s">
        <v>32</v>
      </c>
      <c r="D907" s="26">
        <v>30031</v>
      </c>
      <c r="E907" s="26" t="s">
        <v>1762</v>
      </c>
      <c r="F907" s="198" t="s">
        <v>1506</v>
      </c>
      <c r="G907" s="198" t="s">
        <v>1700</v>
      </c>
      <c r="H907" s="25" t="s">
        <v>1700</v>
      </c>
      <c r="J907" s="27" t="s">
        <v>866</v>
      </c>
      <c r="R907" s="29" t="s">
        <v>1416</v>
      </c>
      <c r="S907" s="8" t="s">
        <v>855</v>
      </c>
      <c r="X907" s="84" t="s">
        <v>1700</v>
      </c>
      <c r="Y907" s="84" t="s">
        <v>1156</v>
      </c>
      <c r="AA907" s="84" t="s">
        <v>1157</v>
      </c>
      <c r="AB907" s="84" t="s">
        <v>1885</v>
      </c>
      <c r="AD907" s="8"/>
      <c r="BV907" s="8"/>
      <c r="CB907" s="26"/>
      <c r="CC907" s="8"/>
      <c r="CF907" s="8"/>
      <c r="CG907" s="26"/>
      <c r="CH907" s="8"/>
      <c r="CM907" s="8"/>
      <c r="CR907" s="8"/>
      <c r="DU907" s="8"/>
    </row>
    <row r="908" spans="1:129" x14ac:dyDescent="0.25">
      <c r="A908" s="8" t="s">
        <v>2143</v>
      </c>
      <c r="B908" s="24" t="s">
        <v>966</v>
      </c>
      <c r="C908" s="25" t="s">
        <v>4</v>
      </c>
      <c r="E908" s="26" t="s">
        <v>1762</v>
      </c>
      <c r="F908" s="198" t="s">
        <v>5</v>
      </c>
      <c r="G908" s="198" t="s">
        <v>1700</v>
      </c>
      <c r="H908" s="25" t="s">
        <v>1700</v>
      </c>
      <c r="J908" s="27" t="s">
        <v>866</v>
      </c>
      <c r="R908" s="29" t="s">
        <v>853</v>
      </c>
      <c r="X908" s="84" t="s">
        <v>1700</v>
      </c>
      <c r="Y908" s="84" t="s">
        <v>791</v>
      </c>
      <c r="AA908" s="84" t="s">
        <v>6</v>
      </c>
      <c r="AB908" s="84" t="s">
        <v>126</v>
      </c>
      <c r="CB908" s="26">
        <v>41921</v>
      </c>
      <c r="CC908" s="26" t="s">
        <v>853</v>
      </c>
      <c r="CD908" s="8" t="s">
        <v>2671</v>
      </c>
      <c r="CE908" s="8">
        <v>154.68</v>
      </c>
      <c r="CF908" s="8">
        <v>78</v>
      </c>
      <c r="CG908" s="26"/>
      <c r="CH908" s="8"/>
      <c r="CM908" s="8"/>
      <c r="CR908" s="8"/>
    </row>
    <row r="909" spans="1:129" x14ac:dyDescent="0.25">
      <c r="A909" s="8" t="s">
        <v>3182</v>
      </c>
      <c r="B909" s="24" t="s">
        <v>3183</v>
      </c>
      <c r="C909" s="25" t="s">
        <v>3181</v>
      </c>
      <c r="E909" s="26" t="s">
        <v>1762</v>
      </c>
      <c r="F909" s="198" t="s">
        <v>1609</v>
      </c>
      <c r="G909" s="198" t="s">
        <v>1700</v>
      </c>
      <c r="H909" s="25" t="s">
        <v>3184</v>
      </c>
      <c r="I909" s="27" t="s">
        <v>3904</v>
      </c>
      <c r="J909" s="27" t="s">
        <v>866</v>
      </c>
      <c r="K909" s="28" t="s">
        <v>853</v>
      </c>
      <c r="R909" s="29" t="s">
        <v>853</v>
      </c>
      <c r="W909" s="93">
        <v>40</v>
      </c>
      <c r="X909" s="84" t="s">
        <v>1700</v>
      </c>
      <c r="Y909" s="84" t="s">
        <v>2499</v>
      </c>
      <c r="AA909" s="84" t="s">
        <v>3185</v>
      </c>
      <c r="AB909" s="84" t="s">
        <v>126</v>
      </c>
      <c r="AC909" s="26">
        <v>42360</v>
      </c>
      <c r="AD909" s="26" t="s">
        <v>853</v>
      </c>
      <c r="AE909" s="8" t="s">
        <v>4561</v>
      </c>
      <c r="AF909" s="8">
        <v>80</v>
      </c>
      <c r="AG909" s="8">
        <v>40</v>
      </c>
      <c r="CB909" s="26">
        <v>41977</v>
      </c>
      <c r="CC909" s="26" t="s">
        <v>853</v>
      </c>
      <c r="CD909" s="8" t="s">
        <v>3186</v>
      </c>
      <c r="CE909" s="8">
        <v>80</v>
      </c>
      <c r="CF909" s="8">
        <v>40</v>
      </c>
      <c r="CG909" s="26"/>
      <c r="CH909" s="8"/>
      <c r="CM909" s="8"/>
      <c r="CR909" s="8"/>
    </row>
    <row r="910" spans="1:129" x14ac:dyDescent="0.25">
      <c r="A910" s="8" t="s">
        <v>1990</v>
      </c>
      <c r="B910" s="24" t="s">
        <v>2077</v>
      </c>
      <c r="C910" s="25" t="s">
        <v>2078</v>
      </c>
      <c r="E910" s="26" t="s">
        <v>896</v>
      </c>
      <c r="F910" s="198" t="s">
        <v>896</v>
      </c>
      <c r="G910" s="198" t="s">
        <v>1700</v>
      </c>
      <c r="H910" s="25" t="s">
        <v>1700</v>
      </c>
      <c r="J910" s="27" t="s">
        <v>866</v>
      </c>
      <c r="X910" s="84" t="s">
        <v>1700</v>
      </c>
      <c r="Y910" s="84" t="s">
        <v>743</v>
      </c>
      <c r="AA910" s="84" t="s">
        <v>2079</v>
      </c>
      <c r="AB910" s="84" t="s">
        <v>126</v>
      </c>
      <c r="CB910" s="26"/>
      <c r="CC910" s="26"/>
      <c r="CF910" s="8"/>
      <c r="CG910" s="26"/>
      <c r="CH910" s="8"/>
      <c r="CM910" s="8"/>
      <c r="CR910" s="8"/>
    </row>
    <row r="911" spans="1:129" x14ac:dyDescent="0.25">
      <c r="A911" s="19" t="s">
        <v>1990</v>
      </c>
      <c r="B911" s="12" t="s">
        <v>1991</v>
      </c>
      <c r="C911" s="13" t="s">
        <v>1153</v>
      </c>
      <c r="D911" s="14"/>
      <c r="E911" s="14" t="s">
        <v>1762</v>
      </c>
      <c r="F911" s="199" t="s">
        <v>852</v>
      </c>
      <c r="G911" s="199" t="s">
        <v>1700</v>
      </c>
      <c r="H911" s="13" t="s">
        <v>1700</v>
      </c>
      <c r="I911" s="20"/>
      <c r="J911" s="20" t="s">
        <v>866</v>
      </c>
      <c r="K911" s="17"/>
      <c r="L911" s="21"/>
      <c r="M911" s="21"/>
      <c r="N911" s="21"/>
      <c r="O911" s="21"/>
      <c r="Q911" s="95"/>
      <c r="R911" s="17"/>
      <c r="S911" s="29"/>
      <c r="T911" s="29"/>
      <c r="U911" s="29"/>
      <c r="V911" s="29"/>
      <c r="X911" s="84" t="s">
        <v>1700</v>
      </c>
      <c r="Y911" s="84" t="s">
        <v>798</v>
      </c>
      <c r="AA911" s="84" t="s">
        <v>1154</v>
      </c>
      <c r="AB911" s="84" t="s">
        <v>1885</v>
      </c>
      <c r="CB911" s="26"/>
      <c r="CC911" s="26"/>
      <c r="CF911" s="8"/>
      <c r="CG911" s="26"/>
      <c r="CH911" s="8"/>
      <c r="CM911" s="8"/>
      <c r="CR911" s="8"/>
    </row>
    <row r="912" spans="1:129" x14ac:dyDescent="0.25">
      <c r="A912" s="8" t="s">
        <v>1413</v>
      </c>
      <c r="B912" s="24" t="s">
        <v>1697</v>
      </c>
      <c r="C912" s="25" t="s">
        <v>1412</v>
      </c>
      <c r="E912" s="26" t="s">
        <v>1762</v>
      </c>
      <c r="F912" s="198" t="s">
        <v>2060</v>
      </c>
      <c r="G912" s="198" t="s">
        <v>1700</v>
      </c>
      <c r="H912" s="25" t="s">
        <v>1700</v>
      </c>
      <c r="I912" s="27" t="s">
        <v>3896</v>
      </c>
      <c r="J912" s="27" t="s">
        <v>866</v>
      </c>
      <c r="K912" s="28" t="s">
        <v>853</v>
      </c>
      <c r="Q912" s="93"/>
      <c r="R912" s="28" t="s">
        <v>853</v>
      </c>
      <c r="S912" s="21"/>
      <c r="T912" s="21"/>
      <c r="U912" s="21"/>
      <c r="V912" s="21"/>
      <c r="W912" s="93">
        <v>92</v>
      </c>
      <c r="X912" s="84" t="s">
        <v>1700</v>
      </c>
      <c r="Y912" s="84" t="s">
        <v>246</v>
      </c>
      <c r="AA912" s="84" t="s">
        <v>63</v>
      </c>
      <c r="AB912" s="84" t="s">
        <v>126</v>
      </c>
      <c r="AC912" s="26">
        <v>42545</v>
      </c>
      <c r="AD912" s="26" t="s">
        <v>853</v>
      </c>
      <c r="AE912" s="8" t="s">
        <v>4855</v>
      </c>
      <c r="AF912" s="8">
        <v>185</v>
      </c>
      <c r="AG912" s="8">
        <v>92</v>
      </c>
      <c r="CB912" s="26">
        <v>42135</v>
      </c>
      <c r="CC912" s="26" t="s">
        <v>853</v>
      </c>
      <c r="CD912" s="8" t="s">
        <v>3722</v>
      </c>
      <c r="CE912" s="8">
        <v>140</v>
      </c>
      <c r="CF912" s="8">
        <v>70</v>
      </c>
      <c r="CG912" s="26">
        <v>42135</v>
      </c>
      <c r="CH912" s="8" t="s">
        <v>853</v>
      </c>
      <c r="CI912" s="8" t="s">
        <v>3723</v>
      </c>
      <c r="CJ912" s="8">
        <v>105</v>
      </c>
      <c r="CK912" s="8">
        <v>53</v>
      </c>
      <c r="CM912" s="8"/>
      <c r="CR912" s="8"/>
    </row>
    <row r="913" spans="1:129" x14ac:dyDescent="0.25">
      <c r="A913" s="8" t="s">
        <v>1888</v>
      </c>
      <c r="B913" s="24" t="s">
        <v>329</v>
      </c>
      <c r="C913" s="25" t="s">
        <v>1889</v>
      </c>
      <c r="E913" s="26" t="s">
        <v>1764</v>
      </c>
      <c r="F913" s="198" t="s">
        <v>891</v>
      </c>
      <c r="G913" s="198" t="s">
        <v>1700</v>
      </c>
      <c r="H913" s="25" t="s">
        <v>1700</v>
      </c>
      <c r="J913" s="27" t="s">
        <v>866</v>
      </c>
      <c r="X913" s="84" t="s">
        <v>1700</v>
      </c>
      <c r="Y913" s="84" t="s">
        <v>258</v>
      </c>
      <c r="AA913" s="84" t="s">
        <v>1704</v>
      </c>
      <c r="AB913" s="84" t="s">
        <v>1749</v>
      </c>
      <c r="CB913" s="26"/>
      <c r="CC913" s="26"/>
      <c r="CF913" s="8"/>
      <c r="CG913" s="26"/>
      <c r="CH913" s="8"/>
      <c r="CM913" s="8"/>
      <c r="CR913" s="8"/>
    </row>
    <row r="914" spans="1:129" x14ac:dyDescent="0.25">
      <c r="A914" s="8" t="s">
        <v>3267</v>
      </c>
      <c r="B914" s="24" t="s">
        <v>454</v>
      </c>
      <c r="C914" s="25" t="s">
        <v>3266</v>
      </c>
      <c r="F914" s="198" t="s">
        <v>276</v>
      </c>
      <c r="G914" s="198" t="s">
        <v>1700</v>
      </c>
      <c r="H914" s="25" t="s">
        <v>3268</v>
      </c>
      <c r="I914" s="27" t="s">
        <v>3902</v>
      </c>
      <c r="J914" s="27" t="s">
        <v>866</v>
      </c>
      <c r="K914" s="28" t="s">
        <v>853</v>
      </c>
      <c r="R914" s="29" t="s">
        <v>853</v>
      </c>
      <c r="W914" s="93">
        <v>160</v>
      </c>
      <c r="X914" s="84" t="s">
        <v>1700</v>
      </c>
      <c r="Y914" s="84" t="s">
        <v>2634</v>
      </c>
      <c r="AA914" s="84" t="s">
        <v>4202</v>
      </c>
      <c r="AB914" s="84" t="s">
        <v>348</v>
      </c>
      <c r="AC914" s="26">
        <v>42313</v>
      </c>
      <c r="AD914" s="26" t="s">
        <v>853</v>
      </c>
      <c r="AE914" s="8" t="s">
        <v>4203</v>
      </c>
      <c r="AF914" s="8">
        <v>528</v>
      </c>
      <c r="AG914" s="8">
        <v>160</v>
      </c>
      <c r="CB914" s="26">
        <v>41977</v>
      </c>
      <c r="CC914" s="26" t="s">
        <v>853</v>
      </c>
      <c r="CD914" s="8" t="s">
        <v>3269</v>
      </c>
      <c r="CE914" s="8">
        <v>170</v>
      </c>
      <c r="CF914" s="8">
        <v>85</v>
      </c>
      <c r="CG914" s="26">
        <v>42074</v>
      </c>
      <c r="CH914" s="8" t="s">
        <v>853</v>
      </c>
      <c r="CI914" s="8" t="s">
        <v>3550</v>
      </c>
      <c r="CJ914" s="8">
        <v>37</v>
      </c>
      <c r="CK914" s="8">
        <v>19</v>
      </c>
      <c r="CM914" s="8"/>
      <c r="CR914" s="8"/>
    </row>
    <row r="915" spans="1:129" x14ac:dyDescent="0.25">
      <c r="A915" s="8" t="s">
        <v>4708</v>
      </c>
      <c r="B915" s="24" t="s">
        <v>1961</v>
      </c>
      <c r="C915" s="25" t="s">
        <v>4709</v>
      </c>
      <c r="E915" s="26" t="s">
        <v>1762</v>
      </c>
      <c r="F915" s="198" t="s">
        <v>922</v>
      </c>
      <c r="G915" s="198" t="s">
        <v>1700</v>
      </c>
      <c r="H915" s="25" t="s">
        <v>4710</v>
      </c>
      <c r="I915" s="27" t="s">
        <v>3894</v>
      </c>
      <c r="J915" s="27" t="s">
        <v>866</v>
      </c>
      <c r="K915" s="28" t="s">
        <v>853</v>
      </c>
      <c r="W915" s="93">
        <v>94</v>
      </c>
      <c r="X915" s="84" t="s">
        <v>1700</v>
      </c>
      <c r="Y915" s="84" t="s">
        <v>2499</v>
      </c>
      <c r="AA915" s="84" t="s">
        <v>4711</v>
      </c>
      <c r="AB915" s="84" t="s">
        <v>126</v>
      </c>
      <c r="AC915" s="26">
        <v>42453</v>
      </c>
      <c r="AD915" s="26" t="s">
        <v>853</v>
      </c>
      <c r="AE915" s="8" t="s">
        <v>4712</v>
      </c>
      <c r="AF915" s="8">
        <v>189</v>
      </c>
      <c r="AG915" s="8">
        <v>94</v>
      </c>
      <c r="CB915" s="278"/>
      <c r="CG915" s="278"/>
    </row>
    <row r="916" spans="1:129" x14ac:dyDescent="0.25">
      <c r="A916" s="8" t="s">
        <v>219</v>
      </c>
      <c r="B916" s="24" t="s">
        <v>962</v>
      </c>
      <c r="C916" s="25" t="s">
        <v>1627</v>
      </c>
      <c r="D916" s="26">
        <v>22269</v>
      </c>
      <c r="E916" s="26" t="s">
        <v>1762</v>
      </c>
      <c r="F916" s="198" t="s">
        <v>1392</v>
      </c>
      <c r="G916" s="198" t="s">
        <v>1700</v>
      </c>
      <c r="H916" s="25" t="s">
        <v>1700</v>
      </c>
      <c r="J916" s="27" t="s">
        <v>866</v>
      </c>
      <c r="L916" s="29" t="s">
        <v>3906</v>
      </c>
      <c r="R916" s="29" t="s">
        <v>855</v>
      </c>
      <c r="S916" s="8" t="s">
        <v>1416</v>
      </c>
      <c r="T916" s="8" t="s">
        <v>859</v>
      </c>
      <c r="X916" s="84" t="s">
        <v>1700</v>
      </c>
      <c r="Y916" s="84" t="s">
        <v>1700</v>
      </c>
      <c r="AA916" s="84" t="s">
        <v>1628</v>
      </c>
      <c r="AB916" s="84" t="s">
        <v>670</v>
      </c>
      <c r="CB916" s="26">
        <v>42219</v>
      </c>
      <c r="CC916" s="26" t="s">
        <v>859</v>
      </c>
      <c r="CD916" s="8" t="s">
        <v>3828</v>
      </c>
      <c r="CE916" s="8">
        <v>624</v>
      </c>
      <c r="CF916" s="8">
        <v>280</v>
      </c>
      <c r="CG916" s="26"/>
      <c r="CH916" s="8"/>
      <c r="CM916" s="8"/>
      <c r="CR916" s="8"/>
    </row>
    <row r="917" spans="1:129" ht="13.5" x14ac:dyDescent="0.25">
      <c r="A917" s="8" t="s">
        <v>1636</v>
      </c>
      <c r="B917" s="24" t="s">
        <v>494</v>
      </c>
      <c r="F917" s="198" t="s">
        <v>1700</v>
      </c>
      <c r="G917" s="198" t="s">
        <v>1700</v>
      </c>
      <c r="H917" s="25" t="s">
        <v>1700</v>
      </c>
      <c r="J917" s="27" t="s">
        <v>866</v>
      </c>
      <c r="R917" s="29" t="s">
        <v>858</v>
      </c>
      <c r="CB917" s="278"/>
      <c r="CD917"/>
      <c r="CG917" s="278"/>
      <c r="CH917" s="278"/>
      <c r="CI917"/>
      <c r="CK917" s="279"/>
      <c r="CL917" s="278"/>
      <c r="CM917" s="278"/>
      <c r="CN917"/>
      <c r="CP917" s="279"/>
      <c r="CQ917"/>
      <c r="CR917"/>
      <c r="CS917"/>
      <c r="CU917"/>
      <c r="CV917"/>
      <c r="CW917"/>
      <c r="CX917"/>
      <c r="CZ917"/>
      <c r="DA917"/>
      <c r="DB917"/>
      <c r="DC917"/>
      <c r="DE917"/>
      <c r="DF917"/>
      <c r="DG917"/>
      <c r="DH917"/>
      <c r="DJ917"/>
      <c r="DK917"/>
      <c r="DL917"/>
      <c r="DM917"/>
      <c r="DO917"/>
      <c r="DP917"/>
      <c r="DQ917"/>
      <c r="DR917"/>
      <c r="DT917"/>
      <c r="DU917"/>
      <c r="DV917"/>
      <c r="DW917"/>
      <c r="DY917"/>
    </row>
    <row r="918" spans="1:129" x14ac:dyDescent="0.25">
      <c r="A918" s="19" t="s">
        <v>1637</v>
      </c>
      <c r="B918" s="12" t="s">
        <v>937</v>
      </c>
      <c r="C918" s="13"/>
      <c r="D918" s="14"/>
      <c r="E918" s="14" t="s">
        <v>1762</v>
      </c>
      <c r="F918" s="199" t="s">
        <v>1858</v>
      </c>
      <c r="G918" s="199" t="s">
        <v>1638</v>
      </c>
      <c r="H918" s="13" t="s">
        <v>1639</v>
      </c>
      <c r="I918" s="20" t="s">
        <v>3901</v>
      </c>
      <c r="J918" s="20" t="s">
        <v>866</v>
      </c>
      <c r="K918" s="17" t="s">
        <v>851</v>
      </c>
      <c r="L918" s="21"/>
      <c r="M918" s="21"/>
      <c r="N918" s="21"/>
      <c r="O918" s="21"/>
      <c r="Q918" s="95"/>
      <c r="R918" s="17" t="s">
        <v>851</v>
      </c>
      <c r="S918" s="13"/>
      <c r="T918" s="13"/>
      <c r="U918" s="21"/>
      <c r="V918" s="21"/>
      <c r="CB918" s="26"/>
      <c r="CC918" s="26"/>
      <c r="CF918" s="8"/>
      <c r="CG918" s="26"/>
      <c r="CH918" s="8"/>
      <c r="CM918" s="8"/>
      <c r="CR918" s="8"/>
    </row>
    <row r="919" spans="1:129" x14ac:dyDescent="0.25">
      <c r="A919" s="19" t="s">
        <v>1640</v>
      </c>
      <c r="B919" s="12" t="s">
        <v>552</v>
      </c>
      <c r="C919" s="13" t="s">
        <v>551</v>
      </c>
      <c r="D919" s="14"/>
      <c r="E919" s="14" t="s">
        <v>1762</v>
      </c>
      <c r="F919" s="199" t="s">
        <v>1406</v>
      </c>
      <c r="G919" s="199" t="s">
        <v>1700</v>
      </c>
      <c r="H919" s="13" t="s">
        <v>3162</v>
      </c>
      <c r="I919" s="15" t="s">
        <v>3903</v>
      </c>
      <c r="J919" s="15" t="s">
        <v>866</v>
      </c>
      <c r="K919" s="16" t="s">
        <v>853</v>
      </c>
      <c r="M919" s="13"/>
      <c r="N919" s="21"/>
      <c r="O919" s="21"/>
      <c r="Q919" s="95"/>
      <c r="R919" s="16" t="s">
        <v>853</v>
      </c>
      <c r="S919" s="29"/>
      <c r="T919" s="29"/>
      <c r="U919" s="29"/>
      <c r="V919" s="29"/>
      <c r="W919" s="93">
        <v>160</v>
      </c>
      <c r="X919" s="84" t="s">
        <v>1700</v>
      </c>
      <c r="Y919" s="84" t="s">
        <v>246</v>
      </c>
      <c r="AA919" s="84" t="s">
        <v>77</v>
      </c>
      <c r="AB919" s="84" t="s">
        <v>126</v>
      </c>
      <c r="AC919" s="26">
        <v>42360</v>
      </c>
      <c r="AD919" s="26" t="s">
        <v>853</v>
      </c>
      <c r="AE919" s="8" t="s">
        <v>4501</v>
      </c>
      <c r="AF919" s="8">
        <v>204</v>
      </c>
      <c r="AG919" s="8">
        <v>102</v>
      </c>
      <c r="AH919" s="26">
        <v>42360</v>
      </c>
      <c r="AI919" s="8" t="s">
        <v>853</v>
      </c>
      <c r="AJ919" s="8" t="s">
        <v>4502</v>
      </c>
      <c r="AK919" s="8">
        <v>285</v>
      </c>
      <c r="AL919" s="8">
        <v>58</v>
      </c>
      <c r="CB919" s="26">
        <v>41977</v>
      </c>
      <c r="CC919" s="26" t="s">
        <v>853</v>
      </c>
      <c r="CD919" s="8" t="s">
        <v>3163</v>
      </c>
      <c r="CE919" s="8">
        <v>197</v>
      </c>
      <c r="CF919" s="8">
        <v>99</v>
      </c>
      <c r="CG919" s="26">
        <v>41977</v>
      </c>
      <c r="CH919" s="8" t="s">
        <v>853</v>
      </c>
      <c r="CI919" s="8" t="s">
        <v>3164</v>
      </c>
      <c r="CJ919" s="8">
        <v>285</v>
      </c>
      <c r="CK919" s="8">
        <v>61</v>
      </c>
      <c r="CM919" s="8"/>
      <c r="CR919" s="8"/>
    </row>
    <row r="920" spans="1:129" x14ac:dyDescent="0.25">
      <c r="A920" s="8" t="s">
        <v>3752</v>
      </c>
      <c r="B920" s="24" t="s">
        <v>954</v>
      </c>
      <c r="C920" s="25" t="s">
        <v>3751</v>
      </c>
      <c r="E920" s="26" t="s">
        <v>1762</v>
      </c>
      <c r="F920" s="198" t="s">
        <v>867</v>
      </c>
      <c r="G920" s="198" t="s">
        <v>3753</v>
      </c>
      <c r="H920" s="25" t="s">
        <v>3754</v>
      </c>
      <c r="J920" s="27" t="s">
        <v>866</v>
      </c>
      <c r="R920" s="29" t="s">
        <v>853</v>
      </c>
      <c r="X920" s="84" t="s">
        <v>1700</v>
      </c>
      <c r="Y920" s="84" t="s">
        <v>2499</v>
      </c>
      <c r="AA920" s="84" t="s">
        <v>3755</v>
      </c>
      <c r="AB920" s="84" t="s">
        <v>126</v>
      </c>
      <c r="CB920" s="278">
        <v>42178</v>
      </c>
      <c r="CC920" s="278" t="s">
        <v>853</v>
      </c>
      <c r="CD920" s="8" t="s">
        <v>3756</v>
      </c>
      <c r="CE920" s="8">
        <v>194</v>
      </c>
      <c r="CF920" s="279">
        <v>97</v>
      </c>
      <c r="CG920" s="278"/>
    </row>
    <row r="921" spans="1:129" x14ac:dyDescent="0.25">
      <c r="A921" s="8" t="s">
        <v>1182</v>
      </c>
      <c r="B921" s="24" t="s">
        <v>1183</v>
      </c>
      <c r="C921" s="25" t="s">
        <v>1184</v>
      </c>
      <c r="E921" s="26" t="s">
        <v>1762</v>
      </c>
      <c r="F921" s="198" t="s">
        <v>913</v>
      </c>
      <c r="G921" s="198" t="s">
        <v>3129</v>
      </c>
      <c r="H921" s="25" t="s">
        <v>3771</v>
      </c>
      <c r="I921" s="27" t="s">
        <v>3898</v>
      </c>
      <c r="J921" s="27" t="s">
        <v>866</v>
      </c>
      <c r="K921" s="28" t="s">
        <v>853</v>
      </c>
      <c r="R921" s="29" t="s">
        <v>853</v>
      </c>
      <c r="W921" s="93">
        <v>160</v>
      </c>
      <c r="X921" s="84" t="s">
        <v>1700</v>
      </c>
      <c r="Y921" s="84" t="s">
        <v>2499</v>
      </c>
      <c r="AA921" s="84" t="s">
        <v>1187</v>
      </c>
      <c r="AB921" s="84" t="s">
        <v>126</v>
      </c>
      <c r="AC921" s="26" t="s">
        <v>503</v>
      </c>
      <c r="AD921" s="26" t="s">
        <v>853</v>
      </c>
      <c r="AE921" s="8" t="s">
        <v>4938</v>
      </c>
      <c r="AF921" s="8">
        <v>388.4</v>
      </c>
      <c r="AG921" s="8">
        <v>160</v>
      </c>
      <c r="CB921" s="26">
        <v>42178</v>
      </c>
      <c r="CC921" s="26" t="s">
        <v>853</v>
      </c>
      <c r="CD921" s="8" t="s">
        <v>3772</v>
      </c>
      <c r="CE921" s="8">
        <v>539</v>
      </c>
      <c r="CF921" s="8">
        <v>160</v>
      </c>
      <c r="CG921" s="26"/>
      <c r="CH921" s="8"/>
      <c r="CM921" s="8"/>
      <c r="CR921" s="8"/>
    </row>
    <row r="922" spans="1:129" x14ac:dyDescent="0.25">
      <c r="A922" s="8" t="s">
        <v>1182</v>
      </c>
      <c r="B922" s="24" t="s">
        <v>329</v>
      </c>
      <c r="C922" s="25" t="s">
        <v>1435</v>
      </c>
      <c r="E922" s="26" t="s">
        <v>1762</v>
      </c>
      <c r="F922" s="198" t="s">
        <v>786</v>
      </c>
      <c r="G922" s="198" t="s">
        <v>1700</v>
      </c>
      <c r="H922" s="25" t="s">
        <v>2471</v>
      </c>
      <c r="I922" s="27" t="s">
        <v>3904</v>
      </c>
      <c r="J922" s="27" t="s">
        <v>866</v>
      </c>
      <c r="K922" s="28" t="s">
        <v>853</v>
      </c>
      <c r="R922" s="29" t="s">
        <v>853</v>
      </c>
      <c r="W922" s="93">
        <v>160</v>
      </c>
      <c r="X922" s="84" t="s">
        <v>1700</v>
      </c>
      <c r="Y922" s="84" t="s">
        <v>791</v>
      </c>
      <c r="AA922" s="84" t="s">
        <v>1436</v>
      </c>
      <c r="AB922" s="84" t="s">
        <v>670</v>
      </c>
      <c r="AC922" s="26">
        <v>42360</v>
      </c>
      <c r="AD922" s="26" t="s">
        <v>853</v>
      </c>
      <c r="AE922" s="8" t="s">
        <v>4587</v>
      </c>
      <c r="AF922" s="8">
        <v>517</v>
      </c>
      <c r="AG922" s="8">
        <v>160</v>
      </c>
      <c r="CB922" s="26">
        <v>41934</v>
      </c>
      <c r="CC922" s="26" t="s">
        <v>853</v>
      </c>
      <c r="CD922" s="8" t="s">
        <v>2952</v>
      </c>
      <c r="CE922" s="8">
        <v>418.6</v>
      </c>
      <c r="CF922" s="8">
        <v>160</v>
      </c>
      <c r="CG922" s="26"/>
      <c r="CH922" s="8"/>
      <c r="CM922" s="8"/>
      <c r="CR922" s="8"/>
    </row>
    <row r="923" spans="1:129" x14ac:dyDescent="0.25">
      <c r="A923" s="8" t="s">
        <v>1349</v>
      </c>
      <c r="B923" s="24" t="s">
        <v>944</v>
      </c>
      <c r="C923" s="25" t="s">
        <v>1350</v>
      </c>
      <c r="E923" s="26" t="s">
        <v>1762</v>
      </c>
      <c r="F923" s="198" t="s">
        <v>138</v>
      </c>
      <c r="G923" s="198" t="s">
        <v>1700</v>
      </c>
      <c r="H923" s="25" t="s">
        <v>3043</v>
      </c>
      <c r="I923" s="27" t="s">
        <v>3903</v>
      </c>
      <c r="J923" s="27" t="s">
        <v>866</v>
      </c>
      <c r="K923" s="28" t="s">
        <v>853</v>
      </c>
      <c r="R923" s="29" t="s">
        <v>853</v>
      </c>
      <c r="W923" s="93">
        <v>77</v>
      </c>
      <c r="X923" s="84" t="s">
        <v>1700</v>
      </c>
      <c r="Y923" s="84" t="s">
        <v>2499</v>
      </c>
      <c r="AA923" s="84" t="s">
        <v>1351</v>
      </c>
      <c r="AB923" s="84" t="s">
        <v>126</v>
      </c>
      <c r="AC923" s="26">
        <v>42352</v>
      </c>
      <c r="AD923" s="26" t="s">
        <v>853</v>
      </c>
      <c r="AE923" s="8" t="s">
        <v>4385</v>
      </c>
      <c r="AF923" s="8">
        <v>114</v>
      </c>
      <c r="AG923" s="8">
        <v>77</v>
      </c>
      <c r="CB923" s="26">
        <v>41943</v>
      </c>
      <c r="CC923" s="26" t="s">
        <v>853</v>
      </c>
      <c r="CD923" s="8" t="s">
        <v>3044</v>
      </c>
      <c r="CE923" s="8">
        <v>114</v>
      </c>
      <c r="CF923" s="8">
        <v>57</v>
      </c>
      <c r="CG923" s="26"/>
      <c r="CH923" s="8"/>
      <c r="CM923" s="8"/>
      <c r="CR923" s="8"/>
    </row>
    <row r="924" spans="1:129" x14ac:dyDescent="0.25">
      <c r="A924" s="8" t="s">
        <v>2046</v>
      </c>
      <c r="B924" s="24" t="s">
        <v>1212</v>
      </c>
      <c r="C924" s="25" t="s">
        <v>1208</v>
      </c>
      <c r="D924" s="26">
        <v>30577</v>
      </c>
      <c r="E924" s="26" t="s">
        <v>1762</v>
      </c>
      <c r="F924" s="198" t="s">
        <v>1209</v>
      </c>
      <c r="G924" s="198" t="s">
        <v>1210</v>
      </c>
      <c r="H924" s="25" t="s">
        <v>1211</v>
      </c>
      <c r="I924" s="27" t="s">
        <v>3893</v>
      </c>
      <c r="J924" s="27" t="s">
        <v>866</v>
      </c>
      <c r="K924" s="28" t="s">
        <v>816</v>
      </c>
      <c r="CB924" s="26"/>
      <c r="CC924" s="26"/>
      <c r="CF924" s="8"/>
      <c r="CG924" s="26"/>
      <c r="CH924" s="8"/>
      <c r="CM924" s="8"/>
      <c r="CR924" s="8"/>
    </row>
    <row r="925" spans="1:129" x14ac:dyDescent="0.25">
      <c r="A925" s="8" t="s">
        <v>2284</v>
      </c>
      <c r="B925" s="24" t="s">
        <v>873</v>
      </c>
      <c r="C925" s="25" t="s">
        <v>2285</v>
      </c>
      <c r="E925" s="26" t="s">
        <v>1762</v>
      </c>
      <c r="F925" s="198" t="s">
        <v>1842</v>
      </c>
      <c r="G925" s="198" t="s">
        <v>1700</v>
      </c>
      <c r="H925" s="25" t="s">
        <v>1700</v>
      </c>
      <c r="I925" s="27" t="s">
        <v>3904</v>
      </c>
      <c r="J925" s="27" t="s">
        <v>866</v>
      </c>
      <c r="K925" s="28" t="s">
        <v>1416</v>
      </c>
      <c r="R925" s="29" t="s">
        <v>1416</v>
      </c>
      <c r="S925" s="8" t="s">
        <v>854</v>
      </c>
      <c r="CB925" s="26"/>
      <c r="CC925" s="26"/>
      <c r="CF925" s="8"/>
      <c r="CG925" s="26"/>
      <c r="CH925" s="8"/>
      <c r="CM925" s="8"/>
      <c r="CR925" s="8"/>
    </row>
    <row r="926" spans="1:129" x14ac:dyDescent="0.25">
      <c r="A926" s="8" t="s">
        <v>2146</v>
      </c>
      <c r="B926" s="24" t="s">
        <v>2147</v>
      </c>
      <c r="C926" s="25" t="s">
        <v>1576</v>
      </c>
      <c r="D926" s="26">
        <v>23211</v>
      </c>
      <c r="E926" s="26" t="s">
        <v>1764</v>
      </c>
      <c r="F926" s="198" t="s">
        <v>927</v>
      </c>
      <c r="G926" s="198" t="s">
        <v>1700</v>
      </c>
      <c r="H926" s="25" t="s">
        <v>1577</v>
      </c>
      <c r="I926" s="27" t="s">
        <v>3902</v>
      </c>
      <c r="J926" s="27" t="s">
        <v>866</v>
      </c>
      <c r="K926" s="28" t="s">
        <v>3907</v>
      </c>
      <c r="P926" s="17">
        <v>1</v>
      </c>
      <c r="Q926" s="93"/>
      <c r="R926" s="28" t="s">
        <v>1763</v>
      </c>
      <c r="S926" s="21"/>
      <c r="T926" s="21"/>
      <c r="U926" s="21"/>
      <c r="V926" s="21"/>
      <c r="CB926" s="26"/>
      <c r="CC926" s="26"/>
      <c r="CF926" s="8"/>
      <c r="CG926" s="26"/>
      <c r="CH926" s="8"/>
      <c r="CM926" s="8"/>
      <c r="CR926" s="8"/>
    </row>
    <row r="927" spans="1:129" x14ac:dyDescent="0.25">
      <c r="A927" s="8" t="s">
        <v>4611</v>
      </c>
      <c r="B927" s="24" t="s">
        <v>4612</v>
      </c>
      <c r="F927" s="198" t="s">
        <v>1700</v>
      </c>
      <c r="G927" s="198" t="s">
        <v>1700</v>
      </c>
      <c r="H927" s="25" t="s">
        <v>1700</v>
      </c>
      <c r="I927" s="27" t="s">
        <v>3893</v>
      </c>
      <c r="J927" s="27" t="s">
        <v>866</v>
      </c>
      <c r="K927" s="28" t="s">
        <v>3907</v>
      </c>
      <c r="P927" s="17">
        <v>1</v>
      </c>
      <c r="CB927" s="278"/>
      <c r="CG927" s="278"/>
    </row>
    <row r="928" spans="1:129" x14ac:dyDescent="0.25">
      <c r="A928" s="8" t="s">
        <v>3842</v>
      </c>
      <c r="B928" s="24" t="s">
        <v>481</v>
      </c>
      <c r="C928" s="25" t="s">
        <v>3841</v>
      </c>
      <c r="E928" s="26" t="s">
        <v>1764</v>
      </c>
      <c r="F928" s="198" t="s">
        <v>1977</v>
      </c>
      <c r="G928" s="198" t="s">
        <v>1700</v>
      </c>
      <c r="H928" s="25" t="s">
        <v>3843</v>
      </c>
      <c r="J928" s="27" t="s">
        <v>866</v>
      </c>
      <c r="R928" s="29" t="s">
        <v>853</v>
      </c>
      <c r="X928" s="84" t="s">
        <v>1700</v>
      </c>
      <c r="Y928" s="84" t="s">
        <v>1205</v>
      </c>
      <c r="AA928" s="84" t="s">
        <v>3844</v>
      </c>
      <c r="AB928" s="84" t="s">
        <v>1748</v>
      </c>
      <c r="CB928" s="278">
        <v>42219</v>
      </c>
      <c r="CC928" s="278" t="s">
        <v>853</v>
      </c>
      <c r="CD928" s="8" t="s">
        <v>3845</v>
      </c>
      <c r="CE928" s="8">
        <v>293.7</v>
      </c>
      <c r="CF928" s="279">
        <v>146</v>
      </c>
      <c r="CG928" s="278"/>
    </row>
    <row r="929" spans="1:125" x14ac:dyDescent="0.25">
      <c r="A929" s="8" t="s">
        <v>2055</v>
      </c>
      <c r="B929" s="24" t="s">
        <v>2184</v>
      </c>
      <c r="F929" s="198" t="s">
        <v>1700</v>
      </c>
      <c r="G929" s="198" t="s">
        <v>1700</v>
      </c>
      <c r="H929" s="25" t="s">
        <v>1700</v>
      </c>
      <c r="J929" s="27" t="s">
        <v>866</v>
      </c>
      <c r="CB929" s="26"/>
      <c r="CC929" s="26"/>
      <c r="CF929" s="8"/>
      <c r="CG929" s="26"/>
      <c r="CH929" s="8"/>
      <c r="CM929" s="8"/>
      <c r="CR929" s="8"/>
    </row>
    <row r="930" spans="1:125" x14ac:dyDescent="0.25">
      <c r="A930" s="19" t="s">
        <v>311</v>
      </c>
      <c r="B930" s="12" t="s">
        <v>944</v>
      </c>
      <c r="C930" s="13" t="s">
        <v>309</v>
      </c>
      <c r="D930" s="14"/>
      <c r="E930" s="14" t="s">
        <v>1762</v>
      </c>
      <c r="F930" s="199" t="s">
        <v>754</v>
      </c>
      <c r="G930" s="199" t="s">
        <v>1700</v>
      </c>
      <c r="H930" s="13" t="s">
        <v>2879</v>
      </c>
      <c r="I930" s="20" t="s">
        <v>3901</v>
      </c>
      <c r="J930" s="20" t="s">
        <v>866</v>
      </c>
      <c r="K930" s="17" t="s">
        <v>853</v>
      </c>
      <c r="M930" s="21"/>
      <c r="N930" s="21"/>
      <c r="O930" s="21"/>
      <c r="Q930" s="95"/>
      <c r="R930" s="17" t="s">
        <v>853</v>
      </c>
      <c r="S930" s="29"/>
      <c r="T930" s="29"/>
      <c r="U930" s="29"/>
      <c r="V930" s="29"/>
      <c r="W930" s="93">
        <v>90</v>
      </c>
      <c r="X930" s="84" t="s">
        <v>1700</v>
      </c>
      <c r="Y930" s="84" t="s">
        <v>246</v>
      </c>
      <c r="AA930" s="84" t="s">
        <v>1705</v>
      </c>
      <c r="AB930" s="84" t="s">
        <v>126</v>
      </c>
      <c r="AC930" s="26">
        <v>42311</v>
      </c>
      <c r="AD930" s="26" t="s">
        <v>853</v>
      </c>
      <c r="AE930" s="8" t="s">
        <v>4112</v>
      </c>
      <c r="AF930" s="8">
        <v>180</v>
      </c>
      <c r="AG930" s="8">
        <v>90</v>
      </c>
      <c r="CB930" s="26">
        <v>41934</v>
      </c>
      <c r="CC930" s="26" t="s">
        <v>853</v>
      </c>
      <c r="CD930" s="8" t="s">
        <v>2880</v>
      </c>
      <c r="CE930" s="8">
        <v>170</v>
      </c>
      <c r="CF930" s="8">
        <v>85</v>
      </c>
      <c r="CG930" s="26"/>
      <c r="CH930" s="8"/>
      <c r="CM930" s="8"/>
      <c r="CR930" s="8"/>
    </row>
    <row r="931" spans="1:125" x14ac:dyDescent="0.25">
      <c r="A931" s="8" t="s">
        <v>2132</v>
      </c>
      <c r="B931" s="24" t="s">
        <v>915</v>
      </c>
      <c r="C931" s="25" t="s">
        <v>1649</v>
      </c>
      <c r="E931" s="26" t="s">
        <v>1762</v>
      </c>
      <c r="F931" s="198" t="s">
        <v>852</v>
      </c>
      <c r="G931" s="198" t="s">
        <v>1700</v>
      </c>
      <c r="H931" s="25" t="s">
        <v>1700</v>
      </c>
      <c r="I931" s="27" t="s">
        <v>3902</v>
      </c>
      <c r="J931" s="27" t="s">
        <v>866</v>
      </c>
      <c r="K931" s="28" t="s">
        <v>858</v>
      </c>
      <c r="R931" s="29" t="s">
        <v>858</v>
      </c>
      <c r="CB931" s="26"/>
      <c r="CC931" s="26"/>
      <c r="CF931" s="8"/>
      <c r="CG931" s="26"/>
      <c r="CH931" s="8"/>
      <c r="CM931" s="8"/>
      <c r="CR931" s="8"/>
    </row>
    <row r="932" spans="1:125" x14ac:dyDescent="0.25">
      <c r="A932" s="8" t="s">
        <v>3698</v>
      </c>
      <c r="B932" s="24" t="s">
        <v>3699</v>
      </c>
      <c r="F932" s="198" t="s">
        <v>1700</v>
      </c>
      <c r="G932" s="198" t="s">
        <v>1700</v>
      </c>
      <c r="H932" s="25" t="s">
        <v>1700</v>
      </c>
      <c r="J932" s="27" t="s">
        <v>866</v>
      </c>
      <c r="R932" s="29" t="s">
        <v>889</v>
      </c>
      <c r="CB932" s="278"/>
      <c r="CG932" s="278"/>
    </row>
    <row r="933" spans="1:125" x14ac:dyDescent="0.25">
      <c r="A933" s="8" t="s">
        <v>1826</v>
      </c>
      <c r="B933" s="24" t="s">
        <v>1827</v>
      </c>
      <c r="C933" s="25" t="s">
        <v>1828</v>
      </c>
      <c r="E933" s="26" t="s">
        <v>1762</v>
      </c>
      <c r="F933" s="198" t="s">
        <v>1829</v>
      </c>
      <c r="G933" s="198" t="s">
        <v>1700</v>
      </c>
      <c r="H933" s="25" t="s">
        <v>4458</v>
      </c>
      <c r="I933" s="27" t="s">
        <v>3903</v>
      </c>
      <c r="J933" s="27" t="s">
        <v>866</v>
      </c>
      <c r="K933" s="28" t="s">
        <v>853</v>
      </c>
      <c r="W933" s="93">
        <v>75</v>
      </c>
      <c r="X933" s="84" t="s">
        <v>1700</v>
      </c>
      <c r="Y933" s="84" t="s">
        <v>195</v>
      </c>
      <c r="AA933" s="84" t="s">
        <v>4460</v>
      </c>
      <c r="AB933" s="84" t="s">
        <v>4459</v>
      </c>
      <c r="AC933" s="26">
        <v>42360</v>
      </c>
      <c r="AD933" s="26" t="s">
        <v>853</v>
      </c>
      <c r="AE933" s="8" t="s">
        <v>4461</v>
      </c>
      <c r="AF933" s="8">
        <v>150</v>
      </c>
      <c r="AG933" s="8">
        <v>75</v>
      </c>
      <c r="CB933" s="26"/>
      <c r="CC933" s="26"/>
      <c r="CF933" s="8"/>
      <c r="CG933" s="26"/>
      <c r="CH933" s="8"/>
      <c r="CM933" s="8"/>
      <c r="CR933" s="8"/>
    </row>
    <row r="934" spans="1:125" x14ac:dyDescent="0.25">
      <c r="A934" s="8" t="s">
        <v>2473</v>
      </c>
      <c r="B934" s="24" t="s">
        <v>952</v>
      </c>
      <c r="E934" s="26" t="s">
        <v>1764</v>
      </c>
      <c r="F934" s="198" t="s">
        <v>1776</v>
      </c>
      <c r="G934" s="198" t="s">
        <v>1700</v>
      </c>
      <c r="H934" s="25" t="s">
        <v>1700</v>
      </c>
      <c r="J934" s="27" t="s">
        <v>866</v>
      </c>
      <c r="R934" s="29" t="s">
        <v>855</v>
      </c>
      <c r="S934" s="8" t="s">
        <v>816</v>
      </c>
      <c r="CB934" s="26"/>
      <c r="CC934" s="26"/>
      <c r="CF934" s="8"/>
      <c r="CG934" s="26"/>
      <c r="CH934" s="8"/>
      <c r="CM934" s="8"/>
      <c r="CR934" s="8"/>
    </row>
    <row r="935" spans="1:125" x14ac:dyDescent="0.25">
      <c r="A935" s="8" t="s">
        <v>1107</v>
      </c>
      <c r="B935" s="24" t="s">
        <v>906</v>
      </c>
      <c r="C935" s="25" t="s">
        <v>2501</v>
      </c>
      <c r="E935" s="26" t="s">
        <v>1762</v>
      </c>
      <c r="F935" s="198" t="s">
        <v>1376</v>
      </c>
      <c r="G935" s="198" t="s">
        <v>1700</v>
      </c>
      <c r="H935" s="25" t="s">
        <v>2502</v>
      </c>
      <c r="J935" s="27" t="s">
        <v>866</v>
      </c>
      <c r="R935" s="29" t="s">
        <v>853</v>
      </c>
      <c r="X935" s="84" t="s">
        <v>1700</v>
      </c>
      <c r="Y935" s="84" t="s">
        <v>2503</v>
      </c>
      <c r="AA935" s="84" t="s">
        <v>2504</v>
      </c>
      <c r="AB935" s="84" t="s">
        <v>126</v>
      </c>
      <c r="CB935" s="26">
        <v>42188</v>
      </c>
      <c r="CC935" s="26" t="s">
        <v>853</v>
      </c>
      <c r="CD935" s="8" t="s">
        <v>3779</v>
      </c>
      <c r="CE935" s="8">
        <v>295</v>
      </c>
      <c r="CF935" s="8">
        <v>148</v>
      </c>
      <c r="CG935" s="26"/>
      <c r="CH935" s="8"/>
      <c r="CM935" s="8"/>
      <c r="CR935" s="8"/>
    </row>
    <row r="936" spans="1:125" x14ac:dyDescent="0.25">
      <c r="A936" s="8" t="s">
        <v>1107</v>
      </c>
      <c r="B936" s="24" t="s">
        <v>873</v>
      </c>
      <c r="C936" s="25" t="s">
        <v>1108</v>
      </c>
      <c r="E936" s="26" t="s">
        <v>1762</v>
      </c>
      <c r="F936" s="198" t="s">
        <v>1977</v>
      </c>
      <c r="G936" s="198" t="s">
        <v>1700</v>
      </c>
      <c r="H936" s="25" t="s">
        <v>1700</v>
      </c>
      <c r="J936" s="27" t="s">
        <v>866</v>
      </c>
      <c r="X936" s="84" t="s">
        <v>1700</v>
      </c>
      <c r="Y936" s="84" t="s">
        <v>500</v>
      </c>
      <c r="AA936" s="84" t="s">
        <v>1109</v>
      </c>
      <c r="AB936" s="84" t="s">
        <v>221</v>
      </c>
      <c r="CB936" s="26"/>
      <c r="CC936" s="26"/>
      <c r="CF936" s="8"/>
      <c r="CG936" s="26"/>
      <c r="CH936" s="8"/>
      <c r="CM936" s="8"/>
      <c r="CR936" s="8"/>
    </row>
    <row r="937" spans="1:125" x14ac:dyDescent="0.25">
      <c r="A937" s="8" t="s">
        <v>591</v>
      </c>
      <c r="B937" s="24" t="s">
        <v>1603</v>
      </c>
      <c r="C937" s="25" t="s">
        <v>592</v>
      </c>
      <c r="E937" s="26" t="s">
        <v>1764</v>
      </c>
      <c r="F937" s="198" t="s">
        <v>350</v>
      </c>
      <c r="G937" s="198" t="s">
        <v>1700</v>
      </c>
      <c r="H937" s="25" t="s">
        <v>1700</v>
      </c>
      <c r="J937" s="27" t="s">
        <v>866</v>
      </c>
      <c r="X937" s="84" t="s">
        <v>1700</v>
      </c>
      <c r="Y937" s="84" t="s">
        <v>195</v>
      </c>
      <c r="AA937" s="84" t="s">
        <v>595</v>
      </c>
      <c r="AB937" s="84" t="s">
        <v>1794</v>
      </c>
      <c r="CB937" s="26"/>
      <c r="CC937" s="26"/>
      <c r="CF937" s="8"/>
      <c r="CG937" s="26"/>
      <c r="CH937" s="8"/>
      <c r="CM937" s="8"/>
      <c r="CR937" s="8"/>
    </row>
    <row r="938" spans="1:125" x14ac:dyDescent="0.25">
      <c r="A938" s="8" t="s">
        <v>2445</v>
      </c>
      <c r="B938" s="24" t="s">
        <v>871</v>
      </c>
      <c r="D938" s="26">
        <v>24722</v>
      </c>
      <c r="E938" s="26" t="s">
        <v>1762</v>
      </c>
      <c r="F938" s="198" t="s">
        <v>325</v>
      </c>
      <c r="G938" s="198" t="s">
        <v>1700</v>
      </c>
      <c r="H938" s="25" t="s">
        <v>2446</v>
      </c>
      <c r="J938" s="27" t="s">
        <v>866</v>
      </c>
      <c r="CB938" s="26"/>
      <c r="CC938" s="26"/>
      <c r="CF938" s="8"/>
      <c r="CG938" s="26"/>
      <c r="CH938" s="8"/>
      <c r="CM938" s="8"/>
      <c r="CR938" s="8"/>
    </row>
    <row r="939" spans="1:125" x14ac:dyDescent="0.25">
      <c r="A939" s="19" t="s">
        <v>1641</v>
      </c>
      <c r="B939" s="12" t="s">
        <v>1642</v>
      </c>
      <c r="C939" s="13" t="s">
        <v>1584</v>
      </c>
      <c r="D939" s="14"/>
      <c r="E939" s="14" t="s">
        <v>1762</v>
      </c>
      <c r="F939" s="199" t="s">
        <v>852</v>
      </c>
      <c r="G939" s="199" t="s">
        <v>2173</v>
      </c>
      <c r="H939" s="13" t="s">
        <v>2172</v>
      </c>
      <c r="I939" s="20" t="s">
        <v>3901</v>
      </c>
      <c r="J939" s="20" t="s">
        <v>866</v>
      </c>
      <c r="K939" s="17" t="s">
        <v>3908</v>
      </c>
      <c r="L939" s="21"/>
      <c r="M939" s="21"/>
      <c r="N939" s="21"/>
      <c r="O939" s="21"/>
      <c r="Q939" s="95"/>
      <c r="R939" s="17"/>
      <c r="S939" s="21"/>
      <c r="T939" s="21"/>
      <c r="U939" s="21"/>
      <c r="V939" s="21"/>
      <c r="X939" s="84" t="s">
        <v>1700</v>
      </c>
      <c r="Y939" s="84" t="s">
        <v>1700</v>
      </c>
      <c r="AA939" s="84" t="s">
        <v>1585</v>
      </c>
      <c r="AB939" s="84" t="s">
        <v>126</v>
      </c>
      <c r="AD939" s="8"/>
      <c r="BV939" s="8"/>
      <c r="CB939" s="26"/>
      <c r="CC939" s="8"/>
      <c r="CF939" s="8"/>
      <c r="CG939" s="26"/>
      <c r="CH939" s="8"/>
      <c r="CM939" s="8"/>
      <c r="CR939" s="8"/>
      <c r="DU939" s="8"/>
    </row>
    <row r="940" spans="1:125" x14ac:dyDescent="0.25">
      <c r="A940" s="8" t="s">
        <v>4383</v>
      </c>
      <c r="B940" s="24" t="s">
        <v>1838</v>
      </c>
      <c r="F940" s="198" t="s">
        <v>1700</v>
      </c>
      <c r="G940" s="198" t="s">
        <v>1700</v>
      </c>
      <c r="H940" s="25" t="s">
        <v>1700</v>
      </c>
      <c r="I940" s="27" t="s">
        <v>3904</v>
      </c>
      <c r="J940" s="27" t="s">
        <v>866</v>
      </c>
      <c r="K940" s="28" t="s">
        <v>3907</v>
      </c>
      <c r="P940" s="17">
        <v>1</v>
      </c>
      <c r="CB940" s="278"/>
      <c r="CG940" s="278"/>
    </row>
    <row r="941" spans="1:125" x14ac:dyDescent="0.25">
      <c r="A941" s="8" t="s">
        <v>3818</v>
      </c>
      <c r="B941" s="24" t="s">
        <v>1417</v>
      </c>
      <c r="D941" s="26">
        <v>23181</v>
      </c>
      <c r="E941" s="26" t="s">
        <v>1762</v>
      </c>
      <c r="F941" s="198" t="s">
        <v>898</v>
      </c>
      <c r="G941" s="198" t="s">
        <v>1700</v>
      </c>
      <c r="H941" s="25" t="s">
        <v>1700</v>
      </c>
      <c r="J941" s="27" t="s">
        <v>866</v>
      </c>
      <c r="S941" s="8" t="s">
        <v>855</v>
      </c>
      <c r="CB941" s="278"/>
      <c r="CG941" s="278"/>
    </row>
    <row r="942" spans="1:125" x14ac:dyDescent="0.25">
      <c r="A942" s="8" t="s">
        <v>187</v>
      </c>
      <c r="B942" s="24" t="s">
        <v>880</v>
      </c>
      <c r="C942" s="25" t="s">
        <v>188</v>
      </c>
      <c r="E942" s="26" t="s">
        <v>1762</v>
      </c>
      <c r="F942" s="198" t="s">
        <v>947</v>
      </c>
      <c r="G942" s="198" t="s">
        <v>1700</v>
      </c>
      <c r="H942" s="25" t="s">
        <v>1700</v>
      </c>
      <c r="I942" s="27" t="s">
        <v>3903</v>
      </c>
      <c r="J942" s="27" t="s">
        <v>866</v>
      </c>
      <c r="K942" s="28" t="s">
        <v>853</v>
      </c>
      <c r="R942" s="29" t="s">
        <v>853</v>
      </c>
      <c r="W942" s="93">
        <v>126</v>
      </c>
      <c r="X942" s="84" t="s">
        <v>1700</v>
      </c>
      <c r="Y942" s="84" t="s">
        <v>2499</v>
      </c>
      <c r="AA942" s="84" t="s">
        <v>189</v>
      </c>
      <c r="AB942" s="84" t="s">
        <v>126</v>
      </c>
      <c r="AC942" s="26">
        <v>42352</v>
      </c>
      <c r="AD942" s="26" t="s">
        <v>853</v>
      </c>
      <c r="AE942" s="8" t="s">
        <v>4404</v>
      </c>
      <c r="AF942" s="8">
        <v>252</v>
      </c>
      <c r="AG942" s="8">
        <v>126</v>
      </c>
      <c r="CB942" s="26">
        <v>41943</v>
      </c>
      <c r="CC942" s="26" t="s">
        <v>853</v>
      </c>
      <c r="CD942" s="8" t="s">
        <v>3023</v>
      </c>
      <c r="CE942" s="8">
        <v>468</v>
      </c>
      <c r="CF942" s="8">
        <v>160</v>
      </c>
      <c r="CG942" s="26"/>
      <c r="CH942" s="8"/>
      <c r="CM942" s="8"/>
      <c r="CR942" s="8"/>
    </row>
    <row r="943" spans="1:125" x14ac:dyDescent="0.25">
      <c r="A943" s="8" t="s">
        <v>1789</v>
      </c>
      <c r="B943" s="24" t="s">
        <v>894</v>
      </c>
      <c r="C943" s="25" t="s">
        <v>1790</v>
      </c>
      <c r="E943" s="26" t="s">
        <v>1764</v>
      </c>
      <c r="F943" s="198" t="s">
        <v>1791</v>
      </c>
      <c r="G943" s="198" t="s">
        <v>1700</v>
      </c>
      <c r="H943" s="25" t="s">
        <v>2613</v>
      </c>
      <c r="I943" s="27" t="s">
        <v>3901</v>
      </c>
      <c r="J943" s="27" t="s">
        <v>866</v>
      </c>
      <c r="K943" s="28" t="s">
        <v>853</v>
      </c>
      <c r="R943" s="29" t="s">
        <v>853</v>
      </c>
      <c r="W943" s="93">
        <v>144</v>
      </c>
      <c r="X943" s="84" t="s">
        <v>1700</v>
      </c>
      <c r="Y943" s="84" t="s">
        <v>258</v>
      </c>
      <c r="AA943" s="84" t="s">
        <v>1792</v>
      </c>
      <c r="AB943" s="84" t="s">
        <v>1749</v>
      </c>
      <c r="AC943" s="26">
        <v>42299</v>
      </c>
      <c r="AD943" s="26" t="s">
        <v>853</v>
      </c>
      <c r="AE943" s="8" t="s">
        <v>4024</v>
      </c>
      <c r="AF943" s="8">
        <v>288</v>
      </c>
      <c r="AG943" s="8">
        <v>144</v>
      </c>
      <c r="CB943" s="26">
        <v>41921</v>
      </c>
      <c r="CC943" s="26" t="s">
        <v>853</v>
      </c>
      <c r="CD943" s="8" t="s">
        <v>2693</v>
      </c>
      <c r="CE943" s="8">
        <v>165</v>
      </c>
      <c r="CF943" s="8">
        <v>83</v>
      </c>
      <c r="CG943" s="26">
        <v>42188</v>
      </c>
      <c r="CH943" s="8" t="s">
        <v>853</v>
      </c>
      <c r="CI943" s="8" t="s">
        <v>2693</v>
      </c>
      <c r="CJ943" s="8">
        <v>99</v>
      </c>
      <c r="CK943" s="8">
        <v>45</v>
      </c>
      <c r="CM943" s="8"/>
      <c r="CR943" s="8"/>
    </row>
    <row r="944" spans="1:125" x14ac:dyDescent="0.25">
      <c r="A944" s="8" t="s">
        <v>2510</v>
      </c>
      <c r="B944" s="24" t="s">
        <v>978</v>
      </c>
      <c r="C944" s="25" t="s">
        <v>2511</v>
      </c>
      <c r="E944" s="26" t="s">
        <v>1762</v>
      </c>
      <c r="F944" s="198" t="s">
        <v>134</v>
      </c>
      <c r="G944" s="198" t="s">
        <v>1700</v>
      </c>
      <c r="H944" s="25" t="s">
        <v>2512</v>
      </c>
      <c r="J944" s="27" t="s">
        <v>866</v>
      </c>
      <c r="R944" s="29" t="s">
        <v>1126</v>
      </c>
      <c r="X944" s="84" t="s">
        <v>1700</v>
      </c>
      <c r="Y944" s="84" t="s">
        <v>2499</v>
      </c>
      <c r="AA944" s="84" t="s">
        <v>2513</v>
      </c>
      <c r="AB944" s="84" t="s">
        <v>126</v>
      </c>
      <c r="CB944" s="26">
        <v>42094</v>
      </c>
      <c r="CC944" s="26" t="s">
        <v>1126</v>
      </c>
      <c r="CD944" s="8" t="s">
        <v>3675</v>
      </c>
      <c r="CE944" s="8">
        <v>40.700000000000003</v>
      </c>
      <c r="CF944" s="8">
        <v>20.350000000000001</v>
      </c>
      <c r="CG944" s="26"/>
      <c r="CH944" s="8"/>
      <c r="CM944" s="8"/>
      <c r="CR944" s="8"/>
    </row>
    <row r="945" spans="1:129" ht="13.5" x14ac:dyDescent="0.25">
      <c r="A945" s="8" t="s">
        <v>2982</v>
      </c>
      <c r="B945" s="24" t="s">
        <v>1161</v>
      </c>
      <c r="D945" s="26">
        <v>29194</v>
      </c>
      <c r="E945" s="26" t="s">
        <v>877</v>
      </c>
      <c r="F945" s="198" t="s">
        <v>1700</v>
      </c>
      <c r="G945" s="198" t="s">
        <v>1700</v>
      </c>
      <c r="H945" s="25" t="s">
        <v>1700</v>
      </c>
      <c r="I945" s="27" t="s">
        <v>3902</v>
      </c>
      <c r="J945" s="27" t="s">
        <v>866</v>
      </c>
      <c r="K945" s="28" t="s">
        <v>817</v>
      </c>
      <c r="R945" s="29" t="s">
        <v>817</v>
      </c>
      <c r="S945" s="8" t="s">
        <v>816</v>
      </c>
      <c r="CB945" s="278"/>
      <c r="CD945" s="279"/>
      <c r="CG945" s="278"/>
      <c r="CH945" s="278"/>
      <c r="CI945" s="258"/>
      <c r="CK945" s="279"/>
      <c r="CL945" s="278"/>
      <c r="CM945" s="278"/>
      <c r="CN945" s="258"/>
      <c r="CP945" s="279"/>
      <c r="CQ945" s="258"/>
      <c r="CR945" s="258"/>
      <c r="CS945" s="258"/>
      <c r="CU945" s="258"/>
      <c r="CV945" s="258"/>
      <c r="CW945" s="258"/>
      <c r="CX945" s="258"/>
      <c r="CZ945" s="258"/>
      <c r="DA945" s="258"/>
      <c r="DB945" s="258"/>
      <c r="DC945" s="258"/>
      <c r="DE945" s="258"/>
      <c r="DF945" s="258"/>
      <c r="DG945" s="258"/>
      <c r="DH945" s="258"/>
      <c r="DJ945" s="258"/>
      <c r="DK945" s="258"/>
      <c r="DL945" s="258"/>
      <c r="DM945" s="258"/>
      <c r="DO945" s="258"/>
      <c r="DP945" s="258"/>
      <c r="DQ945" s="258"/>
      <c r="DR945" s="258"/>
      <c r="DT945" s="258"/>
      <c r="DU945" s="258"/>
      <c r="DV945" s="258"/>
      <c r="DW945" s="258"/>
      <c r="DY945" s="258"/>
    </row>
    <row r="946" spans="1:129" x14ac:dyDescent="0.25">
      <c r="A946" s="8" t="s">
        <v>787</v>
      </c>
      <c r="B946" s="24" t="s">
        <v>878</v>
      </c>
      <c r="C946" s="25" t="s">
        <v>785</v>
      </c>
      <c r="E946" s="26" t="s">
        <v>1762</v>
      </c>
      <c r="F946" s="198" t="s">
        <v>788</v>
      </c>
      <c r="G946" s="198" t="s">
        <v>1700</v>
      </c>
      <c r="H946" s="25" t="s">
        <v>1700</v>
      </c>
      <c r="J946" s="27" t="s">
        <v>866</v>
      </c>
      <c r="Q946" s="95"/>
      <c r="R946" s="16"/>
      <c r="S946" s="29"/>
      <c r="T946" s="29"/>
      <c r="U946" s="29"/>
      <c r="V946" s="29"/>
      <c r="X946" s="84" t="s">
        <v>1700</v>
      </c>
      <c r="Y946" s="84" t="s">
        <v>246</v>
      </c>
      <c r="AA946" s="84" t="s">
        <v>78</v>
      </c>
      <c r="AB946" s="84" t="s">
        <v>126</v>
      </c>
      <c r="CB946" s="26"/>
      <c r="CC946" s="26"/>
      <c r="CF946" s="8"/>
      <c r="CG946" s="26"/>
      <c r="CH946" s="8"/>
      <c r="CM946" s="8"/>
      <c r="CR946" s="8"/>
    </row>
    <row r="947" spans="1:129" ht="13.5" x14ac:dyDescent="0.25">
      <c r="A947" s="8" t="s">
        <v>1160</v>
      </c>
      <c r="B947" s="24" t="s">
        <v>1161</v>
      </c>
      <c r="E947" s="26" t="s">
        <v>877</v>
      </c>
      <c r="F947" s="198" t="s">
        <v>2158</v>
      </c>
      <c r="G947" s="198" t="s">
        <v>2159</v>
      </c>
      <c r="H947" s="25" t="s">
        <v>1700</v>
      </c>
      <c r="J947" s="27" t="s">
        <v>866</v>
      </c>
      <c r="CB947" s="278"/>
      <c r="CD947" s="279"/>
      <c r="CG947" s="278"/>
      <c r="CH947" s="278"/>
      <c r="CI947" s="258"/>
      <c r="CK947" s="279"/>
      <c r="CL947" s="278"/>
      <c r="CM947" s="278"/>
      <c r="CN947" s="258"/>
      <c r="CP947" s="279"/>
      <c r="CQ947" s="258"/>
      <c r="CR947" s="258"/>
      <c r="CS947" s="258"/>
      <c r="CU947" s="258"/>
      <c r="CV947" s="258"/>
      <c r="CW947" s="258"/>
      <c r="CX947" s="258"/>
      <c r="CZ947" s="258"/>
      <c r="DA947" s="258"/>
      <c r="DB947" s="258"/>
      <c r="DC947" s="258"/>
      <c r="DE947" s="258"/>
      <c r="DF947" s="258"/>
      <c r="DG947" s="258"/>
      <c r="DH947" s="258"/>
      <c r="DJ947" s="258"/>
      <c r="DK947" s="258"/>
      <c r="DL947" s="258"/>
      <c r="DM947" s="258"/>
      <c r="DO947" s="258"/>
      <c r="DP947" s="258"/>
      <c r="DQ947" s="258"/>
      <c r="DR947" s="258"/>
      <c r="DT947" s="258"/>
      <c r="DU947" s="258"/>
      <c r="DV947" s="258"/>
      <c r="DW947" s="258"/>
      <c r="DY947" s="258"/>
    </row>
    <row r="948" spans="1:129" ht="13.5" x14ac:dyDescent="0.25">
      <c r="A948" s="8" t="s">
        <v>1221</v>
      </c>
      <c r="B948" s="24" t="s">
        <v>105</v>
      </c>
      <c r="E948" s="26" t="s">
        <v>1762</v>
      </c>
      <c r="F948" s="198" t="s">
        <v>852</v>
      </c>
      <c r="G948" s="198" t="s">
        <v>1700</v>
      </c>
      <c r="H948" s="25" t="s">
        <v>1700</v>
      </c>
      <c r="J948" s="27" t="s">
        <v>866</v>
      </c>
      <c r="CB948" s="278"/>
      <c r="CD948" s="279"/>
      <c r="CG948" s="278"/>
      <c r="CH948" s="278"/>
      <c r="CI948" s="258"/>
      <c r="CK948" s="279"/>
      <c r="CL948" s="278"/>
      <c r="CM948" s="278"/>
      <c r="CN948" s="258"/>
      <c r="CP948" s="279"/>
      <c r="CQ948" s="258"/>
      <c r="CR948" s="258"/>
      <c r="CS948" s="258"/>
      <c r="CU948" s="258"/>
      <c r="CV948" s="258"/>
      <c r="CW948" s="258"/>
      <c r="CX948" s="258"/>
      <c r="CZ948" s="258"/>
      <c r="DA948" s="258"/>
      <c r="DB948" s="258"/>
      <c r="DC948" s="258"/>
      <c r="DE948" s="258"/>
      <c r="DF948" s="258"/>
      <c r="DG948" s="258"/>
      <c r="DH948" s="258"/>
      <c r="DJ948" s="258"/>
      <c r="DK948" s="258"/>
      <c r="DL948" s="258"/>
      <c r="DM948" s="258"/>
      <c r="DO948" s="258"/>
      <c r="DP948" s="258"/>
      <c r="DQ948" s="258"/>
      <c r="DR948" s="258"/>
      <c r="DT948" s="258"/>
      <c r="DU948" s="258"/>
      <c r="DV948" s="258"/>
      <c r="DW948" s="258"/>
      <c r="DY948" s="258"/>
    </row>
    <row r="949" spans="1:129" x14ac:dyDescent="0.25">
      <c r="A949" s="8" t="s">
        <v>3868</v>
      </c>
      <c r="B949" s="24" t="s">
        <v>1466</v>
      </c>
      <c r="C949" s="25" t="s">
        <v>3869</v>
      </c>
      <c r="D949" s="26">
        <v>27475</v>
      </c>
      <c r="E949" s="26" t="s">
        <v>1762</v>
      </c>
      <c r="F949" s="198" t="s">
        <v>3870</v>
      </c>
      <c r="G949" s="198" t="s">
        <v>1700</v>
      </c>
      <c r="H949" s="25" t="s">
        <v>3871</v>
      </c>
      <c r="I949" s="27" t="s">
        <v>3904</v>
      </c>
      <c r="J949" s="27" t="s">
        <v>866</v>
      </c>
      <c r="K949" s="28" t="s">
        <v>1416</v>
      </c>
      <c r="R949" s="29" t="s">
        <v>1416</v>
      </c>
      <c r="CB949" s="278"/>
      <c r="CG949" s="278"/>
    </row>
    <row r="950" spans="1:129" x14ac:dyDescent="0.25">
      <c r="A950" s="8" t="s">
        <v>2459</v>
      </c>
      <c r="B950" s="24" t="s">
        <v>933</v>
      </c>
      <c r="D950" s="26">
        <v>26662</v>
      </c>
      <c r="E950" s="26" t="s">
        <v>1762</v>
      </c>
      <c r="F950" s="198" t="s">
        <v>2460</v>
      </c>
      <c r="G950" s="198" t="s">
        <v>1700</v>
      </c>
      <c r="H950" s="25" t="s">
        <v>2461</v>
      </c>
      <c r="J950" s="27" t="s">
        <v>866</v>
      </c>
      <c r="CB950" s="26"/>
      <c r="CC950" s="26"/>
      <c r="CF950" s="8"/>
      <c r="CG950" s="26"/>
      <c r="CH950" s="8"/>
      <c r="CM950" s="8"/>
      <c r="CR950" s="8"/>
    </row>
    <row r="951" spans="1:129" x14ac:dyDescent="0.25">
      <c r="A951" s="8" t="s">
        <v>1948</v>
      </c>
      <c r="B951" s="24" t="s">
        <v>969</v>
      </c>
      <c r="C951" s="25" t="s">
        <v>650</v>
      </c>
      <c r="E951" s="26" t="s">
        <v>1762</v>
      </c>
      <c r="F951" s="198" t="s">
        <v>930</v>
      </c>
      <c r="G951" s="198" t="s">
        <v>1700</v>
      </c>
      <c r="H951" s="25" t="s">
        <v>4800</v>
      </c>
      <c r="I951" s="27" t="s">
        <v>3896</v>
      </c>
      <c r="J951" s="27" t="s">
        <v>866</v>
      </c>
      <c r="K951" s="28" t="s">
        <v>853</v>
      </c>
      <c r="Q951" s="93"/>
      <c r="R951" s="28" t="s">
        <v>853</v>
      </c>
      <c r="S951" s="13"/>
      <c r="T951" s="13"/>
      <c r="U951" s="21"/>
      <c r="V951" s="21"/>
      <c r="W951" s="93">
        <v>40</v>
      </c>
      <c r="X951" s="84" t="s">
        <v>1700</v>
      </c>
      <c r="Y951" s="84" t="s">
        <v>246</v>
      </c>
      <c r="AA951" s="84" t="s">
        <v>91</v>
      </c>
      <c r="AB951" s="84" t="s">
        <v>126</v>
      </c>
      <c r="AC951" s="26">
        <v>42493</v>
      </c>
      <c r="AD951" s="26" t="s">
        <v>853</v>
      </c>
      <c r="AE951" s="8" t="s">
        <v>4801</v>
      </c>
      <c r="AF951" s="8">
        <v>80</v>
      </c>
      <c r="AG951" s="8">
        <v>40</v>
      </c>
      <c r="BV951" s="8"/>
      <c r="CB951" s="26">
        <v>42074</v>
      </c>
      <c r="CC951" s="26" t="s">
        <v>853</v>
      </c>
      <c r="CD951" s="8" t="s">
        <v>3533</v>
      </c>
      <c r="CE951" s="8">
        <v>80</v>
      </c>
      <c r="CF951" s="8">
        <v>40</v>
      </c>
      <c r="CG951" s="26">
        <v>42074</v>
      </c>
      <c r="CH951" s="8" t="s">
        <v>853</v>
      </c>
      <c r="CI951" s="8" t="s">
        <v>3534</v>
      </c>
      <c r="CJ951" s="8">
        <v>80</v>
      </c>
      <c r="CK951" s="8">
        <v>40</v>
      </c>
      <c r="CL951" s="26">
        <v>42074</v>
      </c>
      <c r="CM951" s="8" t="s">
        <v>853</v>
      </c>
      <c r="CN951" s="8" t="s">
        <v>3535</v>
      </c>
      <c r="CO951" s="8">
        <v>140</v>
      </c>
      <c r="CP951" s="8">
        <v>70</v>
      </c>
      <c r="CR951" s="8"/>
      <c r="DU951" s="8"/>
    </row>
    <row r="952" spans="1:129" x14ac:dyDescent="0.25">
      <c r="A952" s="8" t="s">
        <v>4818</v>
      </c>
      <c r="B952" s="24" t="s">
        <v>183</v>
      </c>
      <c r="F952" s="198" t="s">
        <v>1700</v>
      </c>
      <c r="G952" s="198" t="s">
        <v>1700</v>
      </c>
      <c r="H952" s="25" t="s">
        <v>1700</v>
      </c>
      <c r="I952" s="27" t="s">
        <v>3897</v>
      </c>
      <c r="J952" s="27" t="s">
        <v>866</v>
      </c>
      <c r="K952" s="28" t="s">
        <v>3907</v>
      </c>
      <c r="P952" s="17">
        <v>1</v>
      </c>
      <c r="CB952" s="278"/>
      <c r="CG952" s="278"/>
    </row>
    <row r="953" spans="1:129" ht="13.5" x14ac:dyDescent="0.25">
      <c r="A953" s="8" t="s">
        <v>294</v>
      </c>
      <c r="B953" s="24" t="s">
        <v>937</v>
      </c>
      <c r="E953" s="26" t="s">
        <v>877</v>
      </c>
      <c r="F953" s="198" t="s">
        <v>1600</v>
      </c>
      <c r="G953" s="198" t="s">
        <v>936</v>
      </c>
      <c r="H953" s="25" t="s">
        <v>1643</v>
      </c>
      <c r="I953" s="27" t="s">
        <v>3893</v>
      </c>
      <c r="J953" s="27" t="s">
        <v>866</v>
      </c>
      <c r="K953" s="28" t="s">
        <v>816</v>
      </c>
      <c r="Q953" s="93"/>
      <c r="R953" s="28" t="s">
        <v>816</v>
      </c>
      <c r="S953" s="29"/>
      <c r="T953" s="29"/>
      <c r="U953" s="29"/>
      <c r="V953" s="29"/>
      <c r="CB953" s="278"/>
      <c r="CD953" s="279"/>
      <c r="CG953" s="278"/>
      <c r="CH953" s="278"/>
      <c r="CI953" s="258"/>
      <c r="CK953" s="279"/>
      <c r="CL953" s="278"/>
      <c r="CM953" s="278"/>
      <c r="CN953" s="258"/>
      <c r="CP953" s="279"/>
      <c r="CQ953" s="258"/>
      <c r="CR953" s="258"/>
      <c r="CS953" s="258"/>
      <c r="CU953" s="258"/>
      <c r="CV953" s="258"/>
      <c r="CW953" s="258"/>
      <c r="CX953" s="258"/>
      <c r="CZ953" s="258"/>
      <c r="DA953" s="258"/>
      <c r="DB953" s="258"/>
      <c r="DC953" s="258"/>
      <c r="DE953" s="258"/>
      <c r="DF953" s="258"/>
      <c r="DG953" s="258"/>
      <c r="DH953" s="258"/>
      <c r="DJ953" s="258"/>
      <c r="DK953" s="258"/>
      <c r="DL953" s="258"/>
      <c r="DM953" s="258"/>
      <c r="DO953" s="258"/>
      <c r="DP953" s="258"/>
      <c r="DQ953" s="258"/>
      <c r="DR953" s="258"/>
      <c r="DT953" s="258"/>
      <c r="DU953" s="258"/>
      <c r="DV953" s="258"/>
      <c r="DW953" s="258"/>
      <c r="DY953" s="258"/>
    </row>
    <row r="954" spans="1:129" x14ac:dyDescent="0.25">
      <c r="A954" s="8" t="s">
        <v>294</v>
      </c>
      <c r="B954" s="24" t="s">
        <v>880</v>
      </c>
      <c r="E954" s="26" t="s">
        <v>1762</v>
      </c>
      <c r="F954" s="198" t="s">
        <v>852</v>
      </c>
      <c r="G954" s="198" t="s">
        <v>1644</v>
      </c>
      <c r="H954" s="25" t="s">
        <v>1643</v>
      </c>
      <c r="I954" s="27" t="s">
        <v>3902</v>
      </c>
      <c r="J954" s="27" t="s">
        <v>866</v>
      </c>
      <c r="K954" s="28" t="s">
        <v>3907</v>
      </c>
      <c r="L954" s="29" t="s">
        <v>1973</v>
      </c>
      <c r="P954" s="17">
        <v>1</v>
      </c>
      <c r="Q954" s="93"/>
      <c r="R954" s="28" t="s">
        <v>1763</v>
      </c>
      <c r="S954" s="29" t="s">
        <v>816</v>
      </c>
      <c r="T954" s="29"/>
      <c r="U954" s="29"/>
      <c r="V954" s="29"/>
      <c r="Y954" s="84" t="s">
        <v>190</v>
      </c>
      <c r="AA954" s="84" t="s">
        <v>338</v>
      </c>
      <c r="AB954" s="84" t="s">
        <v>126</v>
      </c>
      <c r="CB954" s="26"/>
      <c r="CC954" s="26"/>
      <c r="CF954" s="8"/>
      <c r="CG954" s="26"/>
      <c r="CH954" s="8"/>
      <c r="CM954" s="8"/>
      <c r="CR954" s="8"/>
    </row>
    <row r="955" spans="1:129" ht="13.5" x14ac:dyDescent="0.25">
      <c r="A955" s="8" t="s">
        <v>1051</v>
      </c>
      <c r="B955" s="24" t="s">
        <v>915</v>
      </c>
      <c r="F955" s="198" t="s">
        <v>1546</v>
      </c>
      <c r="G955" s="198" t="s">
        <v>1700</v>
      </c>
      <c r="H955" s="25" t="s">
        <v>1700</v>
      </c>
      <c r="J955" s="27" t="s">
        <v>866</v>
      </c>
      <c r="R955" s="29" t="s">
        <v>1972</v>
      </c>
      <c r="CB955" s="278"/>
      <c r="CD955" s="279"/>
      <c r="CG955" s="278"/>
      <c r="CH955" s="278"/>
      <c r="CI955" s="258"/>
      <c r="CK955" s="279"/>
      <c r="CL955" s="278"/>
      <c r="CM955" s="278"/>
      <c r="CN955" s="258"/>
      <c r="CP955" s="279"/>
      <c r="CQ955" s="258"/>
      <c r="CR955" s="258"/>
      <c r="CS955" s="258"/>
      <c r="CU955" s="258"/>
      <c r="CV955" s="258"/>
      <c r="CW955" s="258"/>
      <c r="CX955" s="258"/>
      <c r="CZ955" s="258"/>
      <c r="DA955" s="258"/>
      <c r="DB955" s="258"/>
      <c r="DC955" s="258"/>
      <c r="DE955" s="258"/>
      <c r="DF955" s="258"/>
      <c r="DG955" s="258"/>
      <c r="DH955" s="258"/>
      <c r="DJ955" s="258"/>
      <c r="DK955" s="258"/>
      <c r="DL955" s="258"/>
      <c r="DM955" s="258"/>
      <c r="DO955" s="258"/>
      <c r="DP955" s="258"/>
      <c r="DQ955" s="258"/>
      <c r="DR955" s="258"/>
      <c r="DT955" s="258"/>
      <c r="DU955" s="258"/>
      <c r="DV955" s="258"/>
      <c r="DW955" s="258"/>
      <c r="DY955" s="258"/>
    </row>
    <row r="956" spans="1:129" x14ac:dyDescent="0.25">
      <c r="A956" s="8" t="s">
        <v>1917</v>
      </c>
      <c r="B956" s="24" t="s">
        <v>878</v>
      </c>
      <c r="C956" s="25" t="s">
        <v>1918</v>
      </c>
      <c r="E956" s="26" t="s">
        <v>1764</v>
      </c>
      <c r="F956" s="198" t="s">
        <v>194</v>
      </c>
      <c r="G956" s="198" t="s">
        <v>1700</v>
      </c>
      <c r="H956" s="25" t="s">
        <v>3024</v>
      </c>
      <c r="J956" s="27" t="s">
        <v>866</v>
      </c>
      <c r="R956" s="29" t="s">
        <v>853</v>
      </c>
      <c r="X956" s="84" t="s">
        <v>1700</v>
      </c>
      <c r="Y956" s="84" t="s">
        <v>2921</v>
      </c>
      <c r="AA956" s="84" t="s">
        <v>1919</v>
      </c>
      <c r="AB956" s="84" t="s">
        <v>1144</v>
      </c>
      <c r="CB956" s="26">
        <v>41943</v>
      </c>
      <c r="CC956" s="26" t="s">
        <v>853</v>
      </c>
      <c r="CD956" s="8" t="s">
        <v>3025</v>
      </c>
      <c r="CE956" s="8">
        <v>150</v>
      </c>
      <c r="CF956" s="8">
        <v>75</v>
      </c>
      <c r="CG956" s="26"/>
      <c r="CH956" s="8"/>
      <c r="CM956" s="8"/>
      <c r="CR956" s="8"/>
    </row>
    <row r="957" spans="1:129" x14ac:dyDescent="0.25">
      <c r="A957" s="8" t="s">
        <v>300</v>
      </c>
      <c r="B957" s="24" t="s">
        <v>301</v>
      </c>
      <c r="C957" s="25" t="s">
        <v>1520</v>
      </c>
      <c r="E957" s="26" t="s">
        <v>1762</v>
      </c>
      <c r="F957" s="198" t="s">
        <v>852</v>
      </c>
      <c r="G957" s="198" t="s">
        <v>1700</v>
      </c>
      <c r="H957" s="25" t="s">
        <v>1700</v>
      </c>
      <c r="I957" s="27" t="s">
        <v>3902</v>
      </c>
      <c r="J957" s="27" t="s">
        <v>866</v>
      </c>
      <c r="K957" s="28" t="s">
        <v>3907</v>
      </c>
      <c r="P957" s="17">
        <v>1</v>
      </c>
      <c r="Q957" s="93"/>
      <c r="R957" s="28" t="s">
        <v>1763</v>
      </c>
      <c r="S957" s="29"/>
      <c r="T957" s="29"/>
      <c r="U957" s="29"/>
      <c r="V957" s="29"/>
      <c r="Y957" s="84" t="s">
        <v>190</v>
      </c>
      <c r="AA957" s="84" t="s">
        <v>336</v>
      </c>
      <c r="AB957" s="84" t="s">
        <v>126</v>
      </c>
      <c r="CB957" s="26"/>
      <c r="CC957" s="26"/>
      <c r="CF957" s="8"/>
      <c r="CG957" s="26"/>
      <c r="CH957" s="8"/>
      <c r="CM957" s="8"/>
      <c r="CR957" s="8"/>
    </row>
    <row r="958" spans="1:129" x14ac:dyDescent="0.25">
      <c r="A958" s="8" t="s">
        <v>300</v>
      </c>
      <c r="B958" s="24" t="s">
        <v>301</v>
      </c>
      <c r="E958" s="26" t="s">
        <v>1762</v>
      </c>
      <c r="F958" s="198" t="s">
        <v>1700</v>
      </c>
      <c r="G958" s="198" t="s">
        <v>1700</v>
      </c>
      <c r="H958" s="25" t="s">
        <v>1700</v>
      </c>
      <c r="I958" s="27" t="s">
        <v>3903</v>
      </c>
      <c r="J958" s="27" t="s">
        <v>866</v>
      </c>
      <c r="K958" s="28" t="s">
        <v>385</v>
      </c>
      <c r="CB958" s="278"/>
      <c r="CG958" s="278"/>
    </row>
    <row r="959" spans="1:129" x14ac:dyDescent="0.25">
      <c r="A959" s="8" t="s">
        <v>3684</v>
      </c>
      <c r="B959" s="24" t="s">
        <v>870</v>
      </c>
      <c r="C959" s="25" t="s">
        <v>4596</v>
      </c>
      <c r="E959" s="26" t="s">
        <v>1762</v>
      </c>
      <c r="F959" s="198" t="s">
        <v>1700</v>
      </c>
      <c r="G959" s="198" t="s">
        <v>1700</v>
      </c>
      <c r="H959" s="25" t="s">
        <v>1700</v>
      </c>
      <c r="I959" s="27" t="s">
        <v>3904</v>
      </c>
      <c r="J959" s="27" t="s">
        <v>866</v>
      </c>
      <c r="K959" s="28" t="s">
        <v>859</v>
      </c>
      <c r="R959" s="29" t="s">
        <v>1763</v>
      </c>
      <c r="W959" s="93">
        <v>250</v>
      </c>
      <c r="X959" s="84" t="s">
        <v>1700</v>
      </c>
      <c r="Y959" s="84" t="s">
        <v>1700</v>
      </c>
      <c r="AA959" s="84" t="s">
        <v>4597</v>
      </c>
      <c r="AB959" s="84" t="s">
        <v>4598</v>
      </c>
      <c r="AC959" s="26">
        <v>42416</v>
      </c>
      <c r="AD959" s="26" t="s">
        <v>859</v>
      </c>
      <c r="AE959" s="8" t="s">
        <v>2231</v>
      </c>
      <c r="AF959" s="8">
        <v>500</v>
      </c>
      <c r="AG959" s="8">
        <v>250</v>
      </c>
      <c r="CB959" s="278"/>
      <c r="CG959" s="278"/>
    </row>
    <row r="960" spans="1:129" x14ac:dyDescent="0.25">
      <c r="A960" s="8" t="s">
        <v>308</v>
      </c>
      <c r="B960" s="24" t="s">
        <v>897</v>
      </c>
      <c r="C960" s="25" t="s">
        <v>474</v>
      </c>
      <c r="E960" s="26" t="s">
        <v>1762</v>
      </c>
      <c r="F960" s="198" t="s">
        <v>3514</v>
      </c>
      <c r="G960" s="198" t="s">
        <v>1700</v>
      </c>
      <c r="H960" s="25" t="s">
        <v>1700</v>
      </c>
      <c r="I960" s="27" t="s">
        <v>3902</v>
      </c>
      <c r="J960" s="27" t="s">
        <v>866</v>
      </c>
      <c r="K960" s="28" t="s">
        <v>854</v>
      </c>
      <c r="R960" s="29" t="s">
        <v>854</v>
      </c>
      <c r="CB960" s="26"/>
      <c r="CC960" s="26"/>
      <c r="CF960" s="8"/>
      <c r="CG960" s="26"/>
      <c r="CH960" s="8"/>
      <c r="CM960" s="8"/>
      <c r="CR960" s="8"/>
    </row>
    <row r="961" spans="1:129" x14ac:dyDescent="0.25">
      <c r="A961" s="8" t="s">
        <v>4733</v>
      </c>
      <c r="B961" s="24" t="s">
        <v>735</v>
      </c>
      <c r="C961" s="25" t="s">
        <v>4732</v>
      </c>
      <c r="E961" s="26" t="s">
        <v>1762</v>
      </c>
      <c r="F961" s="198" t="s">
        <v>1848</v>
      </c>
      <c r="G961" s="198" t="s">
        <v>1700</v>
      </c>
      <c r="H961" s="25" t="s">
        <v>4734</v>
      </c>
      <c r="I961" s="27" t="s">
        <v>3894</v>
      </c>
      <c r="J961" s="27" t="s">
        <v>866</v>
      </c>
      <c r="K961" s="28" t="s">
        <v>853</v>
      </c>
      <c r="W961" s="93">
        <v>124</v>
      </c>
      <c r="X961" s="84" t="s">
        <v>1700</v>
      </c>
      <c r="Y961" s="84" t="s">
        <v>2499</v>
      </c>
      <c r="AA961" s="84" t="s">
        <v>4735</v>
      </c>
      <c r="AB961" s="84" t="s">
        <v>126</v>
      </c>
      <c r="AC961" s="26">
        <v>42453</v>
      </c>
      <c r="AD961" s="26" t="s">
        <v>853</v>
      </c>
      <c r="AE961" s="8" t="s">
        <v>4736</v>
      </c>
      <c r="AF961" s="8">
        <v>249</v>
      </c>
      <c r="AG961" s="8">
        <v>124</v>
      </c>
      <c r="CB961" s="278"/>
      <c r="CG961" s="278"/>
    </row>
    <row r="962" spans="1:129" x14ac:dyDescent="0.25">
      <c r="A962" s="8" t="s">
        <v>4046</v>
      </c>
      <c r="B962" s="24" t="s">
        <v>1417</v>
      </c>
      <c r="F962" s="198" t="s">
        <v>1700</v>
      </c>
      <c r="G962" s="198" t="s">
        <v>1700</v>
      </c>
      <c r="H962" s="25" t="s">
        <v>1700</v>
      </c>
      <c r="I962" s="27" t="s">
        <v>3902</v>
      </c>
      <c r="J962" s="27" t="s">
        <v>866</v>
      </c>
      <c r="K962" s="28" t="s">
        <v>3907</v>
      </c>
      <c r="P962" s="17">
        <v>1</v>
      </c>
      <c r="CB962" s="278"/>
      <c r="CG962" s="278"/>
    </row>
    <row r="963" spans="1:129" ht="13.5" x14ac:dyDescent="0.25">
      <c r="A963" s="8" t="s">
        <v>3735</v>
      </c>
      <c r="B963" s="24" t="s">
        <v>1417</v>
      </c>
      <c r="F963" s="198" t="s">
        <v>1700</v>
      </c>
      <c r="G963" s="198" t="s">
        <v>1700</v>
      </c>
      <c r="H963" s="25" t="s">
        <v>1700</v>
      </c>
      <c r="J963" s="27" t="s">
        <v>866</v>
      </c>
      <c r="R963" s="29" t="s">
        <v>1763</v>
      </c>
      <c r="CB963" s="278"/>
      <c r="CD963" s="279"/>
      <c r="CG963" s="278"/>
      <c r="CH963" s="278"/>
      <c r="CI963" s="258"/>
      <c r="CK963" s="279"/>
      <c r="CL963" s="278"/>
      <c r="CM963" s="278"/>
      <c r="CN963" s="258"/>
      <c r="CP963" s="279"/>
      <c r="CQ963" s="258"/>
      <c r="CR963" s="258"/>
      <c r="CS963" s="258"/>
      <c r="CU963" s="258"/>
      <c r="CV963" s="258"/>
      <c r="CW963" s="258"/>
      <c r="CX963" s="258"/>
      <c r="CZ963" s="258"/>
      <c r="DA963" s="258"/>
      <c r="DB963" s="258"/>
      <c r="DC963" s="258"/>
      <c r="DE963" s="258"/>
      <c r="DF963" s="258"/>
      <c r="DG963" s="258"/>
      <c r="DH963" s="258"/>
      <c r="DJ963" s="258"/>
      <c r="DK963" s="258"/>
      <c r="DL963" s="258"/>
      <c r="DM963" s="258"/>
      <c r="DO963" s="258"/>
      <c r="DP963" s="258"/>
      <c r="DQ963" s="258"/>
      <c r="DR963" s="258"/>
      <c r="DT963" s="258"/>
      <c r="DU963" s="258"/>
      <c r="DV963" s="258"/>
      <c r="DW963" s="258"/>
      <c r="DY963" s="258"/>
    </row>
    <row r="964" spans="1:129" x14ac:dyDescent="0.25">
      <c r="A964" s="8" t="s">
        <v>1258</v>
      </c>
      <c r="B964" s="24" t="s">
        <v>953</v>
      </c>
      <c r="C964" s="25" t="s">
        <v>1054</v>
      </c>
      <c r="E964" s="26" t="s">
        <v>1764</v>
      </c>
      <c r="F964" s="198" t="s">
        <v>1672</v>
      </c>
      <c r="G964" s="198" t="s">
        <v>1700</v>
      </c>
      <c r="H964" s="25" t="s">
        <v>1700</v>
      </c>
      <c r="I964" s="27" t="s">
        <v>3901</v>
      </c>
      <c r="J964" s="27" t="s">
        <v>866</v>
      </c>
      <c r="K964" s="28" t="s">
        <v>853</v>
      </c>
      <c r="R964" s="29" t="s">
        <v>853</v>
      </c>
      <c r="W964" s="93">
        <v>125</v>
      </c>
      <c r="X964" s="84" t="s">
        <v>1700</v>
      </c>
      <c r="Y964" s="84" t="s">
        <v>791</v>
      </c>
      <c r="AA964" s="84" t="s">
        <v>1532</v>
      </c>
      <c r="AB964" s="84" t="s">
        <v>126</v>
      </c>
      <c r="AC964" s="26">
        <v>42286</v>
      </c>
      <c r="AD964" s="26" t="s">
        <v>853</v>
      </c>
      <c r="AE964" s="8" t="s">
        <v>3944</v>
      </c>
      <c r="AF964" s="8">
        <v>250</v>
      </c>
      <c r="AG964" s="8">
        <v>125</v>
      </c>
      <c r="CB964" s="26">
        <v>41921</v>
      </c>
      <c r="CC964" s="26" t="s">
        <v>853</v>
      </c>
      <c r="CD964" s="8" t="s">
        <v>2772</v>
      </c>
      <c r="CE964" s="8">
        <v>250</v>
      </c>
      <c r="CF964" s="8">
        <v>125</v>
      </c>
      <c r="CG964" s="26"/>
      <c r="CH964" s="8"/>
      <c r="CM964" s="8"/>
      <c r="CR964" s="8"/>
    </row>
    <row r="965" spans="1:129" x14ac:dyDescent="0.25">
      <c r="A965" s="8" t="s">
        <v>4040</v>
      </c>
      <c r="B965" s="24" t="s">
        <v>4041</v>
      </c>
      <c r="F965" s="198" t="s">
        <v>1700</v>
      </c>
      <c r="G965" s="198" t="s">
        <v>1700</v>
      </c>
      <c r="H965" s="25" t="s">
        <v>1700</v>
      </c>
      <c r="I965" s="27" t="s">
        <v>3902</v>
      </c>
      <c r="J965" s="27" t="s">
        <v>866</v>
      </c>
      <c r="K965" s="28" t="s">
        <v>3907</v>
      </c>
      <c r="P965" s="17">
        <v>1</v>
      </c>
      <c r="CB965" s="278"/>
      <c r="CG965" s="278"/>
    </row>
    <row r="966" spans="1:129" x14ac:dyDescent="0.25">
      <c r="A966" s="8" t="s">
        <v>409</v>
      </c>
      <c r="B966" s="24" t="s">
        <v>966</v>
      </c>
      <c r="C966" s="25" t="s">
        <v>410</v>
      </c>
      <c r="E966" s="26" t="s">
        <v>1762</v>
      </c>
      <c r="F966" s="198" t="s">
        <v>1962</v>
      </c>
      <c r="G966" s="198" t="s">
        <v>1700</v>
      </c>
      <c r="H966" s="25" t="s">
        <v>2730</v>
      </c>
      <c r="I966" s="27" t="s">
        <v>3896</v>
      </c>
      <c r="J966" s="27" t="s">
        <v>866</v>
      </c>
      <c r="K966" s="28" t="s">
        <v>853</v>
      </c>
      <c r="R966" s="29" t="s">
        <v>853</v>
      </c>
      <c r="W966" s="93">
        <v>127</v>
      </c>
      <c r="X966" s="84" t="s">
        <v>1700</v>
      </c>
      <c r="Y966" s="84" t="s">
        <v>791</v>
      </c>
      <c r="AA966" s="84" t="s">
        <v>411</v>
      </c>
      <c r="AB966" s="84" t="s">
        <v>126</v>
      </c>
      <c r="AC966" s="26">
        <v>42545</v>
      </c>
      <c r="AD966" s="26" t="s">
        <v>853</v>
      </c>
      <c r="AE966" s="8" t="s">
        <v>4826</v>
      </c>
      <c r="AF966" s="8">
        <v>254</v>
      </c>
      <c r="AG966" s="8">
        <v>127</v>
      </c>
      <c r="CB966" s="26">
        <v>41921</v>
      </c>
      <c r="CC966" s="26" t="s">
        <v>853</v>
      </c>
      <c r="CD966" s="8" t="s">
        <v>2731</v>
      </c>
      <c r="CE966" s="8">
        <v>299</v>
      </c>
      <c r="CF966" s="8">
        <v>150</v>
      </c>
      <c r="CG966" s="26"/>
      <c r="CH966" s="8"/>
      <c r="CM966" s="8"/>
      <c r="CR966" s="8"/>
    </row>
    <row r="967" spans="1:129" ht="13.5" x14ac:dyDescent="0.25">
      <c r="A967" s="8" t="s">
        <v>524</v>
      </c>
      <c r="B967" s="24" t="s">
        <v>525</v>
      </c>
      <c r="F967" s="198" t="s">
        <v>1700</v>
      </c>
      <c r="G967" s="198" t="s">
        <v>1700</v>
      </c>
      <c r="H967" s="25" t="s">
        <v>1700</v>
      </c>
      <c r="J967" s="27" t="s">
        <v>866</v>
      </c>
      <c r="R967" s="29" t="s">
        <v>889</v>
      </c>
      <c r="CB967" s="278"/>
      <c r="CD967" s="279"/>
      <c r="CG967" s="278"/>
      <c r="CH967" s="278"/>
      <c r="CI967" s="279"/>
      <c r="CK967" s="279"/>
      <c r="CL967" s="278"/>
      <c r="CM967" s="278"/>
      <c r="CN967" s="279"/>
      <c r="CP967" s="279"/>
      <c r="CQ967" s="278"/>
      <c r="CR967" s="279"/>
      <c r="CS967" s="279"/>
      <c r="CU967" s="279"/>
      <c r="CV967" s="278"/>
      <c r="CW967" s="279"/>
      <c r="CX967" s="279"/>
      <c r="CZ967" s="279"/>
      <c r="DA967" s="278"/>
      <c r="DB967" s="279"/>
      <c r="DC967" s="279"/>
      <c r="DE967" s="279"/>
      <c r="DF967" s="278"/>
      <c r="DG967" s="279"/>
      <c r="DH967" s="279"/>
      <c r="DJ967" s="279"/>
      <c r="DK967" s="278"/>
      <c r="DL967" s="279"/>
      <c r="DM967" s="279"/>
      <c r="DO967" s="279"/>
      <c r="DP967" s="278"/>
      <c r="DQ967" s="279"/>
      <c r="DR967" s="279"/>
      <c r="DT967" s="279"/>
      <c r="DU967" s="278"/>
      <c r="DV967" s="258"/>
      <c r="DW967" s="258"/>
      <c r="DY967" s="258"/>
    </row>
    <row r="968" spans="1:129" x14ac:dyDescent="0.25">
      <c r="A968" s="8" t="s">
        <v>1548</v>
      </c>
      <c r="B968" s="24" t="s">
        <v>442</v>
      </c>
      <c r="C968" s="25" t="s">
        <v>408</v>
      </c>
      <c r="E968" s="26" t="s">
        <v>1762</v>
      </c>
      <c r="F968" s="198" t="s">
        <v>1373</v>
      </c>
      <c r="G968" s="198" t="s">
        <v>1700</v>
      </c>
      <c r="H968" s="25" t="s">
        <v>3021</v>
      </c>
      <c r="I968" s="27" t="s">
        <v>3904</v>
      </c>
      <c r="J968" s="27" t="s">
        <v>866</v>
      </c>
      <c r="K968" s="28" t="s">
        <v>853</v>
      </c>
      <c r="Q968" s="93"/>
      <c r="R968" s="28" t="s">
        <v>853</v>
      </c>
      <c r="S968" s="29"/>
      <c r="T968" s="29"/>
      <c r="U968" s="29"/>
      <c r="V968" s="29"/>
      <c r="W968" s="93">
        <v>141</v>
      </c>
      <c r="X968" s="84" t="s">
        <v>1700</v>
      </c>
      <c r="Y968" s="84" t="s">
        <v>2499</v>
      </c>
      <c r="AA968" s="84" t="s">
        <v>100</v>
      </c>
      <c r="AB968" s="84" t="s">
        <v>126</v>
      </c>
      <c r="AC968" s="26">
        <v>42416</v>
      </c>
      <c r="AD968" s="26" t="s">
        <v>853</v>
      </c>
      <c r="AE968" s="8" t="s">
        <v>4658</v>
      </c>
      <c r="AF968" s="8">
        <v>283</v>
      </c>
      <c r="AG968" s="8">
        <v>141</v>
      </c>
      <c r="CB968" s="26">
        <v>41943</v>
      </c>
      <c r="CC968" s="26" t="s">
        <v>853</v>
      </c>
      <c r="CD968" s="8" t="s">
        <v>2363</v>
      </c>
      <c r="CE968" s="8">
        <v>593.79999999999995</v>
      </c>
      <c r="CF968" s="8">
        <v>160</v>
      </c>
      <c r="CG968" s="26"/>
      <c r="CH968" s="8"/>
      <c r="CM968" s="8"/>
      <c r="CR968" s="8"/>
    </row>
    <row r="969" spans="1:129" x14ac:dyDescent="0.25">
      <c r="A969" s="8" t="s">
        <v>1548</v>
      </c>
      <c r="B969" s="24" t="s">
        <v>936</v>
      </c>
      <c r="C969" s="25" t="s">
        <v>1646</v>
      </c>
      <c r="D969" s="26">
        <v>22683</v>
      </c>
      <c r="E969" s="26" t="s">
        <v>1762</v>
      </c>
      <c r="F969" s="198" t="s">
        <v>898</v>
      </c>
      <c r="G969" s="198" t="s">
        <v>1647</v>
      </c>
      <c r="H969" s="25" t="s">
        <v>1648</v>
      </c>
      <c r="I969" s="27" t="s">
        <v>3901</v>
      </c>
      <c r="J969" s="27" t="s">
        <v>866</v>
      </c>
      <c r="K969" s="28" t="s">
        <v>851</v>
      </c>
      <c r="L969" s="29" t="s">
        <v>858</v>
      </c>
      <c r="Q969" s="93"/>
      <c r="R969" s="28" t="s">
        <v>851</v>
      </c>
      <c r="S969" s="21" t="s">
        <v>858</v>
      </c>
      <c r="T969" s="21"/>
      <c r="U969" s="21"/>
      <c r="V969" s="21"/>
      <c r="X969" s="84" t="s">
        <v>1700</v>
      </c>
      <c r="Y969" s="84" t="s">
        <v>190</v>
      </c>
      <c r="AA969" s="84" t="s">
        <v>241</v>
      </c>
      <c r="AB969" s="84" t="s">
        <v>126</v>
      </c>
      <c r="CB969" s="26"/>
      <c r="CC969" s="26"/>
      <c r="CF969" s="8"/>
      <c r="CG969" s="26"/>
      <c r="CH969" s="8"/>
      <c r="CM969" s="8"/>
      <c r="CR969" s="8"/>
    </row>
    <row r="970" spans="1:129" x14ac:dyDescent="0.25">
      <c r="A970" s="8" t="s">
        <v>173</v>
      </c>
      <c r="B970" s="24" t="s">
        <v>735</v>
      </c>
      <c r="C970" s="25" t="s">
        <v>174</v>
      </c>
      <c r="E970" s="26" t="s">
        <v>1762</v>
      </c>
      <c r="F970" s="198" t="s">
        <v>2059</v>
      </c>
      <c r="G970" s="198" t="s">
        <v>1700</v>
      </c>
      <c r="H970" s="25" t="s">
        <v>1700</v>
      </c>
      <c r="J970" s="27" t="s">
        <v>866</v>
      </c>
      <c r="X970" s="84" t="s">
        <v>1700</v>
      </c>
      <c r="Y970" s="84" t="s">
        <v>791</v>
      </c>
      <c r="AA970" s="84" t="s">
        <v>175</v>
      </c>
      <c r="AB970" s="84" t="s">
        <v>126</v>
      </c>
      <c r="CB970" s="26"/>
      <c r="CC970" s="26"/>
      <c r="CF970" s="8"/>
      <c r="CG970" s="26"/>
      <c r="CH970" s="8"/>
      <c r="CM970" s="8"/>
      <c r="CR970" s="8"/>
    </row>
    <row r="971" spans="1:129" x14ac:dyDescent="0.25">
      <c r="A971" s="8" t="s">
        <v>799</v>
      </c>
      <c r="B971" s="24" t="s">
        <v>1433</v>
      </c>
      <c r="C971" s="25" t="s">
        <v>1290</v>
      </c>
      <c r="D971" s="26">
        <v>29126</v>
      </c>
      <c r="E971" s="26" t="s">
        <v>1762</v>
      </c>
      <c r="F971" s="198" t="s">
        <v>2457</v>
      </c>
      <c r="G971" s="198" t="s">
        <v>1700</v>
      </c>
      <c r="H971" s="25" t="s">
        <v>2458</v>
      </c>
      <c r="J971" s="27" t="s">
        <v>866</v>
      </c>
      <c r="R971" s="29" t="s">
        <v>855</v>
      </c>
      <c r="X971" s="84" t="s">
        <v>1700</v>
      </c>
      <c r="Y971" s="84" t="s">
        <v>372</v>
      </c>
      <c r="AA971" s="84" t="s">
        <v>804</v>
      </c>
      <c r="AB971" s="84" t="s">
        <v>221</v>
      </c>
      <c r="CB971" s="26"/>
      <c r="CC971" s="26"/>
      <c r="CF971" s="8"/>
      <c r="CG971" s="26"/>
      <c r="CH971" s="8"/>
      <c r="CM971" s="8"/>
      <c r="CR971" s="8"/>
    </row>
    <row r="972" spans="1:129" x14ac:dyDescent="0.25">
      <c r="A972" s="8" t="s">
        <v>342</v>
      </c>
      <c r="B972" s="24" t="s">
        <v>1626</v>
      </c>
      <c r="C972" s="25" t="s">
        <v>343</v>
      </c>
      <c r="E972" s="26" t="s">
        <v>1762</v>
      </c>
      <c r="F972" s="198" t="s">
        <v>922</v>
      </c>
      <c r="G972" s="198" t="s">
        <v>1700</v>
      </c>
      <c r="H972" s="25" t="s">
        <v>2813</v>
      </c>
      <c r="I972" s="27" t="s">
        <v>3902</v>
      </c>
      <c r="J972" s="27" t="s">
        <v>866</v>
      </c>
      <c r="K972" s="28" t="s">
        <v>853</v>
      </c>
      <c r="R972" s="29" t="s">
        <v>853</v>
      </c>
      <c r="W972" s="93">
        <v>47</v>
      </c>
      <c r="X972" s="84" t="s">
        <v>1700</v>
      </c>
      <c r="Y972" s="84" t="s">
        <v>791</v>
      </c>
      <c r="AA972" s="84" t="s">
        <v>347</v>
      </c>
      <c r="AB972" s="84" t="s">
        <v>126</v>
      </c>
      <c r="AC972" s="26">
        <v>42313</v>
      </c>
      <c r="AD972" s="26" t="s">
        <v>853</v>
      </c>
      <c r="AE972" s="8" t="s">
        <v>4193</v>
      </c>
      <c r="AF972" s="8">
        <v>95</v>
      </c>
      <c r="AG972" s="8">
        <v>47</v>
      </c>
      <c r="CB972" s="26">
        <v>41921</v>
      </c>
      <c r="CC972" s="26" t="s">
        <v>853</v>
      </c>
      <c r="CD972" s="8" t="s">
        <v>2814</v>
      </c>
      <c r="CE972" s="8">
        <v>95</v>
      </c>
      <c r="CF972" s="8">
        <v>48</v>
      </c>
      <c r="CG972" s="26"/>
      <c r="CH972" s="8"/>
      <c r="CM972" s="8"/>
      <c r="CR972" s="8"/>
    </row>
    <row r="973" spans="1:129" x14ac:dyDescent="0.25">
      <c r="A973" s="8" t="s">
        <v>102</v>
      </c>
      <c r="B973" s="24" t="s">
        <v>380</v>
      </c>
      <c r="C973" s="25" t="s">
        <v>103</v>
      </c>
      <c r="E973" s="26" t="s">
        <v>1762</v>
      </c>
      <c r="F973" s="198" t="s">
        <v>891</v>
      </c>
      <c r="G973" s="198" t="s">
        <v>1700</v>
      </c>
      <c r="H973" s="25" t="s">
        <v>1700</v>
      </c>
      <c r="J973" s="27" t="s">
        <v>866</v>
      </c>
      <c r="X973" s="84" t="s">
        <v>1700</v>
      </c>
      <c r="Y973" s="84" t="s">
        <v>791</v>
      </c>
      <c r="AA973" s="84" t="s">
        <v>109</v>
      </c>
      <c r="AB973" s="84" t="s">
        <v>126</v>
      </c>
      <c r="AD973" s="8"/>
      <c r="BV973" s="8"/>
      <c r="CB973" s="26"/>
      <c r="CC973" s="8"/>
      <c r="CF973" s="8"/>
      <c r="CG973" s="26"/>
      <c r="CH973" s="8"/>
      <c r="CM973" s="8"/>
      <c r="CR973" s="8"/>
      <c r="DU973" s="8"/>
    </row>
    <row r="974" spans="1:129" x14ac:dyDescent="0.25">
      <c r="A974" s="8" t="s">
        <v>679</v>
      </c>
      <c r="B974" s="24" t="s">
        <v>934</v>
      </c>
      <c r="C974" s="25" t="s">
        <v>680</v>
      </c>
      <c r="E974" s="26" t="s">
        <v>1764</v>
      </c>
      <c r="F974" s="198" t="s">
        <v>1849</v>
      </c>
      <c r="G974" s="198" t="s">
        <v>1700</v>
      </c>
      <c r="H974" s="25" t="s">
        <v>2860</v>
      </c>
      <c r="I974" s="27" t="s">
        <v>3902</v>
      </c>
      <c r="J974" s="27" t="s">
        <v>866</v>
      </c>
      <c r="K974" s="28" t="s">
        <v>853</v>
      </c>
      <c r="R974" s="29" t="s">
        <v>853</v>
      </c>
      <c r="W974" s="93">
        <v>160</v>
      </c>
      <c r="X974" s="84" t="s">
        <v>1700</v>
      </c>
      <c r="Y974" s="84" t="s">
        <v>261</v>
      </c>
      <c r="AA974" s="84" t="s">
        <v>682</v>
      </c>
      <c r="AB974" s="84" t="s">
        <v>681</v>
      </c>
      <c r="AC974" s="26">
        <v>42313</v>
      </c>
      <c r="AD974" s="26" t="s">
        <v>853</v>
      </c>
      <c r="AE974" s="8" t="s">
        <v>4222</v>
      </c>
      <c r="AF974" s="8">
        <v>999</v>
      </c>
      <c r="AG974" s="8">
        <v>160</v>
      </c>
      <c r="CB974" s="26">
        <v>41921</v>
      </c>
      <c r="CC974" s="26" t="s">
        <v>853</v>
      </c>
      <c r="CD974" s="8" t="s">
        <v>2861</v>
      </c>
      <c r="CE974" s="8">
        <v>999</v>
      </c>
      <c r="CF974" s="8">
        <v>160</v>
      </c>
      <c r="CG974" s="26"/>
      <c r="CH974" s="8"/>
      <c r="CM974" s="8"/>
      <c r="CR974" s="8"/>
    </row>
    <row r="975" spans="1:129" x14ac:dyDescent="0.25">
      <c r="A975" s="8" t="s">
        <v>4031</v>
      </c>
      <c r="B975" s="24" t="s">
        <v>926</v>
      </c>
      <c r="F975" s="198" t="s">
        <v>1700</v>
      </c>
      <c r="G975" s="198" t="s">
        <v>1700</v>
      </c>
      <c r="H975" s="25" t="s">
        <v>1700</v>
      </c>
      <c r="I975" s="27" t="s">
        <v>3902</v>
      </c>
      <c r="J975" s="27" t="s">
        <v>866</v>
      </c>
      <c r="K975" s="28" t="s">
        <v>3907</v>
      </c>
      <c r="P975" s="17">
        <v>1</v>
      </c>
      <c r="CB975" s="278"/>
      <c r="CG975" s="278"/>
    </row>
    <row r="976" spans="1:129" x14ac:dyDescent="0.25">
      <c r="A976" s="8" t="s">
        <v>331</v>
      </c>
      <c r="B976" s="24" t="s">
        <v>2152</v>
      </c>
      <c r="C976" s="25" t="s">
        <v>773</v>
      </c>
      <c r="E976" s="26" t="s">
        <v>1764</v>
      </c>
      <c r="F976" s="198" t="s">
        <v>1406</v>
      </c>
      <c r="G976" s="198" t="s">
        <v>1700</v>
      </c>
      <c r="H976" s="25" t="s">
        <v>2872</v>
      </c>
      <c r="I976" s="27" t="s">
        <v>3902</v>
      </c>
      <c r="J976" s="27" t="s">
        <v>866</v>
      </c>
      <c r="K976" s="28" t="s">
        <v>853</v>
      </c>
      <c r="Q976" s="93"/>
      <c r="R976" s="28" t="s">
        <v>853</v>
      </c>
      <c r="S976" s="21"/>
      <c r="T976" s="21"/>
      <c r="U976" s="21"/>
      <c r="V976" s="21"/>
      <c r="W976" s="93">
        <v>160</v>
      </c>
      <c r="X976" s="84" t="s">
        <v>1700</v>
      </c>
      <c r="Y976" s="84" t="s">
        <v>246</v>
      </c>
      <c r="AA976" s="84" t="s">
        <v>101</v>
      </c>
      <c r="AB976" s="84" t="s">
        <v>126</v>
      </c>
      <c r="AC976" s="26">
        <v>42313</v>
      </c>
      <c r="AD976" s="26" t="s">
        <v>853</v>
      </c>
      <c r="AE976" s="8" t="s">
        <v>4168</v>
      </c>
      <c r="AF976" s="8">
        <v>406.8</v>
      </c>
      <c r="AG976" s="8">
        <v>160</v>
      </c>
      <c r="CB976" s="26">
        <v>41934</v>
      </c>
      <c r="CC976" s="26" t="s">
        <v>853</v>
      </c>
      <c r="CD976" s="8" t="s">
        <v>2873</v>
      </c>
      <c r="CE976" s="8">
        <v>315</v>
      </c>
      <c r="CF976" s="8">
        <v>158</v>
      </c>
      <c r="CG976" s="26"/>
      <c r="CH976" s="8"/>
      <c r="CM976" s="8"/>
      <c r="CR976" s="8"/>
    </row>
    <row r="977" spans="1:129" x14ac:dyDescent="0.25">
      <c r="A977" s="19" t="s">
        <v>1980</v>
      </c>
      <c r="B977" s="12" t="s">
        <v>1982</v>
      </c>
      <c r="C977" s="13" t="s">
        <v>1852</v>
      </c>
      <c r="D977" s="14">
        <v>18833</v>
      </c>
      <c r="E977" s="14" t="s">
        <v>1762</v>
      </c>
      <c r="F977" s="199" t="s">
        <v>1858</v>
      </c>
      <c r="G977" s="199" t="s">
        <v>1700</v>
      </c>
      <c r="H977" s="13" t="s">
        <v>1979</v>
      </c>
      <c r="I977" s="15" t="s">
        <v>3903</v>
      </c>
      <c r="J977" s="15" t="s">
        <v>866</v>
      </c>
      <c r="K977" s="16" t="s">
        <v>859</v>
      </c>
      <c r="L977" s="13"/>
      <c r="M977" s="13"/>
      <c r="N977" s="21"/>
      <c r="O977" s="21"/>
      <c r="Q977" s="95"/>
      <c r="R977" s="16" t="s">
        <v>859</v>
      </c>
      <c r="S977" s="21"/>
      <c r="T977" s="21"/>
      <c r="U977" s="21"/>
      <c r="V977" s="21"/>
      <c r="W977" s="93">
        <v>280</v>
      </c>
      <c r="X977" s="84" t="s">
        <v>1700</v>
      </c>
      <c r="Y977" s="84" t="s">
        <v>113</v>
      </c>
      <c r="AA977" s="84" t="s">
        <v>114</v>
      </c>
      <c r="AB977" s="84" t="s">
        <v>126</v>
      </c>
      <c r="AC977" s="26">
        <v>42334</v>
      </c>
      <c r="AD977" s="26" t="s">
        <v>859</v>
      </c>
      <c r="AE977" s="8" t="s">
        <v>4317</v>
      </c>
      <c r="AF977" s="8">
        <v>624</v>
      </c>
      <c r="AG977" s="8">
        <v>280</v>
      </c>
      <c r="CB977" s="26">
        <v>41977</v>
      </c>
      <c r="CC977" s="26" t="s">
        <v>859</v>
      </c>
      <c r="CD977" s="8" t="s">
        <v>2612</v>
      </c>
      <c r="CE977" s="8">
        <v>624</v>
      </c>
      <c r="CF977" s="8">
        <v>280</v>
      </c>
      <c r="CG977" s="26"/>
      <c r="CH977" s="8"/>
      <c r="CM977" s="8"/>
      <c r="CR977" s="8"/>
    </row>
    <row r="978" spans="1:129" x14ac:dyDescent="0.25">
      <c r="A978" s="8" t="s">
        <v>3559</v>
      </c>
      <c r="B978" s="24" t="s">
        <v>934</v>
      </c>
      <c r="C978" s="25" t="s">
        <v>3558</v>
      </c>
      <c r="E978" s="26" t="s">
        <v>1762</v>
      </c>
      <c r="F978" s="198" t="s">
        <v>948</v>
      </c>
      <c r="G978" s="198" t="s">
        <v>1700</v>
      </c>
      <c r="H978" s="25" t="s">
        <v>4730</v>
      </c>
      <c r="I978" s="27" t="s">
        <v>3894</v>
      </c>
      <c r="J978" s="27" t="s">
        <v>866</v>
      </c>
      <c r="K978" s="28" t="s">
        <v>853</v>
      </c>
      <c r="R978" s="29" t="s">
        <v>853</v>
      </c>
      <c r="W978" s="93">
        <v>92</v>
      </c>
      <c r="X978" s="84" t="s">
        <v>1700</v>
      </c>
      <c r="Y978" s="84" t="s">
        <v>2499</v>
      </c>
      <c r="AA978" s="84" t="s">
        <v>3560</v>
      </c>
      <c r="AB978" s="84" t="s">
        <v>126</v>
      </c>
      <c r="AC978" s="26">
        <v>42453</v>
      </c>
      <c r="AD978" s="26" t="s">
        <v>853</v>
      </c>
      <c r="AE978" s="8" t="s">
        <v>4731</v>
      </c>
      <c r="AF978" s="8">
        <v>184.8</v>
      </c>
      <c r="AG978" s="8">
        <v>92</v>
      </c>
      <c r="CB978" s="278">
        <v>42074</v>
      </c>
      <c r="CC978" s="278" t="s">
        <v>853</v>
      </c>
      <c r="CD978" s="8" t="s">
        <v>3561</v>
      </c>
      <c r="CE978" s="8">
        <v>176</v>
      </c>
      <c r="CF978" s="279">
        <v>88</v>
      </c>
      <c r="CG978" s="278"/>
    </row>
    <row r="979" spans="1:129" x14ac:dyDescent="0.25">
      <c r="A979" s="8" t="s">
        <v>1003</v>
      </c>
      <c r="B979" s="24" t="s">
        <v>2644</v>
      </c>
      <c r="C979" s="25" t="s">
        <v>1017</v>
      </c>
      <c r="E979" s="26" t="s">
        <v>1762</v>
      </c>
      <c r="F979" s="198" t="s">
        <v>1849</v>
      </c>
      <c r="G979" s="198" t="s">
        <v>1700</v>
      </c>
      <c r="H979" s="25" t="s">
        <v>1700</v>
      </c>
      <c r="I979" s="27" t="s">
        <v>3901</v>
      </c>
      <c r="J979" s="27" t="s">
        <v>866</v>
      </c>
      <c r="K979" s="28" t="s">
        <v>853</v>
      </c>
      <c r="R979" s="29" t="s">
        <v>853</v>
      </c>
      <c r="W979" s="93">
        <v>160</v>
      </c>
      <c r="X979" s="84" t="s">
        <v>1700</v>
      </c>
      <c r="Y979" s="84" t="s">
        <v>791</v>
      </c>
      <c r="AA979" s="84" t="s">
        <v>1018</v>
      </c>
      <c r="AB979" s="84" t="s">
        <v>126</v>
      </c>
      <c r="AC979" s="26">
        <v>42299</v>
      </c>
      <c r="AD979" s="26" t="s">
        <v>853</v>
      </c>
      <c r="AE979" s="8" t="s">
        <v>4001</v>
      </c>
      <c r="AF979" s="8">
        <v>345</v>
      </c>
      <c r="AG979" s="8">
        <v>160</v>
      </c>
      <c r="CB979" s="26">
        <v>41921</v>
      </c>
      <c r="CC979" s="26" t="s">
        <v>853</v>
      </c>
      <c r="CD979" s="8" t="s">
        <v>2643</v>
      </c>
      <c r="CE979" s="8">
        <v>315</v>
      </c>
      <c r="CF979" s="8">
        <v>158</v>
      </c>
      <c r="CG979" s="26"/>
      <c r="CH979" s="8"/>
      <c r="CM979" s="8"/>
      <c r="CR979" s="8"/>
    </row>
    <row r="980" spans="1:129" ht="13.5" x14ac:dyDescent="0.25">
      <c r="A980" s="8" t="s">
        <v>708</v>
      </c>
      <c r="B980" s="24" t="s">
        <v>921</v>
      </c>
      <c r="F980" s="198" t="s">
        <v>852</v>
      </c>
      <c r="G980" s="198" t="s">
        <v>1700</v>
      </c>
      <c r="H980" s="25" t="s">
        <v>1700</v>
      </c>
      <c r="J980" s="27" t="s">
        <v>866</v>
      </c>
      <c r="R980" s="29" t="s">
        <v>816</v>
      </c>
      <c r="CB980" s="278"/>
      <c r="CD980" s="279"/>
      <c r="CG980" s="278"/>
      <c r="CH980" s="278"/>
      <c r="CI980" s="258"/>
      <c r="CK980" s="279"/>
      <c r="CL980" s="278"/>
      <c r="CM980" s="278"/>
      <c r="CN980" s="258"/>
      <c r="CP980" s="279"/>
      <c r="CQ980" s="258"/>
      <c r="CR980" s="258"/>
      <c r="CS980" s="258"/>
      <c r="CU980" s="258"/>
      <c r="CV980" s="258"/>
      <c r="CW980" s="258"/>
      <c r="CX980" s="258"/>
      <c r="CZ980" s="258"/>
      <c r="DA980" s="258"/>
      <c r="DB980" s="258"/>
      <c r="DC980" s="258"/>
      <c r="DE980" s="258"/>
      <c r="DF980" s="258"/>
      <c r="DG980" s="258"/>
      <c r="DH980" s="258"/>
      <c r="DJ980" s="258"/>
      <c r="DK980" s="258"/>
      <c r="DL980" s="258"/>
      <c r="DM980" s="258"/>
      <c r="DO980" s="258"/>
      <c r="DP980" s="258"/>
      <c r="DQ980" s="258"/>
      <c r="DR980" s="258"/>
      <c r="DT980" s="258"/>
      <c r="DU980" s="258"/>
      <c r="DV980" s="258"/>
      <c r="DW980" s="258"/>
      <c r="DY980" s="258"/>
    </row>
    <row r="981" spans="1:129" ht="13.5" x14ac:dyDescent="0.25">
      <c r="A981" s="8" t="s">
        <v>2479</v>
      </c>
      <c r="B981" s="24" t="s">
        <v>2480</v>
      </c>
      <c r="F981" s="198" t="s">
        <v>1700</v>
      </c>
      <c r="G981" s="198" t="s">
        <v>1700</v>
      </c>
      <c r="H981" s="25" t="s">
        <v>1700</v>
      </c>
      <c r="J981" s="27" t="s">
        <v>866</v>
      </c>
      <c r="CB981" s="278"/>
      <c r="CD981" s="279"/>
      <c r="CG981" s="278"/>
      <c r="CH981" s="278"/>
      <c r="CI981" s="258"/>
      <c r="CK981" s="279"/>
      <c r="CL981" s="278"/>
      <c r="CM981" s="278"/>
      <c r="CN981" s="258"/>
      <c r="CP981" s="279"/>
      <c r="CQ981" s="258"/>
      <c r="CR981" s="258"/>
      <c r="CS981" s="258"/>
      <c r="CU981" s="258"/>
      <c r="CV981" s="258"/>
      <c r="CW981" s="258"/>
      <c r="CX981" s="258"/>
      <c r="CZ981" s="258"/>
      <c r="DA981" s="258"/>
      <c r="DB981" s="258"/>
      <c r="DC981" s="258"/>
      <c r="DE981" s="258"/>
      <c r="DF981" s="258"/>
      <c r="DG981" s="258"/>
      <c r="DH981" s="258"/>
      <c r="DJ981" s="258"/>
      <c r="DK981" s="258"/>
      <c r="DL981" s="258"/>
      <c r="DM981" s="258"/>
      <c r="DO981" s="258"/>
      <c r="DP981" s="258"/>
      <c r="DQ981" s="258"/>
      <c r="DR981" s="258"/>
      <c r="DT981" s="258"/>
      <c r="DU981" s="258"/>
      <c r="DV981" s="258"/>
      <c r="DW981" s="258"/>
      <c r="DY981" s="258"/>
    </row>
    <row r="982" spans="1:129" x14ac:dyDescent="0.25">
      <c r="A982" s="8" t="s">
        <v>2311</v>
      </c>
      <c r="B982" s="24" t="s">
        <v>1603</v>
      </c>
      <c r="C982" s="25" t="s">
        <v>2312</v>
      </c>
      <c r="E982" s="26" t="s">
        <v>1762</v>
      </c>
      <c r="F982" s="198" t="s">
        <v>134</v>
      </c>
      <c r="G982" s="198" t="s">
        <v>1700</v>
      </c>
      <c r="H982" s="25" t="s">
        <v>3465</v>
      </c>
      <c r="I982" s="27" t="s">
        <v>3903</v>
      </c>
      <c r="J982" s="27" t="s">
        <v>866</v>
      </c>
      <c r="K982" s="28" t="s">
        <v>853</v>
      </c>
      <c r="R982" s="29" t="s">
        <v>853</v>
      </c>
      <c r="S982" s="8" t="s">
        <v>1126</v>
      </c>
      <c r="W982" s="93">
        <v>112</v>
      </c>
      <c r="X982" s="84" t="s">
        <v>1700</v>
      </c>
      <c r="Y982" s="84" t="s">
        <v>2314</v>
      </c>
      <c r="AA982" s="84" t="s">
        <v>2313</v>
      </c>
      <c r="AB982" s="84" t="s">
        <v>712</v>
      </c>
      <c r="AC982" s="26">
        <v>42352</v>
      </c>
      <c r="AD982" s="8" t="s">
        <v>853</v>
      </c>
      <c r="AE982" s="8" t="s">
        <v>4334</v>
      </c>
      <c r="AF982" s="8">
        <v>224</v>
      </c>
      <c r="AG982" s="8">
        <v>112</v>
      </c>
      <c r="BV982" s="8"/>
      <c r="CB982" s="26">
        <v>42032</v>
      </c>
      <c r="CC982" s="8" t="s">
        <v>853</v>
      </c>
      <c r="CD982" s="8" t="s">
        <v>3466</v>
      </c>
      <c r="CE982" s="8">
        <v>224</v>
      </c>
      <c r="CF982" s="8">
        <v>112</v>
      </c>
      <c r="CG982" s="26">
        <v>42192</v>
      </c>
      <c r="CH982" s="8" t="s">
        <v>1126</v>
      </c>
      <c r="CI982" s="8" t="s">
        <v>3675</v>
      </c>
      <c r="CJ982" s="8">
        <v>20.350000000000001</v>
      </c>
      <c r="CK982" s="8">
        <v>20.350000000000001</v>
      </c>
      <c r="CM982" s="8"/>
      <c r="CR982" s="8"/>
      <c r="DU982" s="8"/>
    </row>
    <row r="983" spans="1:129" x14ac:dyDescent="0.25">
      <c r="A983" s="8" t="s">
        <v>1461</v>
      </c>
      <c r="B983" s="24" t="s">
        <v>196</v>
      </c>
      <c r="C983" s="25" t="s">
        <v>406</v>
      </c>
      <c r="E983" s="26" t="s">
        <v>1764</v>
      </c>
      <c r="F983" s="198" t="s">
        <v>407</v>
      </c>
      <c r="G983" s="198" t="s">
        <v>1700</v>
      </c>
      <c r="H983" s="25" t="s">
        <v>1700</v>
      </c>
      <c r="I983" s="27" t="s">
        <v>3893</v>
      </c>
      <c r="J983" s="27" t="s">
        <v>866</v>
      </c>
      <c r="K983" s="28" t="s">
        <v>853</v>
      </c>
      <c r="Q983" s="93"/>
      <c r="R983" s="28" t="s">
        <v>853</v>
      </c>
      <c r="S983" s="21"/>
      <c r="T983" s="21"/>
      <c r="U983" s="21"/>
      <c r="V983" s="21"/>
      <c r="W983" s="93">
        <v>160</v>
      </c>
      <c r="X983" s="84" t="s">
        <v>1700</v>
      </c>
      <c r="Y983" s="84" t="s">
        <v>2499</v>
      </c>
      <c r="AA983" s="84" t="s">
        <v>1150</v>
      </c>
      <c r="AB983" s="84" t="s">
        <v>126</v>
      </c>
      <c r="AC983" s="26">
        <v>42416</v>
      </c>
      <c r="AD983" s="26" t="s">
        <v>853</v>
      </c>
      <c r="AE983" s="8" t="s">
        <v>4677</v>
      </c>
      <c r="AF983" s="8">
        <v>350</v>
      </c>
      <c r="AG983" s="8">
        <v>160</v>
      </c>
      <c r="CB983" s="26">
        <v>42135</v>
      </c>
      <c r="CC983" s="26" t="s">
        <v>853</v>
      </c>
      <c r="CD983" s="8" t="s">
        <v>3713</v>
      </c>
      <c r="CE983" s="8">
        <v>320</v>
      </c>
      <c r="CF983" s="8">
        <v>160</v>
      </c>
      <c r="CG983" s="26"/>
      <c r="CH983" s="8"/>
      <c r="CM983" s="8"/>
      <c r="CR983" s="8"/>
    </row>
    <row r="984" spans="1:129" x14ac:dyDescent="0.25">
      <c r="A984" s="8" t="s">
        <v>3515</v>
      </c>
      <c r="B984" s="24" t="s">
        <v>875</v>
      </c>
      <c r="E984" s="26" t="s">
        <v>1762</v>
      </c>
      <c r="F984" s="198" t="s">
        <v>927</v>
      </c>
      <c r="G984" s="198" t="s">
        <v>1700</v>
      </c>
      <c r="H984" s="25" t="s">
        <v>1700</v>
      </c>
      <c r="I984" s="27" t="s">
        <v>3901</v>
      </c>
      <c r="J984" s="27" t="s">
        <v>866</v>
      </c>
      <c r="K984" s="28" t="s">
        <v>3908</v>
      </c>
      <c r="R984" s="29" t="s">
        <v>854</v>
      </c>
      <c r="CB984" s="278"/>
      <c r="CG984" s="278"/>
    </row>
    <row r="985" spans="1:129" x14ac:dyDescent="0.25">
      <c r="A985" s="8" t="s">
        <v>412</v>
      </c>
      <c r="B985" s="24" t="s">
        <v>931</v>
      </c>
      <c r="C985" s="25" t="s">
        <v>413</v>
      </c>
      <c r="E985" s="26" t="s">
        <v>1762</v>
      </c>
      <c r="F985" s="198" t="s">
        <v>1849</v>
      </c>
      <c r="G985" s="198" t="s">
        <v>1700</v>
      </c>
      <c r="H985" s="25" t="s">
        <v>3714</v>
      </c>
      <c r="J985" s="27" t="s">
        <v>866</v>
      </c>
      <c r="R985" s="29" t="s">
        <v>853</v>
      </c>
      <c r="X985" s="84" t="s">
        <v>1700</v>
      </c>
      <c r="Y985" s="84" t="s">
        <v>319</v>
      </c>
      <c r="AA985" s="84" t="s">
        <v>3715</v>
      </c>
      <c r="AB985" s="84" t="s">
        <v>302</v>
      </c>
      <c r="CB985" s="26">
        <v>42135</v>
      </c>
      <c r="CC985" s="26" t="s">
        <v>853</v>
      </c>
      <c r="CD985" s="8" t="s">
        <v>3716</v>
      </c>
      <c r="CE985" s="8">
        <v>165</v>
      </c>
      <c r="CF985" s="8">
        <v>83</v>
      </c>
      <c r="CG985" s="26"/>
      <c r="CH985" s="8"/>
      <c r="CM985" s="8"/>
      <c r="CR985" s="8"/>
    </row>
    <row r="986" spans="1:129" x14ac:dyDescent="0.25">
      <c r="A986" s="8" t="s">
        <v>224</v>
      </c>
      <c r="B986" s="24" t="s">
        <v>225</v>
      </c>
      <c r="F986" s="198" t="s">
        <v>1700</v>
      </c>
      <c r="G986" s="198" t="s">
        <v>1700</v>
      </c>
      <c r="H986" s="25" t="s">
        <v>1700</v>
      </c>
      <c r="I986" s="27" t="s">
        <v>3904</v>
      </c>
      <c r="J986" s="27" t="s">
        <v>866</v>
      </c>
      <c r="K986" s="28" t="s">
        <v>816</v>
      </c>
      <c r="CB986" s="278"/>
      <c r="CG986" s="278"/>
      <c r="CH986" s="278"/>
      <c r="CK986" s="279"/>
      <c r="CL986" s="278"/>
      <c r="CM986" s="278"/>
      <c r="CP986" s="279"/>
    </row>
    <row r="987" spans="1:129" x14ac:dyDescent="0.25">
      <c r="A987" s="8" t="s">
        <v>1012</v>
      </c>
      <c r="B987" s="24" t="s">
        <v>956</v>
      </c>
      <c r="E987" s="26" t="s">
        <v>1762</v>
      </c>
      <c r="F987" s="198" t="s">
        <v>1700</v>
      </c>
      <c r="G987" s="198" t="s">
        <v>1700</v>
      </c>
      <c r="H987" s="25" t="s">
        <v>1700</v>
      </c>
      <c r="I987" s="27" t="s">
        <v>3902</v>
      </c>
      <c r="J987" s="27" t="s">
        <v>866</v>
      </c>
      <c r="K987" s="28" t="s">
        <v>3907</v>
      </c>
      <c r="P987" s="17">
        <v>1</v>
      </c>
      <c r="R987" s="29" t="s">
        <v>1763</v>
      </c>
      <c r="CB987" s="278"/>
      <c r="CG987" s="278"/>
      <c r="CH987" s="278"/>
      <c r="CK987" s="279"/>
      <c r="CL987" s="278"/>
      <c r="CM987" s="278"/>
      <c r="CP987" s="279"/>
    </row>
    <row r="988" spans="1:129" x14ac:dyDescent="0.25">
      <c r="A988" s="8" t="s">
        <v>2529</v>
      </c>
      <c r="B988" s="24" t="s">
        <v>878</v>
      </c>
      <c r="D988" s="26">
        <v>28597</v>
      </c>
      <c r="E988" s="26" t="s">
        <v>1762</v>
      </c>
      <c r="F988" s="198" t="s">
        <v>1700</v>
      </c>
      <c r="G988" s="198" t="s">
        <v>1700</v>
      </c>
      <c r="H988" s="25" t="s">
        <v>1700</v>
      </c>
      <c r="J988" s="27" t="s">
        <v>866</v>
      </c>
      <c r="R988" s="29" t="s">
        <v>855</v>
      </c>
      <c r="CB988" s="278"/>
      <c r="CG988" s="278"/>
      <c r="CH988" s="278"/>
      <c r="CK988" s="279"/>
      <c r="CL988" s="278"/>
      <c r="CM988" s="278"/>
      <c r="CP988" s="279"/>
    </row>
    <row r="989" spans="1:129" x14ac:dyDescent="0.25">
      <c r="A989" s="8" t="s">
        <v>4042</v>
      </c>
      <c r="B989" s="24" t="s">
        <v>4043</v>
      </c>
      <c r="F989" s="198" t="s">
        <v>1700</v>
      </c>
      <c r="G989" s="198" t="s">
        <v>1700</v>
      </c>
      <c r="H989" s="25" t="s">
        <v>1700</v>
      </c>
      <c r="I989" s="27" t="s">
        <v>3902</v>
      </c>
      <c r="J989" s="27" t="s">
        <v>866</v>
      </c>
      <c r="K989" s="28" t="s">
        <v>3907</v>
      </c>
      <c r="P989" s="17">
        <v>1</v>
      </c>
      <c r="CB989" s="278"/>
      <c r="CG989" s="278"/>
    </row>
    <row r="990" spans="1:129" x14ac:dyDescent="0.25">
      <c r="A990" s="8" t="s">
        <v>4042</v>
      </c>
      <c r="B990" s="24" t="s">
        <v>950</v>
      </c>
      <c r="F990" s="198" t="s">
        <v>1700</v>
      </c>
      <c r="G990" s="198" t="s">
        <v>1700</v>
      </c>
      <c r="H990" s="25" t="s">
        <v>1700</v>
      </c>
      <c r="J990" s="27" t="s">
        <v>866</v>
      </c>
      <c r="K990" s="28" t="s">
        <v>816</v>
      </c>
      <c r="CB990" s="278"/>
      <c r="CG990" s="278"/>
    </row>
    <row r="991" spans="1:129" x14ac:dyDescent="0.25">
      <c r="A991" s="8" t="s">
        <v>2034</v>
      </c>
      <c r="B991" s="24" t="s">
        <v>1991</v>
      </c>
      <c r="C991" s="25" t="s">
        <v>2035</v>
      </c>
      <c r="E991" s="26" t="s">
        <v>1762</v>
      </c>
      <c r="F991" s="198" t="s">
        <v>1558</v>
      </c>
      <c r="G991" s="198" t="s">
        <v>1700</v>
      </c>
      <c r="H991" s="25" t="s">
        <v>4487</v>
      </c>
      <c r="I991" s="27" t="s">
        <v>3903</v>
      </c>
      <c r="J991" s="27" t="s">
        <v>866</v>
      </c>
      <c r="K991" s="28" t="s">
        <v>853</v>
      </c>
      <c r="W991" s="93">
        <v>135</v>
      </c>
      <c r="X991" s="84" t="s">
        <v>1700</v>
      </c>
      <c r="Y991" s="84" t="s">
        <v>498</v>
      </c>
      <c r="AA991" s="84" t="s">
        <v>2036</v>
      </c>
      <c r="AB991" s="84" t="s">
        <v>1749</v>
      </c>
      <c r="AC991" s="26">
        <v>42360</v>
      </c>
      <c r="AD991" s="26" t="s">
        <v>853</v>
      </c>
      <c r="AE991" s="8" t="s">
        <v>4488</v>
      </c>
      <c r="AF991" s="8">
        <v>270</v>
      </c>
      <c r="AG991" s="8">
        <v>135</v>
      </c>
      <c r="CB991" s="26"/>
      <c r="CC991" s="26"/>
      <c r="CF991" s="8"/>
      <c r="CG991" s="26"/>
      <c r="CH991" s="8"/>
      <c r="CM991" s="8"/>
      <c r="CR991" s="8"/>
    </row>
    <row r="992" spans="1:129" x14ac:dyDescent="0.25">
      <c r="A992" s="8" t="s">
        <v>3706</v>
      </c>
      <c r="B992" s="24" t="s">
        <v>880</v>
      </c>
      <c r="C992" s="25" t="s">
        <v>3705</v>
      </c>
      <c r="E992" s="26" t="s">
        <v>1762</v>
      </c>
      <c r="F992" s="198" t="s">
        <v>1317</v>
      </c>
      <c r="G992" s="198" t="s">
        <v>1700</v>
      </c>
      <c r="H992" s="25" t="s">
        <v>3707</v>
      </c>
      <c r="J992" s="27" t="s">
        <v>866</v>
      </c>
      <c r="R992" s="29" t="s">
        <v>853</v>
      </c>
      <c r="X992" s="84" t="s">
        <v>1700</v>
      </c>
      <c r="Y992" s="84" t="s">
        <v>762</v>
      </c>
      <c r="AA992" s="84" t="s">
        <v>3708</v>
      </c>
      <c r="AB992" s="84" t="s">
        <v>2453</v>
      </c>
      <c r="CB992" s="278">
        <v>42135</v>
      </c>
      <c r="CC992" s="278" t="s">
        <v>853</v>
      </c>
      <c r="CD992" s="8" t="s">
        <v>3709</v>
      </c>
      <c r="CE992" s="8">
        <v>36</v>
      </c>
      <c r="CF992" s="279">
        <v>18</v>
      </c>
      <c r="CG992" s="278">
        <v>42135</v>
      </c>
      <c r="CH992" s="26" t="s">
        <v>853</v>
      </c>
      <c r="CI992" s="8" t="s">
        <v>3710</v>
      </c>
      <c r="CJ992" s="8">
        <v>105</v>
      </c>
      <c r="CK992" s="8">
        <v>53</v>
      </c>
    </row>
    <row r="993" spans="1:96" x14ac:dyDescent="0.25">
      <c r="A993" s="8" t="s">
        <v>2968</v>
      </c>
      <c r="B993" s="24" t="s">
        <v>2966</v>
      </c>
      <c r="C993" s="25" t="s">
        <v>2965</v>
      </c>
      <c r="E993" s="26" t="s">
        <v>1762</v>
      </c>
      <c r="F993" s="198" t="s">
        <v>754</v>
      </c>
      <c r="G993" s="198" t="s">
        <v>1700</v>
      </c>
      <c r="H993" s="25" t="s">
        <v>2967</v>
      </c>
      <c r="J993" s="27" t="s">
        <v>866</v>
      </c>
      <c r="R993" s="29" t="s">
        <v>853</v>
      </c>
      <c r="X993" s="84" t="s">
        <v>1700</v>
      </c>
      <c r="Y993" s="84" t="s">
        <v>190</v>
      </c>
      <c r="AA993" s="84" t="s">
        <v>2969</v>
      </c>
      <c r="AB993" s="84" t="s">
        <v>126</v>
      </c>
      <c r="CB993" s="278">
        <v>41934</v>
      </c>
      <c r="CC993" s="278" t="s">
        <v>853</v>
      </c>
      <c r="CD993" s="8" t="s">
        <v>2970</v>
      </c>
      <c r="CE993" s="8">
        <v>330</v>
      </c>
      <c r="CF993" s="279">
        <v>160</v>
      </c>
      <c r="CG993" s="278"/>
      <c r="CH993" s="278"/>
      <c r="CK993" s="279"/>
      <c r="CL993" s="278"/>
      <c r="CM993" s="278"/>
      <c r="CP993" s="279"/>
    </row>
    <row r="994" spans="1:96" x14ac:dyDescent="0.25">
      <c r="A994" s="8" t="s">
        <v>1346</v>
      </c>
      <c r="B994" s="24" t="s">
        <v>876</v>
      </c>
      <c r="C994" s="25" t="s">
        <v>1347</v>
      </c>
      <c r="E994" s="26" t="s">
        <v>1762</v>
      </c>
      <c r="F994" s="198" t="s">
        <v>1326</v>
      </c>
      <c r="G994" s="198" t="s">
        <v>2344</v>
      </c>
      <c r="H994" s="25" t="s">
        <v>2343</v>
      </c>
      <c r="I994" s="27" t="s">
        <v>3903</v>
      </c>
      <c r="J994" s="27" t="s">
        <v>866</v>
      </c>
      <c r="K994" s="28" t="s">
        <v>853</v>
      </c>
      <c r="R994" s="29" t="s">
        <v>853</v>
      </c>
      <c r="W994" s="93">
        <v>160</v>
      </c>
      <c r="X994" s="84" t="s">
        <v>1700</v>
      </c>
      <c r="Y994" s="84" t="s">
        <v>791</v>
      </c>
      <c r="AA994" s="84" t="s">
        <v>1348</v>
      </c>
      <c r="AB994" s="84" t="s">
        <v>126</v>
      </c>
      <c r="AC994" s="26">
        <v>42352</v>
      </c>
      <c r="AD994" s="26" t="s">
        <v>853</v>
      </c>
      <c r="AE994" s="8" t="s">
        <v>4379</v>
      </c>
      <c r="AF994" s="8">
        <v>621</v>
      </c>
      <c r="AG994" s="8">
        <v>160</v>
      </c>
      <c r="CB994" s="26">
        <v>41943</v>
      </c>
      <c r="CC994" s="26" t="s">
        <v>853</v>
      </c>
      <c r="CD994" s="8" t="s">
        <v>2987</v>
      </c>
      <c r="CE994" s="8">
        <v>560</v>
      </c>
      <c r="CF994" s="8">
        <v>160</v>
      </c>
      <c r="CG994" s="26"/>
      <c r="CH994" s="8"/>
      <c r="CM994" s="8"/>
      <c r="CR994" s="8"/>
    </row>
    <row r="995" spans="1:96" x14ac:dyDescent="0.25">
      <c r="A995" s="8" t="s">
        <v>4424</v>
      </c>
      <c r="B995" s="24" t="s">
        <v>779</v>
      </c>
      <c r="C995" s="25" t="s">
        <v>4423</v>
      </c>
      <c r="E995" s="26" t="s">
        <v>1762</v>
      </c>
      <c r="F995" s="198" t="s">
        <v>733</v>
      </c>
      <c r="G995" s="198" t="s">
        <v>1700</v>
      </c>
      <c r="H995" s="25" t="s">
        <v>4425</v>
      </c>
      <c r="I995" s="27" t="s">
        <v>3903</v>
      </c>
      <c r="J995" s="27" t="s">
        <v>866</v>
      </c>
      <c r="K995" s="28" t="s">
        <v>853</v>
      </c>
      <c r="W995" s="93">
        <v>160</v>
      </c>
      <c r="X995" s="84" t="s">
        <v>1700</v>
      </c>
      <c r="Y995" s="84" t="s">
        <v>2499</v>
      </c>
      <c r="AA995" s="84" t="s">
        <v>4426</v>
      </c>
      <c r="AB995" s="84" t="s">
        <v>126</v>
      </c>
      <c r="AC995" s="26">
        <v>42352</v>
      </c>
      <c r="AD995" s="26" t="s">
        <v>853</v>
      </c>
      <c r="AE995" s="8" t="s">
        <v>4427</v>
      </c>
      <c r="AF995" s="8">
        <v>366</v>
      </c>
      <c r="AG995" s="8">
        <v>160</v>
      </c>
      <c r="CB995" s="278"/>
      <c r="CG995" s="278"/>
    </row>
    <row r="996" spans="1:96" x14ac:dyDescent="0.25">
      <c r="A996" s="8" t="s">
        <v>2180</v>
      </c>
      <c r="B996" s="24" t="s">
        <v>881</v>
      </c>
      <c r="C996" s="25" t="s">
        <v>4068</v>
      </c>
      <c r="E996" s="26" t="s">
        <v>1762</v>
      </c>
      <c r="F996" s="198" t="s">
        <v>1609</v>
      </c>
      <c r="G996" s="198" t="s">
        <v>1700</v>
      </c>
      <c r="H996" s="25" t="s">
        <v>4069</v>
      </c>
      <c r="I996" s="27" t="s">
        <v>3901</v>
      </c>
      <c r="J996" s="27" t="s">
        <v>866</v>
      </c>
      <c r="K996" s="28" t="s">
        <v>853</v>
      </c>
      <c r="W996" s="93">
        <v>68</v>
      </c>
      <c r="X996" s="84" t="s">
        <v>1700</v>
      </c>
      <c r="Y996" s="84" t="s">
        <v>2499</v>
      </c>
      <c r="AA996" s="84" t="s">
        <v>4070</v>
      </c>
      <c r="AB996" s="84" t="s">
        <v>126</v>
      </c>
      <c r="AC996" s="26">
        <v>42311</v>
      </c>
      <c r="AD996" s="26" t="s">
        <v>853</v>
      </c>
      <c r="AE996" s="8" t="s">
        <v>4071</v>
      </c>
      <c r="AF996" s="8">
        <v>137</v>
      </c>
      <c r="AG996" s="8">
        <v>68</v>
      </c>
      <c r="CB996" s="278"/>
      <c r="CG996" s="278"/>
    </row>
    <row r="997" spans="1:96" x14ac:dyDescent="0.25">
      <c r="A997" s="8" t="s">
        <v>2180</v>
      </c>
      <c r="B997" s="24" t="s">
        <v>2622</v>
      </c>
      <c r="C997" s="25" t="s">
        <v>2623</v>
      </c>
      <c r="E997" s="26" t="s">
        <v>1768</v>
      </c>
      <c r="F997" s="198" t="s">
        <v>1843</v>
      </c>
      <c r="G997" s="198" t="s">
        <v>1700</v>
      </c>
      <c r="H997" s="25" t="s">
        <v>1700</v>
      </c>
      <c r="I997" s="27" t="s">
        <v>3902</v>
      </c>
      <c r="J997" s="27" t="s">
        <v>866</v>
      </c>
      <c r="K997" s="28" t="s">
        <v>3906</v>
      </c>
      <c r="R997" s="29" t="s">
        <v>1416</v>
      </c>
      <c r="CB997" s="26"/>
      <c r="CC997" s="26"/>
      <c r="CF997" s="8"/>
      <c r="CG997" s="26"/>
      <c r="CH997" s="8"/>
      <c r="CM997" s="8"/>
      <c r="CR997" s="8"/>
    </row>
    <row r="998" spans="1:96" x14ac:dyDescent="0.25">
      <c r="A998" s="8" t="s">
        <v>1970</v>
      </c>
      <c r="B998" s="24" t="s">
        <v>792</v>
      </c>
      <c r="F998" s="198" t="s">
        <v>1700</v>
      </c>
      <c r="G998" s="198" t="s">
        <v>1700</v>
      </c>
      <c r="H998" s="25" t="s">
        <v>1700</v>
      </c>
      <c r="J998" s="27" t="s">
        <v>866</v>
      </c>
      <c r="CB998" s="278"/>
      <c r="CG998" s="278"/>
      <c r="CH998" s="278"/>
      <c r="CK998" s="279"/>
      <c r="CL998" s="278"/>
      <c r="CM998" s="278"/>
      <c r="CP998" s="279"/>
    </row>
    <row r="999" spans="1:96" x14ac:dyDescent="0.25">
      <c r="A999" s="8" t="s">
        <v>1312</v>
      </c>
      <c r="B999" s="24" t="s">
        <v>357</v>
      </c>
      <c r="C999" s="25" t="s">
        <v>1313</v>
      </c>
      <c r="E999" s="26" t="s">
        <v>1762</v>
      </c>
      <c r="F999" s="198" t="s">
        <v>963</v>
      </c>
      <c r="G999" s="198" t="s">
        <v>1700</v>
      </c>
      <c r="H999" s="25" t="s">
        <v>1700</v>
      </c>
      <c r="J999" s="27" t="s">
        <v>866</v>
      </c>
      <c r="X999" s="84" t="s">
        <v>1700</v>
      </c>
      <c r="Y999" s="84" t="s">
        <v>282</v>
      </c>
      <c r="AA999" s="84" t="s">
        <v>487</v>
      </c>
      <c r="AB999" s="84" t="s">
        <v>2072</v>
      </c>
      <c r="CB999" s="26"/>
      <c r="CC999" s="26"/>
      <c r="CF999" s="8"/>
      <c r="CG999" s="26"/>
      <c r="CH999" s="8"/>
      <c r="CM999" s="8"/>
      <c r="CR999" s="8"/>
    </row>
    <row r="1000" spans="1:96" x14ac:dyDescent="0.25">
      <c r="A1000" s="8" t="s">
        <v>725</v>
      </c>
      <c r="B1000" s="24" t="s">
        <v>2152</v>
      </c>
      <c r="C1000" s="25" t="s">
        <v>724</v>
      </c>
      <c r="E1000" s="26" t="s">
        <v>1762</v>
      </c>
      <c r="F1000" s="198" t="s">
        <v>2716</v>
      </c>
      <c r="G1000" s="198" t="s">
        <v>2717</v>
      </c>
      <c r="H1000" s="25" t="s">
        <v>1700</v>
      </c>
      <c r="I1000" s="27" t="s">
        <v>3901</v>
      </c>
      <c r="J1000" s="27" t="s">
        <v>866</v>
      </c>
      <c r="K1000" s="28" t="s">
        <v>853</v>
      </c>
      <c r="R1000" s="29" t="s">
        <v>853</v>
      </c>
      <c r="W1000" s="93">
        <v>160</v>
      </c>
      <c r="X1000" s="84" t="s">
        <v>1700</v>
      </c>
      <c r="Y1000" s="84" t="s">
        <v>246</v>
      </c>
      <c r="AA1000" s="84" t="s">
        <v>110</v>
      </c>
      <c r="AB1000" s="84" t="s">
        <v>126</v>
      </c>
      <c r="AC1000" s="26">
        <v>42299</v>
      </c>
      <c r="AD1000" s="26" t="s">
        <v>853</v>
      </c>
      <c r="AE1000" s="8" t="s">
        <v>4017</v>
      </c>
      <c r="AF1000" s="8">
        <v>856.99</v>
      </c>
      <c r="AG1000" s="8">
        <v>160</v>
      </c>
      <c r="CB1000" s="26">
        <v>41921</v>
      </c>
      <c r="CC1000" s="26" t="s">
        <v>853</v>
      </c>
      <c r="CD1000" s="8" t="s">
        <v>2762</v>
      </c>
      <c r="CE1000" s="8">
        <v>805.01</v>
      </c>
      <c r="CF1000" s="8">
        <v>160</v>
      </c>
      <c r="CG1000" s="26"/>
      <c r="CH1000" s="8"/>
      <c r="CM1000" s="8"/>
      <c r="CR1000" s="8"/>
    </row>
    <row r="1001" spans="1:96" x14ac:dyDescent="0.25">
      <c r="A1001" s="8" t="s">
        <v>2252</v>
      </c>
      <c r="B1001" s="24" t="s">
        <v>2253</v>
      </c>
      <c r="C1001" s="25" t="s">
        <v>2254</v>
      </c>
      <c r="E1001" s="26" t="s">
        <v>1764</v>
      </c>
      <c r="F1001" s="198" t="s">
        <v>874</v>
      </c>
      <c r="G1001" s="198" t="s">
        <v>1700</v>
      </c>
      <c r="H1001" s="25" t="s">
        <v>3001</v>
      </c>
      <c r="I1001" s="27" t="s">
        <v>3894</v>
      </c>
      <c r="J1001" s="27" t="s">
        <v>866</v>
      </c>
      <c r="K1001" s="28" t="s">
        <v>853</v>
      </c>
      <c r="R1001" s="29" t="s">
        <v>853</v>
      </c>
      <c r="W1001" s="93">
        <v>160</v>
      </c>
      <c r="X1001" s="84" t="s">
        <v>1700</v>
      </c>
      <c r="Y1001" s="84" t="s">
        <v>4716</v>
      </c>
      <c r="AA1001" s="84" t="s">
        <v>4717</v>
      </c>
      <c r="AB1001" s="84" t="s">
        <v>1121</v>
      </c>
      <c r="AC1001" s="26">
        <v>42453</v>
      </c>
      <c r="AD1001" s="26" t="s">
        <v>853</v>
      </c>
      <c r="AE1001" s="8" t="s">
        <v>4718</v>
      </c>
      <c r="AF1001" s="8">
        <v>358.8</v>
      </c>
      <c r="AG1001" s="8">
        <v>160</v>
      </c>
      <c r="CB1001" s="26">
        <v>41943</v>
      </c>
      <c r="CC1001" s="26" t="s">
        <v>853</v>
      </c>
      <c r="CD1001" s="8" t="s">
        <v>3002</v>
      </c>
      <c r="CE1001" s="8">
        <v>453.8</v>
      </c>
      <c r="CF1001" s="8">
        <v>160</v>
      </c>
      <c r="CG1001" s="26"/>
      <c r="CH1001" s="8"/>
      <c r="CM1001" s="8"/>
      <c r="CR1001" s="8"/>
    </row>
    <row r="1002" spans="1:96" x14ac:dyDescent="0.25">
      <c r="A1002" s="8" t="s">
        <v>3691</v>
      </c>
      <c r="B1002" s="24" t="s">
        <v>1427</v>
      </c>
      <c r="F1002" s="198" t="s">
        <v>1700</v>
      </c>
      <c r="G1002" s="198" t="s">
        <v>1700</v>
      </c>
      <c r="H1002" s="25" t="s">
        <v>1700</v>
      </c>
      <c r="J1002" s="27" t="s">
        <v>866</v>
      </c>
      <c r="R1002" s="29" t="s">
        <v>816</v>
      </c>
      <c r="CB1002" s="278"/>
      <c r="CG1002" s="278"/>
    </row>
    <row r="1003" spans="1:96" x14ac:dyDescent="0.25">
      <c r="A1003" s="8" t="s">
        <v>4941</v>
      </c>
      <c r="B1003" s="24" t="s">
        <v>2151</v>
      </c>
      <c r="F1003" s="198" t="s">
        <v>1700</v>
      </c>
      <c r="G1003" s="198" t="s">
        <v>1700</v>
      </c>
      <c r="H1003" s="25" t="s">
        <v>1700</v>
      </c>
      <c r="I1003" s="27" t="s">
        <v>3899</v>
      </c>
      <c r="J1003" s="27" t="s">
        <v>866</v>
      </c>
      <c r="K1003" s="28" t="s">
        <v>3907</v>
      </c>
      <c r="P1003" s="17">
        <v>1</v>
      </c>
      <c r="CB1003" s="278"/>
      <c r="CG1003" s="278"/>
    </row>
    <row r="1004" spans="1:96" x14ac:dyDescent="0.25">
      <c r="A1004" s="8" t="s">
        <v>1652</v>
      </c>
      <c r="B1004" s="24" t="s">
        <v>882</v>
      </c>
      <c r="C1004" s="25" t="s">
        <v>1450</v>
      </c>
      <c r="E1004" s="26" t="s">
        <v>896</v>
      </c>
      <c r="F1004" s="198" t="s">
        <v>1653</v>
      </c>
      <c r="G1004" s="198" t="s">
        <v>1700</v>
      </c>
      <c r="H1004" s="25" t="s">
        <v>2695</v>
      </c>
      <c r="I1004" s="27" t="s">
        <v>3902</v>
      </c>
      <c r="J1004" s="27" t="s">
        <v>866</v>
      </c>
      <c r="K1004" s="28" t="s">
        <v>853</v>
      </c>
      <c r="Q1004" s="93"/>
      <c r="R1004" s="28" t="s">
        <v>853</v>
      </c>
      <c r="S1004" s="21"/>
      <c r="T1004" s="21"/>
      <c r="U1004" s="21"/>
      <c r="V1004" s="21"/>
      <c r="W1004" s="93">
        <v>160</v>
      </c>
      <c r="X1004" s="84" t="s">
        <v>1700</v>
      </c>
      <c r="Y1004" s="84" t="s">
        <v>258</v>
      </c>
      <c r="AA1004" s="84" t="s">
        <v>111</v>
      </c>
      <c r="AB1004" s="84" t="s">
        <v>1749</v>
      </c>
      <c r="AC1004" s="26">
        <v>42334</v>
      </c>
      <c r="AD1004" s="26" t="s">
        <v>853</v>
      </c>
      <c r="AE1004" s="8" t="s">
        <v>4311</v>
      </c>
      <c r="AF1004" s="8">
        <v>358</v>
      </c>
      <c r="AG1004" s="8">
        <v>160</v>
      </c>
      <c r="CB1004" s="26">
        <v>41921</v>
      </c>
      <c r="CC1004" s="26" t="s">
        <v>853</v>
      </c>
      <c r="CD1004" s="8" t="s">
        <v>2696</v>
      </c>
      <c r="CE1004" s="8">
        <v>353</v>
      </c>
      <c r="CF1004" s="8">
        <v>160</v>
      </c>
      <c r="CG1004" s="26"/>
      <c r="CH1004" s="8"/>
      <c r="CM1004" s="8"/>
      <c r="CR1004" s="8"/>
    </row>
    <row r="1005" spans="1:96" x14ac:dyDescent="0.25">
      <c r="A1005" s="8" t="s">
        <v>1259</v>
      </c>
      <c r="B1005" s="24" t="s">
        <v>1260</v>
      </c>
      <c r="C1005" s="25" t="s">
        <v>1261</v>
      </c>
      <c r="E1005" s="26" t="s">
        <v>1762</v>
      </c>
      <c r="F1005" s="198" t="s">
        <v>884</v>
      </c>
      <c r="G1005" s="198" t="s">
        <v>1700</v>
      </c>
      <c r="H1005" s="25" t="s">
        <v>1700</v>
      </c>
      <c r="J1005" s="27" t="s">
        <v>866</v>
      </c>
      <c r="X1005" s="84" t="s">
        <v>1700</v>
      </c>
      <c r="Y1005" s="84" t="s">
        <v>277</v>
      </c>
      <c r="AA1005" s="84" t="s">
        <v>1263</v>
      </c>
      <c r="AB1005" s="84" t="s">
        <v>1262</v>
      </c>
      <c r="CB1005" s="26"/>
      <c r="CC1005" s="26"/>
      <c r="CF1005" s="8"/>
      <c r="CG1005" s="26"/>
      <c r="CH1005" s="8"/>
      <c r="CM1005" s="8"/>
      <c r="CR1005" s="8"/>
    </row>
    <row r="1006" spans="1:96" x14ac:dyDescent="0.25">
      <c r="A1006" s="8" t="s">
        <v>1654</v>
      </c>
      <c r="B1006" s="24" t="s">
        <v>1611</v>
      </c>
      <c r="C1006" s="25" t="s">
        <v>2219</v>
      </c>
      <c r="E1006" s="26" t="s">
        <v>1762</v>
      </c>
      <c r="F1006" s="198" t="s">
        <v>913</v>
      </c>
      <c r="G1006" s="198" t="s">
        <v>1700</v>
      </c>
      <c r="H1006" s="25" t="s">
        <v>3253</v>
      </c>
      <c r="J1006" s="27" t="s">
        <v>866</v>
      </c>
      <c r="R1006" s="29" t="s">
        <v>853</v>
      </c>
      <c r="X1006" s="84" t="s">
        <v>1700</v>
      </c>
      <c r="Y1006" s="84" t="s">
        <v>791</v>
      </c>
      <c r="AA1006" s="84" t="s">
        <v>2220</v>
      </c>
      <c r="AB1006" s="84" t="s">
        <v>126</v>
      </c>
      <c r="CB1006" s="26">
        <v>41977</v>
      </c>
      <c r="CC1006" s="26" t="s">
        <v>853</v>
      </c>
      <c r="CD1006" s="8" t="s">
        <v>3254</v>
      </c>
      <c r="CE1006" s="8">
        <v>273</v>
      </c>
      <c r="CF1006" s="8">
        <v>137</v>
      </c>
      <c r="CG1006" s="26"/>
      <c r="CH1006" s="8"/>
      <c r="CM1006" s="8"/>
      <c r="CR1006" s="8"/>
    </row>
    <row r="1007" spans="1:96" x14ac:dyDescent="0.25">
      <c r="A1007" s="8" t="s">
        <v>2006</v>
      </c>
      <c r="B1007" s="24" t="s">
        <v>552</v>
      </c>
      <c r="C1007" s="25" t="s">
        <v>2005</v>
      </c>
      <c r="E1007" s="26" t="s">
        <v>1762</v>
      </c>
      <c r="F1007" s="198" t="s">
        <v>913</v>
      </c>
      <c r="G1007" s="198" t="s">
        <v>3406</v>
      </c>
      <c r="H1007" s="25" t="s">
        <v>4230</v>
      </c>
      <c r="I1007" s="27" t="s">
        <v>3902</v>
      </c>
      <c r="J1007" s="27" t="s">
        <v>866</v>
      </c>
      <c r="K1007" s="28" t="s">
        <v>853</v>
      </c>
      <c r="Q1007" s="95"/>
      <c r="R1007" s="16" t="s">
        <v>853</v>
      </c>
      <c r="S1007" s="29"/>
      <c r="T1007" s="29"/>
      <c r="U1007" s="29"/>
      <c r="V1007" s="29"/>
      <c r="W1007" s="93">
        <v>62</v>
      </c>
      <c r="X1007" s="84" t="s">
        <v>1700</v>
      </c>
      <c r="Y1007" s="84" t="s">
        <v>246</v>
      </c>
      <c r="AA1007" s="84" t="s">
        <v>3407</v>
      </c>
      <c r="AB1007" s="84" t="s">
        <v>126</v>
      </c>
      <c r="AC1007" s="26">
        <v>42313</v>
      </c>
      <c r="AD1007" s="26" t="s">
        <v>853</v>
      </c>
      <c r="AE1007" s="8" t="s">
        <v>4231</v>
      </c>
      <c r="AF1007" s="8">
        <v>125</v>
      </c>
      <c r="AG1007" s="8">
        <v>62</v>
      </c>
      <c r="CB1007" s="26">
        <v>42011</v>
      </c>
      <c r="CC1007" s="26" t="s">
        <v>853</v>
      </c>
      <c r="CD1007" s="8" t="s">
        <v>3408</v>
      </c>
      <c r="CE1007" s="8">
        <v>180</v>
      </c>
      <c r="CF1007" s="8">
        <v>90</v>
      </c>
      <c r="CG1007" s="26"/>
      <c r="CH1007" s="8"/>
      <c r="CM1007" s="8"/>
      <c r="CR1007" s="8"/>
    </row>
    <row r="1008" spans="1:96" x14ac:dyDescent="0.25">
      <c r="A1008" s="8" t="s">
        <v>1900</v>
      </c>
      <c r="B1008" s="24" t="s">
        <v>2067</v>
      </c>
      <c r="E1008" s="26" t="s">
        <v>1762</v>
      </c>
      <c r="F1008" s="198" t="s">
        <v>852</v>
      </c>
      <c r="G1008" s="198" t="s">
        <v>1700</v>
      </c>
      <c r="H1008" s="25" t="s">
        <v>1700</v>
      </c>
      <c r="I1008" s="27" t="s">
        <v>3902</v>
      </c>
      <c r="J1008" s="27" t="s">
        <v>866</v>
      </c>
      <c r="K1008" s="28" t="s">
        <v>3906</v>
      </c>
      <c r="L1008" s="29" t="s">
        <v>854</v>
      </c>
      <c r="R1008" s="29" t="s">
        <v>854</v>
      </c>
      <c r="CB1008" s="278"/>
      <c r="CG1008" s="278"/>
      <c r="CH1008" s="278"/>
      <c r="CK1008" s="279"/>
      <c r="CL1008" s="278"/>
      <c r="CM1008" s="278"/>
      <c r="CP1008" s="279"/>
    </row>
    <row r="1009" spans="1:125" x14ac:dyDescent="0.25">
      <c r="A1009" s="8" t="s">
        <v>4035</v>
      </c>
      <c r="B1009" s="24" t="s">
        <v>728</v>
      </c>
      <c r="F1009" s="198" t="s">
        <v>1700</v>
      </c>
      <c r="G1009" s="198" t="s">
        <v>1700</v>
      </c>
      <c r="H1009" s="25" t="s">
        <v>1700</v>
      </c>
      <c r="I1009" s="27" t="s">
        <v>3902</v>
      </c>
      <c r="J1009" s="27" t="s">
        <v>866</v>
      </c>
      <c r="K1009" s="28" t="s">
        <v>3907</v>
      </c>
      <c r="P1009" s="17">
        <v>1</v>
      </c>
      <c r="CB1009" s="278"/>
      <c r="CG1009" s="278"/>
    </row>
    <row r="1010" spans="1:125" x14ac:dyDescent="0.25">
      <c r="A1010" s="8" t="s">
        <v>299</v>
      </c>
      <c r="B1010" s="24" t="s">
        <v>876</v>
      </c>
      <c r="E1010" s="26" t="s">
        <v>1762</v>
      </c>
      <c r="F1010" s="198" t="s">
        <v>1493</v>
      </c>
      <c r="G1010" s="198" t="s">
        <v>1700</v>
      </c>
      <c r="H1010" s="25" t="s">
        <v>1700</v>
      </c>
      <c r="J1010" s="27" t="s">
        <v>866</v>
      </c>
      <c r="R1010" s="29" t="s">
        <v>854</v>
      </c>
      <c r="CB1010" s="278"/>
      <c r="CG1010" s="278"/>
      <c r="CH1010" s="278"/>
      <c r="CK1010" s="279"/>
      <c r="CL1010" s="278"/>
      <c r="CM1010" s="278"/>
      <c r="CP1010" s="279"/>
    </row>
    <row r="1011" spans="1:125" x14ac:dyDescent="0.25">
      <c r="A1011" s="8" t="s">
        <v>4804</v>
      </c>
      <c r="B1011" s="24" t="s">
        <v>776</v>
      </c>
      <c r="C1011" s="25" t="s">
        <v>4803</v>
      </c>
      <c r="E1011" s="26" t="s">
        <v>1762</v>
      </c>
      <c r="F1011" s="198" t="s">
        <v>946</v>
      </c>
      <c r="G1011" s="198" t="s">
        <v>2383</v>
      </c>
      <c r="H1011" s="25" t="s">
        <v>4805</v>
      </c>
      <c r="I1011" s="27" t="s">
        <v>3896</v>
      </c>
      <c r="J1011" s="27" t="s">
        <v>866</v>
      </c>
      <c r="K1011" s="28" t="s">
        <v>853</v>
      </c>
      <c r="W1011" s="93">
        <v>87</v>
      </c>
      <c r="X1011" s="84" t="s">
        <v>1700</v>
      </c>
      <c r="Y1011" s="84" t="s">
        <v>2367</v>
      </c>
      <c r="AA1011" s="84" t="s">
        <v>4806</v>
      </c>
      <c r="AB1011" s="84" t="s">
        <v>221</v>
      </c>
      <c r="AC1011" s="26">
        <v>42493</v>
      </c>
      <c r="AD1011" s="26" t="s">
        <v>853</v>
      </c>
      <c r="AE1011" s="8" t="s">
        <v>4807</v>
      </c>
      <c r="AF1011" s="8">
        <v>175</v>
      </c>
      <c r="AG1011" s="8">
        <v>87</v>
      </c>
      <c r="CB1011" s="278"/>
      <c r="CG1011" s="278"/>
    </row>
    <row r="1012" spans="1:125" x14ac:dyDescent="0.25">
      <c r="A1012" s="8" t="s">
        <v>414</v>
      </c>
      <c r="B1012" s="24" t="s">
        <v>873</v>
      </c>
      <c r="C1012" s="25" t="s">
        <v>415</v>
      </c>
      <c r="E1012" s="26" t="s">
        <v>1762</v>
      </c>
      <c r="F1012" s="198" t="s">
        <v>722</v>
      </c>
      <c r="G1012" s="198" t="s">
        <v>1700</v>
      </c>
      <c r="H1012" s="25" t="s">
        <v>1700</v>
      </c>
      <c r="J1012" s="27" t="s">
        <v>866</v>
      </c>
      <c r="X1012" s="84" t="s">
        <v>1700</v>
      </c>
      <c r="Y1012" s="84" t="s">
        <v>791</v>
      </c>
      <c r="AA1012" s="84" t="s">
        <v>416</v>
      </c>
      <c r="AB1012" s="84" t="s">
        <v>126</v>
      </c>
      <c r="CB1012" s="26"/>
      <c r="CC1012" s="26"/>
      <c r="CF1012" s="8"/>
      <c r="CG1012" s="26"/>
      <c r="CH1012" s="8"/>
      <c r="CM1012" s="8"/>
      <c r="CR1012" s="8"/>
    </row>
    <row r="1013" spans="1:125" x14ac:dyDescent="0.25">
      <c r="A1013" s="8" t="s">
        <v>1680</v>
      </c>
      <c r="B1013" s="24" t="s">
        <v>880</v>
      </c>
      <c r="C1013" s="25" t="s">
        <v>1681</v>
      </c>
      <c r="E1013" s="26" t="s">
        <v>1762</v>
      </c>
      <c r="F1013" s="198" t="s">
        <v>948</v>
      </c>
      <c r="G1013" s="198" t="s">
        <v>1700</v>
      </c>
      <c r="H1013" s="25" t="s">
        <v>2694</v>
      </c>
      <c r="I1013" s="27" t="s">
        <v>3901</v>
      </c>
      <c r="J1013" s="27" t="s">
        <v>866</v>
      </c>
      <c r="K1013" s="28" t="s">
        <v>853</v>
      </c>
      <c r="R1013" s="29" t="s">
        <v>853</v>
      </c>
      <c r="W1013" s="93">
        <v>60</v>
      </c>
      <c r="X1013" s="84" t="s">
        <v>1700</v>
      </c>
      <c r="Y1013" s="84" t="s">
        <v>791</v>
      </c>
      <c r="AA1013" s="84" t="s">
        <v>1682</v>
      </c>
      <c r="AB1013" s="84" t="s">
        <v>126</v>
      </c>
      <c r="AC1013" s="26">
        <v>42299</v>
      </c>
      <c r="AD1013" s="26" t="s">
        <v>853</v>
      </c>
      <c r="AE1013" s="8" t="s">
        <v>3980</v>
      </c>
      <c r="AF1013" s="8">
        <v>120</v>
      </c>
      <c r="AG1013" s="8">
        <v>60</v>
      </c>
      <c r="CB1013" s="26">
        <v>41921</v>
      </c>
      <c r="CC1013" s="26" t="s">
        <v>853</v>
      </c>
      <c r="CD1013" s="8" t="s">
        <v>2396</v>
      </c>
      <c r="CE1013" s="8">
        <v>120</v>
      </c>
      <c r="CF1013" s="8">
        <v>60</v>
      </c>
      <c r="CG1013" s="26"/>
      <c r="CH1013" s="8"/>
      <c r="CM1013" s="8"/>
      <c r="CR1013" s="8"/>
    </row>
    <row r="1014" spans="1:125" x14ac:dyDescent="0.25">
      <c r="A1014" s="8" t="s">
        <v>198</v>
      </c>
      <c r="B1014" s="24" t="s">
        <v>1655</v>
      </c>
      <c r="C1014" s="25" t="s">
        <v>1291</v>
      </c>
      <c r="E1014" s="26" t="s">
        <v>1762</v>
      </c>
      <c r="F1014" s="198" t="s">
        <v>134</v>
      </c>
      <c r="G1014" s="198" t="s">
        <v>1700</v>
      </c>
      <c r="H1014" s="25" t="s">
        <v>3003</v>
      </c>
      <c r="I1014" s="27" t="s">
        <v>3901</v>
      </c>
      <c r="J1014" s="27" t="s">
        <v>866</v>
      </c>
      <c r="K1014" s="28" t="s">
        <v>853</v>
      </c>
      <c r="Q1014" s="93"/>
      <c r="R1014" s="28" t="s">
        <v>853</v>
      </c>
      <c r="S1014" s="29"/>
      <c r="T1014" s="29"/>
      <c r="U1014" s="29"/>
      <c r="V1014" s="29"/>
      <c r="W1014" s="93">
        <v>160</v>
      </c>
      <c r="X1014" s="84" t="s">
        <v>1700</v>
      </c>
      <c r="Y1014" s="84" t="s">
        <v>2499</v>
      </c>
      <c r="AA1014" s="84" t="s">
        <v>1125</v>
      </c>
      <c r="AB1014" s="84" t="s">
        <v>126</v>
      </c>
      <c r="AC1014" s="26">
        <v>42299</v>
      </c>
      <c r="AD1014" s="26" t="s">
        <v>853</v>
      </c>
      <c r="AE1014" s="8" t="s">
        <v>4000</v>
      </c>
      <c r="AF1014" s="8">
        <v>770</v>
      </c>
      <c r="AG1014" s="8">
        <v>160</v>
      </c>
      <c r="CB1014" s="26">
        <v>41943</v>
      </c>
      <c r="CC1014" s="26" t="s">
        <v>853</v>
      </c>
      <c r="CD1014" s="8" t="s">
        <v>3004</v>
      </c>
      <c r="CE1014" s="8">
        <v>750</v>
      </c>
      <c r="CF1014" s="8">
        <v>160</v>
      </c>
      <c r="CG1014" s="26"/>
      <c r="CH1014" s="8"/>
      <c r="CM1014" s="8"/>
      <c r="CR1014" s="8"/>
    </row>
    <row r="1015" spans="1:125" x14ac:dyDescent="0.25">
      <c r="A1015" s="8" t="s">
        <v>1925</v>
      </c>
      <c r="B1015" s="24" t="s">
        <v>2145</v>
      </c>
      <c r="C1015" s="25" t="s">
        <v>1926</v>
      </c>
      <c r="E1015" s="26" t="s">
        <v>1762</v>
      </c>
      <c r="F1015" s="198" t="s">
        <v>874</v>
      </c>
      <c r="G1015" s="198" t="s">
        <v>1700</v>
      </c>
      <c r="H1015" s="25" t="s">
        <v>3305</v>
      </c>
      <c r="J1015" s="27" t="s">
        <v>866</v>
      </c>
      <c r="R1015" s="29" t="s">
        <v>853</v>
      </c>
      <c r="X1015" s="84" t="s">
        <v>1700</v>
      </c>
      <c r="Y1015" s="84" t="s">
        <v>2499</v>
      </c>
      <c r="AA1015" s="84" t="s">
        <v>3303</v>
      </c>
      <c r="AB1015" s="84" t="s">
        <v>126</v>
      </c>
      <c r="CB1015" s="26">
        <v>41977</v>
      </c>
      <c r="CC1015" s="26" t="s">
        <v>853</v>
      </c>
      <c r="CD1015" s="8" t="s">
        <v>3304</v>
      </c>
      <c r="CE1015" s="8">
        <v>200</v>
      </c>
      <c r="CF1015" s="8">
        <v>100</v>
      </c>
      <c r="CG1015" s="26"/>
      <c r="CH1015" s="8"/>
      <c r="CM1015" s="8"/>
      <c r="CR1015" s="8"/>
    </row>
    <row r="1016" spans="1:125" x14ac:dyDescent="0.25">
      <c r="A1016" s="8" t="s">
        <v>3609</v>
      </c>
      <c r="B1016" s="24" t="s">
        <v>1505</v>
      </c>
      <c r="C1016" s="25" t="s">
        <v>3608</v>
      </c>
      <c r="E1016" s="26" t="s">
        <v>1762</v>
      </c>
      <c r="F1016" s="198" t="s">
        <v>194</v>
      </c>
      <c r="G1016" s="198" t="s">
        <v>1700</v>
      </c>
      <c r="H1016" s="25" t="s">
        <v>3610</v>
      </c>
      <c r="I1016" s="27" t="s">
        <v>3901</v>
      </c>
      <c r="J1016" s="27" t="s">
        <v>866</v>
      </c>
      <c r="K1016" s="28" t="s">
        <v>853</v>
      </c>
      <c r="R1016" s="29" t="s">
        <v>853</v>
      </c>
      <c r="W1016" s="93">
        <v>160</v>
      </c>
      <c r="X1016" s="84" t="s">
        <v>1700</v>
      </c>
      <c r="Y1016" s="84" t="s">
        <v>2921</v>
      </c>
      <c r="AA1016" s="84" t="s">
        <v>3611</v>
      </c>
      <c r="AB1016" s="84" t="s">
        <v>1144</v>
      </c>
      <c r="AC1016" s="26">
        <v>42311</v>
      </c>
      <c r="AD1016" s="26" t="s">
        <v>853</v>
      </c>
      <c r="AE1016" s="8" t="s">
        <v>4095</v>
      </c>
      <c r="AF1016" s="8">
        <v>504</v>
      </c>
      <c r="AG1016" s="8">
        <v>160</v>
      </c>
      <c r="CB1016" s="278">
        <v>42074</v>
      </c>
      <c r="CC1016" s="278" t="s">
        <v>853</v>
      </c>
      <c r="CD1016" s="8" t="s">
        <v>3612</v>
      </c>
      <c r="CE1016" s="8">
        <v>190</v>
      </c>
      <c r="CF1016" s="279">
        <v>95</v>
      </c>
      <c r="CG1016" s="278"/>
    </row>
    <row r="1017" spans="1:125" x14ac:dyDescent="0.25">
      <c r="A1017" s="8" t="s">
        <v>3127</v>
      </c>
      <c r="B1017" s="24" t="s">
        <v>663</v>
      </c>
      <c r="C1017" s="25" t="s">
        <v>3126</v>
      </c>
      <c r="E1017" s="26" t="s">
        <v>1762</v>
      </c>
      <c r="F1017" s="198" t="s">
        <v>913</v>
      </c>
      <c r="G1017" s="198" t="s">
        <v>3129</v>
      </c>
      <c r="H1017" s="25" t="s">
        <v>3128</v>
      </c>
      <c r="I1017" s="27" t="s">
        <v>3903</v>
      </c>
      <c r="J1017" s="27" t="s">
        <v>866</v>
      </c>
      <c r="K1017" s="28" t="s">
        <v>853</v>
      </c>
      <c r="R1017" s="29" t="s">
        <v>853</v>
      </c>
      <c r="W1017" s="93">
        <v>147</v>
      </c>
      <c r="X1017" s="84" t="s">
        <v>1700</v>
      </c>
      <c r="Y1017" s="84" t="s">
        <v>2499</v>
      </c>
      <c r="AA1017" s="84" t="s">
        <v>3130</v>
      </c>
      <c r="AB1017" s="84" t="s">
        <v>126</v>
      </c>
      <c r="AC1017" s="26">
        <v>42352</v>
      </c>
      <c r="AD1017" s="26" t="s">
        <v>853</v>
      </c>
      <c r="AE1017" s="8" t="s">
        <v>4421</v>
      </c>
      <c r="AF1017" s="8">
        <v>295</v>
      </c>
      <c r="AG1017" s="8">
        <v>147</v>
      </c>
      <c r="CB1017" s="278">
        <v>41977</v>
      </c>
      <c r="CC1017" s="278" t="s">
        <v>853</v>
      </c>
      <c r="CD1017" s="8" t="s">
        <v>3131</v>
      </c>
      <c r="CE1017" s="8">
        <v>150</v>
      </c>
      <c r="CF1017" s="279">
        <v>75</v>
      </c>
      <c r="CG1017" s="278">
        <v>42032</v>
      </c>
      <c r="CH1017" s="278" t="s">
        <v>853</v>
      </c>
      <c r="CI1017" s="8" t="s">
        <v>3438</v>
      </c>
      <c r="CJ1017" s="8">
        <v>175</v>
      </c>
      <c r="CK1017" s="279">
        <v>85</v>
      </c>
      <c r="CL1017" s="278"/>
      <c r="CM1017" s="278"/>
      <c r="CP1017" s="279"/>
    </row>
    <row r="1018" spans="1:125" x14ac:dyDescent="0.25">
      <c r="A1018" s="8" t="s">
        <v>3468</v>
      </c>
      <c r="B1018" s="24" t="s">
        <v>3469</v>
      </c>
      <c r="C1018" s="25" t="s">
        <v>3467</v>
      </c>
      <c r="E1018" s="26" t="s">
        <v>1762</v>
      </c>
      <c r="F1018" s="198" t="s">
        <v>943</v>
      </c>
      <c r="G1018" s="198" t="s">
        <v>1700</v>
      </c>
      <c r="H1018" s="25" t="s">
        <v>3470</v>
      </c>
      <c r="I1018" s="27" t="s">
        <v>3893</v>
      </c>
      <c r="J1018" s="27" t="s">
        <v>866</v>
      </c>
      <c r="K1018" s="28" t="s">
        <v>853</v>
      </c>
      <c r="R1018" s="29" t="s">
        <v>853</v>
      </c>
      <c r="W1018" s="93">
        <v>160</v>
      </c>
      <c r="X1018" s="84" t="s">
        <v>1700</v>
      </c>
      <c r="Y1018" s="84" t="s">
        <v>1530</v>
      </c>
      <c r="AA1018" s="84" t="s">
        <v>3471</v>
      </c>
      <c r="AB1018" s="84" t="s">
        <v>3472</v>
      </c>
      <c r="AC1018" s="26">
        <v>42416</v>
      </c>
      <c r="AD1018" s="26" t="s">
        <v>853</v>
      </c>
      <c r="AE1018" s="8" t="s">
        <v>4674</v>
      </c>
      <c r="AF1018" s="8">
        <v>880</v>
      </c>
      <c r="AG1018" s="8">
        <v>160</v>
      </c>
      <c r="CB1018" s="278">
        <v>42032</v>
      </c>
      <c r="CC1018" s="278" t="s">
        <v>853</v>
      </c>
      <c r="CD1018" s="8" t="s">
        <v>3473</v>
      </c>
      <c r="CE1018" s="8">
        <v>648</v>
      </c>
      <c r="CF1018" s="279">
        <v>160</v>
      </c>
      <c r="CG1018" s="278"/>
    </row>
    <row r="1019" spans="1:125" x14ac:dyDescent="0.25">
      <c r="A1019" s="8" t="s">
        <v>2229</v>
      </c>
      <c r="B1019" s="24" t="s">
        <v>292</v>
      </c>
      <c r="C1019" s="25" t="s">
        <v>291</v>
      </c>
      <c r="E1019" s="26" t="s">
        <v>1762</v>
      </c>
      <c r="F1019" s="198" t="s">
        <v>637</v>
      </c>
      <c r="G1019" s="198" t="s">
        <v>1700</v>
      </c>
      <c r="H1019" s="25" t="s">
        <v>1700</v>
      </c>
      <c r="I1019" s="27" t="s">
        <v>3903</v>
      </c>
      <c r="J1019" s="27" t="s">
        <v>866</v>
      </c>
      <c r="K1019" s="28" t="s">
        <v>853</v>
      </c>
      <c r="Q1019" s="93"/>
      <c r="R1019" s="28" t="s">
        <v>853</v>
      </c>
      <c r="S1019" s="29"/>
      <c r="T1019" s="29"/>
      <c r="U1019" s="29"/>
      <c r="V1019" s="29"/>
      <c r="W1019" s="93">
        <v>160</v>
      </c>
      <c r="X1019" s="84" t="s">
        <v>1700</v>
      </c>
      <c r="Y1019" s="84" t="s">
        <v>2499</v>
      </c>
      <c r="AA1019" s="84" t="s">
        <v>112</v>
      </c>
      <c r="AB1019" s="84" t="s">
        <v>126</v>
      </c>
      <c r="AC1019" s="26">
        <v>42360</v>
      </c>
      <c r="AD1019" s="26" t="s">
        <v>853</v>
      </c>
      <c r="AE1019" s="8" t="s">
        <v>4436</v>
      </c>
      <c r="AF1019" s="8">
        <v>320</v>
      </c>
      <c r="AG1019" s="8">
        <v>160</v>
      </c>
      <c r="BV1019" s="8"/>
      <c r="CB1019" s="26">
        <v>41943</v>
      </c>
      <c r="CC1019" s="26" t="s">
        <v>853</v>
      </c>
      <c r="CD1019" s="8" t="s">
        <v>3073</v>
      </c>
      <c r="CE1019" s="8">
        <v>310</v>
      </c>
      <c r="CF1019" s="8">
        <v>155</v>
      </c>
      <c r="CG1019" s="26"/>
      <c r="CH1019" s="8"/>
      <c r="CM1019" s="8"/>
      <c r="CR1019" s="8"/>
      <c r="DU1019" s="8"/>
    </row>
    <row r="1020" spans="1:125" x14ac:dyDescent="0.25">
      <c r="A1020" s="8" t="s">
        <v>1222</v>
      </c>
      <c r="B1020" s="24" t="s">
        <v>1438</v>
      </c>
      <c r="E1020" s="26" t="s">
        <v>1762</v>
      </c>
      <c r="F1020" s="198" t="s">
        <v>852</v>
      </c>
      <c r="G1020" s="198" t="s">
        <v>1700</v>
      </c>
      <c r="H1020" s="25" t="s">
        <v>1700</v>
      </c>
      <c r="J1020" s="27" t="s">
        <v>866</v>
      </c>
      <c r="CB1020" s="278"/>
      <c r="CG1020" s="278"/>
      <c r="CH1020" s="278"/>
      <c r="CK1020" s="279"/>
      <c r="CL1020" s="278"/>
      <c r="CM1020" s="278"/>
      <c r="CP1020" s="279"/>
    </row>
    <row r="1021" spans="1:125" x14ac:dyDescent="0.25">
      <c r="A1021" s="8" t="s">
        <v>4632</v>
      </c>
      <c r="B1021" s="24" t="s">
        <v>1427</v>
      </c>
      <c r="E1021" s="26" t="s">
        <v>877</v>
      </c>
      <c r="F1021" s="198" t="s">
        <v>876</v>
      </c>
      <c r="G1021" s="198" t="s">
        <v>4633</v>
      </c>
      <c r="H1021" s="25" t="s">
        <v>1700</v>
      </c>
      <c r="I1021" s="27" t="s">
        <v>3893</v>
      </c>
      <c r="J1021" s="27" t="s">
        <v>866</v>
      </c>
      <c r="K1021" s="28" t="s">
        <v>816</v>
      </c>
      <c r="CB1021" s="278"/>
      <c r="CG1021" s="278"/>
    </row>
    <row r="1022" spans="1:125" x14ac:dyDescent="0.25">
      <c r="A1022" s="8" t="s">
        <v>2286</v>
      </c>
      <c r="B1022" s="24" t="s">
        <v>2287</v>
      </c>
      <c r="C1022" s="25" t="s">
        <v>2288</v>
      </c>
      <c r="F1022" s="198" t="s">
        <v>1700</v>
      </c>
      <c r="G1022" s="198" t="s">
        <v>1700</v>
      </c>
      <c r="H1022" s="25" t="s">
        <v>1700</v>
      </c>
      <c r="J1022" s="27" t="s">
        <v>866</v>
      </c>
      <c r="CB1022" s="26"/>
      <c r="CC1022" s="26"/>
      <c r="CF1022" s="8"/>
      <c r="CG1022" s="26"/>
      <c r="CH1022" s="8"/>
      <c r="CM1022" s="8"/>
      <c r="CR1022" s="8"/>
    </row>
    <row r="1023" spans="1:125" x14ac:dyDescent="0.25">
      <c r="A1023" s="8" t="s">
        <v>541</v>
      </c>
      <c r="B1023" s="24" t="s">
        <v>1882</v>
      </c>
      <c r="C1023" s="25" t="s">
        <v>542</v>
      </c>
      <c r="E1023" s="26" t="s">
        <v>1762</v>
      </c>
      <c r="F1023" s="198" t="s">
        <v>744</v>
      </c>
      <c r="G1023" s="198" t="s">
        <v>1700</v>
      </c>
      <c r="H1023" s="25" t="s">
        <v>3711</v>
      </c>
      <c r="J1023" s="27" t="s">
        <v>866</v>
      </c>
      <c r="R1023" s="29" t="s">
        <v>853</v>
      </c>
      <c r="X1023" s="84" t="s">
        <v>1700</v>
      </c>
      <c r="Y1023" s="84" t="s">
        <v>791</v>
      </c>
      <c r="AA1023" s="84" t="s">
        <v>543</v>
      </c>
      <c r="AB1023" s="84" t="s">
        <v>126</v>
      </c>
      <c r="CB1023" s="26">
        <v>42135</v>
      </c>
      <c r="CC1023" s="26" t="s">
        <v>853</v>
      </c>
      <c r="CD1023" s="8" t="s">
        <v>3712</v>
      </c>
      <c r="CE1023" s="8">
        <v>211.1</v>
      </c>
      <c r="CF1023" s="8">
        <v>106</v>
      </c>
      <c r="CG1023" s="26"/>
      <c r="CH1023" s="8"/>
      <c r="CM1023" s="8"/>
      <c r="CR1023" s="8"/>
    </row>
    <row r="1024" spans="1:125" x14ac:dyDescent="0.25">
      <c r="A1024" s="8" t="s">
        <v>3599</v>
      </c>
      <c r="B1024" s="24" t="s">
        <v>895</v>
      </c>
      <c r="C1024" s="25" t="s">
        <v>3598</v>
      </c>
      <c r="E1024" s="26" t="s">
        <v>1762</v>
      </c>
      <c r="F1024" s="198" t="s">
        <v>946</v>
      </c>
      <c r="G1024" s="198" t="s">
        <v>2679</v>
      </c>
      <c r="H1024" s="25" t="s">
        <v>3600</v>
      </c>
      <c r="I1024" s="27" t="s">
        <v>3901</v>
      </c>
      <c r="J1024" s="27" t="s">
        <v>866</v>
      </c>
      <c r="K1024" s="28" t="s">
        <v>853</v>
      </c>
      <c r="R1024" s="29" t="s">
        <v>853</v>
      </c>
      <c r="W1024" s="93">
        <v>71</v>
      </c>
      <c r="X1024" s="84" t="s">
        <v>1700</v>
      </c>
      <c r="Y1024" s="84" t="s">
        <v>2367</v>
      </c>
      <c r="AA1024" s="84" t="s">
        <v>3601</v>
      </c>
      <c r="AB1024" s="84" t="s">
        <v>221</v>
      </c>
      <c r="AC1024" s="26">
        <v>42311</v>
      </c>
      <c r="AD1024" s="26" t="s">
        <v>853</v>
      </c>
      <c r="AE1024" s="8" t="s">
        <v>4145</v>
      </c>
      <c r="AF1024" s="8">
        <v>142</v>
      </c>
      <c r="AG1024" s="8">
        <v>71</v>
      </c>
      <c r="CB1024" s="278">
        <v>42074</v>
      </c>
      <c r="CC1024" s="278" t="s">
        <v>853</v>
      </c>
      <c r="CD1024" s="8" t="s">
        <v>3602</v>
      </c>
      <c r="CE1024" s="8">
        <v>81.2</v>
      </c>
      <c r="CF1024" s="279">
        <v>42</v>
      </c>
      <c r="CG1024" s="278"/>
    </row>
    <row r="1025" spans="1:125" x14ac:dyDescent="0.25">
      <c r="A1025" s="8" t="s">
        <v>4723</v>
      </c>
      <c r="B1025" s="24" t="s">
        <v>735</v>
      </c>
      <c r="C1025" s="25" t="s">
        <v>4722</v>
      </c>
      <c r="E1025" s="26" t="s">
        <v>1762</v>
      </c>
      <c r="F1025" s="198" t="s">
        <v>948</v>
      </c>
      <c r="G1025" s="198" t="s">
        <v>1700</v>
      </c>
      <c r="H1025" s="25" t="s">
        <v>4724</v>
      </c>
      <c r="I1025" s="27" t="s">
        <v>3894</v>
      </c>
      <c r="J1025" s="27" t="s">
        <v>866</v>
      </c>
      <c r="K1025" s="28" t="s">
        <v>853</v>
      </c>
      <c r="W1025" s="93">
        <v>160</v>
      </c>
      <c r="X1025" s="84" t="s">
        <v>1700</v>
      </c>
      <c r="Y1025" s="84" t="s">
        <v>2932</v>
      </c>
      <c r="AA1025" s="84" t="s">
        <v>4725</v>
      </c>
      <c r="AB1025" s="84" t="s">
        <v>4726</v>
      </c>
      <c r="AC1025" s="26">
        <v>42453</v>
      </c>
      <c r="AD1025" s="26" t="s">
        <v>853</v>
      </c>
      <c r="AE1025" s="8" t="s">
        <v>4727</v>
      </c>
      <c r="AF1025" s="8">
        <v>374</v>
      </c>
      <c r="AG1025" s="8">
        <v>160</v>
      </c>
      <c r="CB1025" s="278"/>
      <c r="CG1025" s="278"/>
    </row>
    <row r="1026" spans="1:125" x14ac:dyDescent="0.25">
      <c r="A1026" s="8" t="s">
        <v>4262</v>
      </c>
      <c r="B1026" s="24" t="s">
        <v>4263</v>
      </c>
      <c r="C1026" s="25" t="s">
        <v>4261</v>
      </c>
      <c r="E1026" s="26" t="s">
        <v>1762</v>
      </c>
      <c r="F1026" s="198" t="s">
        <v>1848</v>
      </c>
      <c r="G1026" s="198" t="s">
        <v>1700</v>
      </c>
      <c r="H1026" s="25" t="s">
        <v>4264</v>
      </c>
      <c r="I1026" s="27" t="s">
        <v>3902</v>
      </c>
      <c r="J1026" s="27" t="s">
        <v>866</v>
      </c>
      <c r="K1026" s="28" t="s">
        <v>853</v>
      </c>
      <c r="W1026" s="93">
        <v>160</v>
      </c>
      <c r="X1026" s="84" t="s">
        <v>1700</v>
      </c>
      <c r="Y1026" s="84" t="s">
        <v>4265</v>
      </c>
      <c r="AA1026" s="84" t="s">
        <v>4266</v>
      </c>
      <c r="AB1026" s="84" t="s">
        <v>1458</v>
      </c>
      <c r="AC1026" s="26">
        <v>42334</v>
      </c>
      <c r="AD1026" s="26" t="s">
        <v>853</v>
      </c>
      <c r="AE1026" s="8" t="s">
        <v>4267</v>
      </c>
      <c r="AF1026" s="8">
        <v>470</v>
      </c>
      <c r="AG1026" s="8">
        <v>160</v>
      </c>
      <c r="CB1026" s="278"/>
      <c r="CG1026" s="278"/>
    </row>
    <row r="1027" spans="1:125" x14ac:dyDescent="0.25">
      <c r="A1027" s="8" t="s">
        <v>4433</v>
      </c>
      <c r="B1027" s="24" t="s">
        <v>1417</v>
      </c>
      <c r="F1027" s="198" t="s">
        <v>1700</v>
      </c>
      <c r="G1027" s="198" t="s">
        <v>1700</v>
      </c>
      <c r="H1027" s="25" t="s">
        <v>1700</v>
      </c>
      <c r="I1027" s="27" t="s">
        <v>3904</v>
      </c>
      <c r="J1027" s="27" t="s">
        <v>866</v>
      </c>
      <c r="K1027" s="28" t="s">
        <v>3907</v>
      </c>
      <c r="P1027" s="17">
        <v>1</v>
      </c>
      <c r="CB1027" s="278"/>
      <c r="CG1027" s="278"/>
    </row>
    <row r="1028" spans="1:125" x14ac:dyDescent="0.25">
      <c r="A1028" s="8" t="s">
        <v>4030</v>
      </c>
      <c r="B1028" s="24" t="s">
        <v>1186</v>
      </c>
      <c r="F1028" s="198" t="s">
        <v>1700</v>
      </c>
      <c r="G1028" s="198" t="s">
        <v>1700</v>
      </c>
      <c r="H1028" s="25" t="s">
        <v>1700</v>
      </c>
      <c r="I1028" s="27" t="s">
        <v>3902</v>
      </c>
      <c r="J1028" s="27" t="s">
        <v>866</v>
      </c>
      <c r="K1028" s="28" t="s">
        <v>3907</v>
      </c>
      <c r="P1028" s="17">
        <v>1</v>
      </c>
      <c r="CB1028" s="278"/>
      <c r="CG1028" s="278"/>
    </row>
    <row r="1029" spans="1:125" x14ac:dyDescent="0.25">
      <c r="A1029" s="8" t="s">
        <v>1840</v>
      </c>
      <c r="B1029" s="24" t="s">
        <v>1186</v>
      </c>
      <c r="E1029" s="26" t="s">
        <v>1762</v>
      </c>
      <c r="F1029" s="198" t="s">
        <v>1700</v>
      </c>
      <c r="G1029" s="198" t="s">
        <v>1700</v>
      </c>
      <c r="H1029" s="25" t="s">
        <v>1700</v>
      </c>
      <c r="J1029" s="27" t="s">
        <v>866</v>
      </c>
      <c r="R1029" s="29" t="s">
        <v>1763</v>
      </c>
      <c r="CB1029" s="278"/>
      <c r="CG1029" s="278"/>
      <c r="CH1029" s="278"/>
      <c r="CK1029" s="279"/>
      <c r="CL1029" s="278"/>
      <c r="CM1029" s="278"/>
      <c r="CP1029" s="279"/>
    </row>
    <row r="1030" spans="1:125" x14ac:dyDescent="0.25">
      <c r="A1030" s="8" t="s">
        <v>753</v>
      </c>
      <c r="B1030" s="24" t="s">
        <v>1391</v>
      </c>
      <c r="C1030" s="25" t="s">
        <v>2186</v>
      </c>
      <c r="E1030" s="26" t="s">
        <v>1762</v>
      </c>
      <c r="F1030" s="198" t="s">
        <v>405</v>
      </c>
      <c r="G1030" s="198" t="s">
        <v>1700</v>
      </c>
      <c r="H1030" s="25" t="s">
        <v>3606</v>
      </c>
      <c r="I1030" s="27" t="s">
        <v>3893</v>
      </c>
      <c r="J1030" s="27" t="s">
        <v>866</v>
      </c>
      <c r="K1030" s="28" t="s">
        <v>853</v>
      </c>
      <c r="Q1030" s="95"/>
      <c r="R1030" s="17" t="s">
        <v>853</v>
      </c>
      <c r="S1030" s="29"/>
      <c r="T1030" s="29"/>
      <c r="U1030" s="29"/>
      <c r="V1030" s="29"/>
      <c r="W1030" s="93">
        <v>160</v>
      </c>
      <c r="X1030" s="84" t="s">
        <v>1700</v>
      </c>
      <c r="Y1030" s="84" t="s">
        <v>2499</v>
      </c>
      <c r="AA1030" s="84" t="s">
        <v>115</v>
      </c>
      <c r="AB1030" s="84" t="s">
        <v>126</v>
      </c>
      <c r="AC1030" s="26">
        <v>42416</v>
      </c>
      <c r="AD1030" s="26" t="s">
        <v>853</v>
      </c>
      <c r="AE1030" s="8" t="s">
        <v>4678</v>
      </c>
      <c r="AF1030" s="8">
        <v>183</v>
      </c>
      <c r="AG1030" s="8">
        <v>91</v>
      </c>
      <c r="AH1030" s="26">
        <v>42416</v>
      </c>
      <c r="AI1030" s="8" t="s">
        <v>853</v>
      </c>
      <c r="AJ1030" s="8" t="s">
        <v>4679</v>
      </c>
      <c r="AK1030" s="8">
        <v>180</v>
      </c>
      <c r="AL1030" s="8">
        <v>69</v>
      </c>
      <c r="CB1030" s="26">
        <v>42074</v>
      </c>
      <c r="CC1030" s="26" t="s">
        <v>853</v>
      </c>
      <c r="CD1030" s="8" t="s">
        <v>3607</v>
      </c>
      <c r="CE1030" s="8">
        <v>160</v>
      </c>
      <c r="CF1030" s="8">
        <v>80</v>
      </c>
      <c r="CG1030" s="26"/>
      <c r="CH1030" s="8"/>
      <c r="CM1030" s="8"/>
      <c r="CR1030" s="8"/>
    </row>
    <row r="1031" spans="1:125" x14ac:dyDescent="0.25">
      <c r="A1031" s="8" t="s">
        <v>2552</v>
      </c>
      <c r="B1031" s="24" t="s">
        <v>324</v>
      </c>
      <c r="C1031" s="25" t="s">
        <v>2553</v>
      </c>
      <c r="E1031" s="26" t="s">
        <v>1762</v>
      </c>
      <c r="F1031" s="198" t="s">
        <v>1907</v>
      </c>
      <c r="G1031" s="198" t="s">
        <v>1700</v>
      </c>
      <c r="H1031" s="25" t="s">
        <v>3603</v>
      </c>
      <c r="I1031" s="27" t="s">
        <v>3894</v>
      </c>
      <c r="J1031" s="27" t="s">
        <v>866</v>
      </c>
      <c r="K1031" s="28" t="s">
        <v>853</v>
      </c>
      <c r="R1031" s="29" t="s">
        <v>853</v>
      </c>
      <c r="W1031" s="93">
        <v>52</v>
      </c>
      <c r="X1031" s="84" t="s">
        <v>1700</v>
      </c>
      <c r="Y1031" s="84" t="s">
        <v>2261</v>
      </c>
      <c r="AA1031" s="84" t="s">
        <v>2554</v>
      </c>
      <c r="AB1031" s="84" t="s">
        <v>1269</v>
      </c>
      <c r="AC1031" s="26">
        <v>42453</v>
      </c>
      <c r="AD1031" s="8" t="s">
        <v>853</v>
      </c>
      <c r="AE1031" s="8" t="s">
        <v>4737</v>
      </c>
      <c r="AF1031" s="8">
        <v>105</v>
      </c>
      <c r="AG1031" s="8">
        <v>52</v>
      </c>
      <c r="BV1031" s="8"/>
      <c r="CB1031" s="26">
        <v>42074</v>
      </c>
      <c r="CC1031" s="8" t="s">
        <v>853</v>
      </c>
      <c r="CD1031" s="8" t="s">
        <v>3604</v>
      </c>
      <c r="CE1031" s="8">
        <v>240</v>
      </c>
      <c r="CF1031" s="8">
        <v>120</v>
      </c>
      <c r="CG1031" s="26"/>
      <c r="CH1031" s="8"/>
      <c r="CM1031" s="8"/>
      <c r="CR1031" s="8"/>
      <c r="DU1031" s="8"/>
    </row>
    <row r="1032" spans="1:125" x14ac:dyDescent="0.25">
      <c r="A1032" s="8" t="s">
        <v>3259</v>
      </c>
      <c r="B1032" s="24" t="s">
        <v>3260</v>
      </c>
      <c r="C1032" s="25" t="s">
        <v>3258</v>
      </c>
      <c r="E1032" s="26" t="s">
        <v>1762</v>
      </c>
      <c r="F1032" s="198" t="s">
        <v>733</v>
      </c>
      <c r="G1032" s="198" t="s">
        <v>1700</v>
      </c>
      <c r="H1032" s="25" t="s">
        <v>3261</v>
      </c>
      <c r="I1032" s="27" t="s">
        <v>3903</v>
      </c>
      <c r="J1032" s="27" t="s">
        <v>866</v>
      </c>
      <c r="K1032" s="28" t="s">
        <v>853</v>
      </c>
      <c r="R1032" s="29" t="s">
        <v>853</v>
      </c>
      <c r="W1032" s="93">
        <v>150</v>
      </c>
      <c r="X1032" s="84" t="s">
        <v>1700</v>
      </c>
      <c r="Y1032" s="84" t="s">
        <v>2499</v>
      </c>
      <c r="AA1032" s="84" t="s">
        <v>3262</v>
      </c>
      <c r="AB1032" s="84" t="s">
        <v>126</v>
      </c>
      <c r="AC1032" s="26">
        <v>42360</v>
      </c>
      <c r="AD1032" s="26" t="s">
        <v>853</v>
      </c>
      <c r="AE1032" s="8" t="s">
        <v>4515</v>
      </c>
      <c r="AF1032" s="8">
        <v>300</v>
      </c>
      <c r="AG1032" s="8">
        <v>150</v>
      </c>
      <c r="CB1032" s="278">
        <v>41977</v>
      </c>
      <c r="CC1032" s="278" t="s">
        <v>853</v>
      </c>
      <c r="CD1032" s="8" t="s">
        <v>3263</v>
      </c>
      <c r="CE1032" s="8">
        <v>300</v>
      </c>
      <c r="CF1032" s="279">
        <v>150</v>
      </c>
      <c r="CG1032" s="278"/>
      <c r="CH1032" s="278"/>
      <c r="CK1032" s="279"/>
      <c r="CL1032" s="278"/>
      <c r="CM1032" s="278"/>
      <c r="CP1032" s="279"/>
    </row>
    <row r="1033" spans="1:125" x14ac:dyDescent="0.25">
      <c r="A1033" s="8" t="s">
        <v>839</v>
      </c>
      <c r="B1033" s="24" t="s">
        <v>861</v>
      </c>
      <c r="C1033" s="25" t="s">
        <v>840</v>
      </c>
      <c r="E1033" s="26" t="s">
        <v>1764</v>
      </c>
      <c r="F1033" s="198" t="s">
        <v>841</v>
      </c>
      <c r="G1033" s="198" t="s">
        <v>1700</v>
      </c>
      <c r="H1033" s="25" t="s">
        <v>1700</v>
      </c>
      <c r="J1033" s="27" t="s">
        <v>866</v>
      </c>
      <c r="R1033" s="29" t="s">
        <v>853</v>
      </c>
      <c r="X1033" s="84" t="s">
        <v>1700</v>
      </c>
      <c r="Y1033" s="84" t="s">
        <v>403</v>
      </c>
      <c r="AA1033" s="84" t="s">
        <v>842</v>
      </c>
      <c r="AB1033" s="84" t="s">
        <v>1650</v>
      </c>
      <c r="CB1033" s="26">
        <v>42178</v>
      </c>
      <c r="CC1033" s="26" t="s">
        <v>853</v>
      </c>
      <c r="CD1033" s="8" t="s">
        <v>3749</v>
      </c>
      <c r="CE1033" s="8">
        <v>528.79999999999995</v>
      </c>
      <c r="CF1033" s="8">
        <v>160</v>
      </c>
      <c r="CG1033" s="26"/>
      <c r="CH1033" s="8"/>
      <c r="CM1033" s="8"/>
      <c r="CR1033" s="8"/>
    </row>
    <row r="1034" spans="1:125" x14ac:dyDescent="0.25">
      <c r="A1034" s="8" t="s">
        <v>2144</v>
      </c>
      <c r="B1034" s="24" t="s">
        <v>1660</v>
      </c>
      <c r="C1034" s="25" t="s">
        <v>1028</v>
      </c>
      <c r="E1034" s="26" t="s">
        <v>1762</v>
      </c>
      <c r="F1034" s="198" t="s">
        <v>1700</v>
      </c>
      <c r="G1034" s="198" t="s">
        <v>1700</v>
      </c>
      <c r="H1034" s="25" t="s">
        <v>1700</v>
      </c>
      <c r="J1034" s="27" t="s">
        <v>866</v>
      </c>
      <c r="X1034" s="84" t="s">
        <v>1700</v>
      </c>
      <c r="Y1034" s="84" t="s">
        <v>1700</v>
      </c>
      <c r="AA1034" s="84" t="s">
        <v>1029</v>
      </c>
      <c r="AB1034" s="84" t="s">
        <v>348</v>
      </c>
      <c r="CB1034" s="26"/>
      <c r="CC1034" s="26"/>
      <c r="CF1034" s="8"/>
      <c r="CG1034" s="26"/>
      <c r="CH1034" s="8"/>
      <c r="CM1034" s="8"/>
      <c r="CR1034" s="8"/>
    </row>
    <row r="1035" spans="1:125" x14ac:dyDescent="0.25">
      <c r="A1035" s="8" t="s">
        <v>4702</v>
      </c>
      <c r="B1035" s="24" t="s">
        <v>956</v>
      </c>
      <c r="F1035" s="198" t="s">
        <v>1700</v>
      </c>
      <c r="G1035" s="198" t="s">
        <v>1700</v>
      </c>
      <c r="H1035" s="25" t="s">
        <v>1700</v>
      </c>
      <c r="I1035" s="27" t="s">
        <v>3895</v>
      </c>
      <c r="J1035" s="27" t="s">
        <v>866</v>
      </c>
      <c r="K1035" s="28" t="s">
        <v>3907</v>
      </c>
      <c r="P1035" s="17">
        <v>1</v>
      </c>
      <c r="CB1035" s="278"/>
      <c r="CG1035" s="278"/>
    </row>
    <row r="1036" spans="1:125" x14ac:dyDescent="0.25">
      <c r="A1036" s="19" t="s">
        <v>1656</v>
      </c>
      <c r="B1036" s="12" t="s">
        <v>973</v>
      </c>
      <c r="C1036" s="13" t="s">
        <v>2289</v>
      </c>
      <c r="D1036" s="14">
        <v>21053</v>
      </c>
      <c r="E1036" s="14" t="s">
        <v>1762</v>
      </c>
      <c r="F1036" s="199" t="s">
        <v>1506</v>
      </c>
      <c r="G1036" s="199" t="s">
        <v>1657</v>
      </c>
      <c r="H1036" s="13" t="s">
        <v>1658</v>
      </c>
      <c r="I1036" s="23" t="s">
        <v>3902</v>
      </c>
      <c r="J1036" s="23" t="s">
        <v>866</v>
      </c>
      <c r="K1036" s="16" t="s">
        <v>3907</v>
      </c>
      <c r="L1036" s="13"/>
      <c r="M1036" s="13"/>
      <c r="N1036" s="21"/>
      <c r="O1036" s="21"/>
      <c r="P1036" s="17">
        <v>1</v>
      </c>
      <c r="Q1036" s="95"/>
      <c r="R1036" s="16" t="s">
        <v>1763</v>
      </c>
      <c r="S1036" s="29" t="s">
        <v>1416</v>
      </c>
      <c r="T1036" s="29" t="s">
        <v>855</v>
      </c>
      <c r="U1036" s="29"/>
      <c r="V1036" s="29"/>
      <c r="CB1036" s="26"/>
      <c r="CC1036" s="26"/>
      <c r="CF1036" s="8"/>
      <c r="CG1036" s="26"/>
      <c r="CH1036" s="8"/>
      <c r="CM1036" s="8"/>
      <c r="CR1036" s="8"/>
    </row>
    <row r="1037" spans="1:125" x14ac:dyDescent="0.25">
      <c r="A1037" s="8" t="s">
        <v>1750</v>
      </c>
      <c r="B1037" s="24" t="s">
        <v>1505</v>
      </c>
      <c r="F1037" s="198" t="s">
        <v>1700</v>
      </c>
      <c r="G1037" s="198" t="s">
        <v>1700</v>
      </c>
      <c r="H1037" s="25" t="s">
        <v>1700</v>
      </c>
      <c r="J1037" s="27" t="s">
        <v>866</v>
      </c>
      <c r="R1037" s="29" t="s">
        <v>889</v>
      </c>
      <c r="CB1037" s="278"/>
      <c r="CG1037" s="278"/>
      <c r="CH1037" s="278"/>
      <c r="CK1037" s="279"/>
      <c r="CL1037" s="278"/>
      <c r="CM1037" s="278"/>
      <c r="CP1037" s="279"/>
    </row>
    <row r="1038" spans="1:125" x14ac:dyDescent="0.25">
      <c r="A1038" s="8" t="s">
        <v>4610</v>
      </c>
      <c r="B1038" s="24" t="s">
        <v>2053</v>
      </c>
      <c r="F1038" s="198" t="s">
        <v>1700</v>
      </c>
      <c r="G1038" s="198" t="s">
        <v>1700</v>
      </c>
      <c r="H1038" s="25" t="s">
        <v>1700</v>
      </c>
      <c r="I1038" s="27" t="s">
        <v>3893</v>
      </c>
      <c r="J1038" s="27" t="s">
        <v>866</v>
      </c>
      <c r="K1038" s="28" t="s">
        <v>3907</v>
      </c>
      <c r="P1038" s="17">
        <v>1</v>
      </c>
      <c r="CB1038" s="278"/>
      <c r="CG1038" s="278"/>
    </row>
    <row r="1039" spans="1:125" x14ac:dyDescent="0.25">
      <c r="A1039" s="8" t="s">
        <v>1719</v>
      </c>
      <c r="B1039" s="24" t="s">
        <v>1720</v>
      </c>
      <c r="F1039" s="198" t="s">
        <v>1700</v>
      </c>
      <c r="G1039" s="198" t="s">
        <v>1700</v>
      </c>
      <c r="H1039" s="25" t="s">
        <v>1700</v>
      </c>
      <c r="J1039" s="27" t="s">
        <v>866</v>
      </c>
      <c r="R1039" s="29" t="s">
        <v>889</v>
      </c>
      <c r="CB1039" s="278"/>
      <c r="CG1039" s="278"/>
    </row>
    <row r="1040" spans="1:125" x14ac:dyDescent="0.25">
      <c r="A1040" s="8" t="s">
        <v>2273</v>
      </c>
      <c r="B1040" s="24" t="s">
        <v>878</v>
      </c>
      <c r="E1040" s="26" t="s">
        <v>1762</v>
      </c>
      <c r="F1040" s="198" t="s">
        <v>1700</v>
      </c>
      <c r="G1040" s="198" t="s">
        <v>1700</v>
      </c>
      <c r="H1040" s="25" t="s">
        <v>1700</v>
      </c>
      <c r="I1040" s="27" t="s">
        <v>3902</v>
      </c>
      <c r="J1040" s="27" t="s">
        <v>866</v>
      </c>
      <c r="K1040" s="28" t="s">
        <v>3907</v>
      </c>
      <c r="P1040" s="17">
        <v>1</v>
      </c>
      <c r="R1040" s="29" t="s">
        <v>1763</v>
      </c>
      <c r="CB1040" s="278"/>
      <c r="CG1040" s="278"/>
      <c r="CH1040" s="278"/>
      <c r="CK1040" s="279"/>
      <c r="CL1040" s="278"/>
      <c r="CM1040" s="278"/>
      <c r="CP1040" s="279"/>
    </row>
    <row r="1041" spans="1:96" x14ac:dyDescent="0.25">
      <c r="A1041" s="8" t="s">
        <v>4778</v>
      </c>
      <c r="B1041" s="24" t="s">
        <v>216</v>
      </c>
      <c r="F1041" s="198" t="s">
        <v>1700</v>
      </c>
      <c r="G1041" s="198" t="s">
        <v>1700</v>
      </c>
      <c r="H1041" s="25" t="s">
        <v>1700</v>
      </c>
      <c r="I1041" s="27" t="s">
        <v>3895</v>
      </c>
      <c r="J1041" s="27" t="s">
        <v>866</v>
      </c>
      <c r="K1041" s="28" t="s">
        <v>3907</v>
      </c>
      <c r="P1041" s="17">
        <v>1</v>
      </c>
      <c r="CB1041" s="278"/>
      <c r="CG1041" s="278"/>
    </row>
    <row r="1042" spans="1:96" x14ac:dyDescent="0.25">
      <c r="A1042" s="8" t="s">
        <v>1659</v>
      </c>
      <c r="B1042" s="24" t="s">
        <v>915</v>
      </c>
      <c r="C1042" s="25" t="s">
        <v>736</v>
      </c>
      <c r="E1042" s="26" t="s">
        <v>1762</v>
      </c>
      <c r="F1042" s="198" t="s">
        <v>1609</v>
      </c>
      <c r="G1042" s="198" t="s">
        <v>710</v>
      </c>
      <c r="H1042" s="25" t="s">
        <v>3096</v>
      </c>
      <c r="J1042" s="27" t="s">
        <v>866</v>
      </c>
      <c r="Q1042" s="93"/>
      <c r="R1042" s="28" t="s">
        <v>853</v>
      </c>
      <c r="S1042" s="21"/>
      <c r="T1042" s="21"/>
      <c r="U1042" s="21"/>
      <c r="V1042" s="21"/>
      <c r="X1042" s="84" t="s">
        <v>1700</v>
      </c>
      <c r="Y1042" s="84" t="s">
        <v>2499</v>
      </c>
      <c r="AA1042" s="84" t="s">
        <v>218</v>
      </c>
      <c r="AB1042" s="84" t="s">
        <v>126</v>
      </c>
      <c r="CB1042" s="26">
        <v>41943</v>
      </c>
      <c r="CC1042" s="26" t="s">
        <v>853</v>
      </c>
      <c r="CD1042" s="8" t="s">
        <v>3097</v>
      </c>
      <c r="CE1042" s="8">
        <v>348</v>
      </c>
      <c r="CF1042" s="8">
        <v>160</v>
      </c>
      <c r="CG1042" s="26"/>
      <c r="CH1042" s="8"/>
      <c r="CM1042" s="8"/>
      <c r="CR1042" s="8"/>
    </row>
    <row r="1043" spans="1:96" x14ac:dyDescent="0.25">
      <c r="A1043" s="8" t="s">
        <v>628</v>
      </c>
      <c r="B1043" s="24" t="s">
        <v>921</v>
      </c>
      <c r="E1043" s="26" t="s">
        <v>1762</v>
      </c>
      <c r="F1043" s="198" t="s">
        <v>852</v>
      </c>
      <c r="G1043" s="198" t="s">
        <v>1700</v>
      </c>
      <c r="H1043" s="25" t="s">
        <v>797</v>
      </c>
      <c r="J1043" s="27" t="s">
        <v>866</v>
      </c>
      <c r="CB1043" s="278"/>
      <c r="CG1043" s="278"/>
      <c r="CH1043" s="278"/>
      <c r="CK1043" s="279"/>
      <c r="CL1043" s="278"/>
      <c r="CM1043" s="278"/>
      <c r="CP1043" s="279"/>
    </row>
    <row r="1044" spans="1:96" x14ac:dyDescent="0.25">
      <c r="A1044" s="8" t="s">
        <v>4019</v>
      </c>
      <c r="B1044" s="24" t="s">
        <v>776</v>
      </c>
      <c r="C1044" s="25" t="s">
        <v>4018</v>
      </c>
      <c r="E1044" s="26" t="s">
        <v>1762</v>
      </c>
      <c r="F1044" s="198" t="s">
        <v>4021</v>
      </c>
      <c r="G1044" s="198" t="s">
        <v>1700</v>
      </c>
      <c r="H1044" s="25" t="s">
        <v>4020</v>
      </c>
      <c r="I1044" s="27" t="s">
        <v>3901</v>
      </c>
      <c r="J1044" s="27" t="s">
        <v>866</v>
      </c>
      <c r="K1044" s="28" t="s">
        <v>853</v>
      </c>
      <c r="W1044" s="93">
        <v>160</v>
      </c>
      <c r="X1044" s="84" t="s">
        <v>1700</v>
      </c>
      <c r="Y1044" s="84" t="s">
        <v>2921</v>
      </c>
      <c r="AA1044" s="84" t="s">
        <v>4022</v>
      </c>
      <c r="AB1044" s="84" t="s">
        <v>2852</v>
      </c>
      <c r="AC1044" s="26">
        <v>42299</v>
      </c>
      <c r="AD1044" s="26" t="s">
        <v>853</v>
      </c>
      <c r="AE1044" s="8" t="s">
        <v>4023</v>
      </c>
      <c r="AF1044" s="8">
        <v>417.9</v>
      </c>
      <c r="AG1044" s="8">
        <v>160</v>
      </c>
      <c r="CB1044" s="278"/>
      <c r="CG1044" s="278"/>
    </row>
    <row r="1045" spans="1:96" x14ac:dyDescent="0.25">
      <c r="A1045" s="8" t="s">
        <v>1103</v>
      </c>
      <c r="B1045" s="24" t="s">
        <v>139</v>
      </c>
      <c r="C1045" s="25" t="s">
        <v>1104</v>
      </c>
      <c r="E1045" s="26" t="s">
        <v>1762</v>
      </c>
      <c r="F1045" s="198" t="s">
        <v>1105</v>
      </c>
      <c r="G1045" s="198" t="s">
        <v>1700</v>
      </c>
      <c r="H1045" s="25" t="s">
        <v>1700</v>
      </c>
      <c r="I1045" s="27" t="s">
        <v>3894</v>
      </c>
      <c r="J1045" s="27" t="s">
        <v>866</v>
      </c>
      <c r="K1045" s="28" t="s">
        <v>853</v>
      </c>
      <c r="R1045" s="29" t="s">
        <v>853</v>
      </c>
      <c r="W1045" s="93">
        <v>35</v>
      </c>
      <c r="X1045" s="84" t="s">
        <v>1700</v>
      </c>
      <c r="Y1045" s="84" t="s">
        <v>791</v>
      </c>
      <c r="AA1045" s="84" t="s">
        <v>1106</v>
      </c>
      <c r="AB1045" s="84" t="s">
        <v>126</v>
      </c>
      <c r="AC1045" s="26">
        <v>42453</v>
      </c>
      <c r="AD1045" s="26" t="s">
        <v>853</v>
      </c>
      <c r="AE1045" s="8" t="s">
        <v>4707</v>
      </c>
      <c r="AF1045" s="8">
        <v>70</v>
      </c>
      <c r="AG1045" s="8">
        <v>35</v>
      </c>
      <c r="CB1045" s="26">
        <v>42097</v>
      </c>
      <c r="CC1045" s="26" t="s">
        <v>853</v>
      </c>
      <c r="CD1045" s="8" t="s">
        <v>3655</v>
      </c>
      <c r="CE1045" s="8">
        <v>70</v>
      </c>
      <c r="CF1045" s="8">
        <v>35</v>
      </c>
      <c r="CG1045" s="26"/>
      <c r="CH1045" s="8"/>
      <c r="CM1045" s="8"/>
      <c r="CR1045" s="8"/>
    </row>
    <row r="1046" spans="1:96" x14ac:dyDescent="0.25">
      <c r="A1046" s="19" t="s">
        <v>1660</v>
      </c>
      <c r="B1046" s="12" t="s">
        <v>876</v>
      </c>
      <c r="C1046" s="13" t="s">
        <v>3733</v>
      </c>
      <c r="D1046" s="14"/>
      <c r="E1046" s="14" t="s">
        <v>1762</v>
      </c>
      <c r="F1046" s="199" t="s">
        <v>1587</v>
      </c>
      <c r="G1046" s="199" t="s">
        <v>1700</v>
      </c>
      <c r="H1046" s="13" t="s">
        <v>1693</v>
      </c>
      <c r="I1046" s="20" t="s">
        <v>3901</v>
      </c>
      <c r="J1046" s="20" t="s">
        <v>866</v>
      </c>
      <c r="K1046" s="17" t="s">
        <v>3908</v>
      </c>
      <c r="L1046" s="21"/>
      <c r="M1046" s="21"/>
      <c r="N1046" s="21"/>
      <c r="O1046" s="21"/>
      <c r="Q1046" s="95"/>
      <c r="R1046" s="17" t="s">
        <v>857</v>
      </c>
      <c r="S1046" s="21"/>
      <c r="T1046" s="21"/>
      <c r="U1046" s="21"/>
      <c r="V1046" s="21"/>
      <c r="W1046" s="93">
        <v>0</v>
      </c>
      <c r="CB1046" s="278"/>
      <c r="CG1046" s="278"/>
      <c r="CH1046" s="278"/>
      <c r="CK1046" s="279"/>
      <c r="CL1046" s="278"/>
      <c r="CM1046" s="278"/>
      <c r="CP1046" s="279"/>
    </row>
    <row r="1047" spans="1:96" x14ac:dyDescent="0.25">
      <c r="A1047" s="19" t="s">
        <v>2000</v>
      </c>
      <c r="B1047" s="12" t="s">
        <v>2001</v>
      </c>
      <c r="C1047" s="13" t="s">
        <v>651</v>
      </c>
      <c r="D1047" s="14"/>
      <c r="E1047" s="14" t="s">
        <v>1762</v>
      </c>
      <c r="F1047" s="199" t="s">
        <v>2002</v>
      </c>
      <c r="G1047" s="199" t="s">
        <v>1700</v>
      </c>
      <c r="H1047" s="13" t="s">
        <v>3435</v>
      </c>
      <c r="I1047" s="20"/>
      <c r="J1047" s="20" t="s">
        <v>866</v>
      </c>
      <c r="K1047" s="17"/>
      <c r="M1047" s="21"/>
      <c r="N1047" s="21"/>
      <c r="O1047" s="21"/>
      <c r="Q1047" s="95"/>
      <c r="R1047" s="17" t="s">
        <v>853</v>
      </c>
      <c r="S1047" s="29"/>
      <c r="T1047" s="29"/>
      <c r="U1047" s="29"/>
      <c r="V1047" s="29"/>
      <c r="X1047" s="84" t="s">
        <v>1700</v>
      </c>
      <c r="Y1047" s="84" t="s">
        <v>2499</v>
      </c>
      <c r="AA1047" s="84" t="s">
        <v>118</v>
      </c>
      <c r="AB1047" s="84" t="s">
        <v>126</v>
      </c>
      <c r="CB1047" s="26">
        <v>42032</v>
      </c>
      <c r="CC1047" s="26" t="s">
        <v>853</v>
      </c>
      <c r="CD1047" s="8" t="s">
        <v>2509</v>
      </c>
      <c r="CE1047" s="8">
        <v>360</v>
      </c>
      <c r="CF1047" s="8">
        <v>160</v>
      </c>
      <c r="CG1047" s="26"/>
      <c r="CH1047" s="8"/>
      <c r="CM1047" s="8"/>
      <c r="CR1047" s="8"/>
    </row>
    <row r="1048" spans="1:96" x14ac:dyDescent="0.25">
      <c r="A1048" s="8" t="s">
        <v>3349</v>
      </c>
      <c r="B1048" s="24" t="s">
        <v>951</v>
      </c>
      <c r="C1048" s="25" t="s">
        <v>3350</v>
      </c>
      <c r="E1048" s="26" t="s">
        <v>1764</v>
      </c>
      <c r="F1048" s="198" t="s">
        <v>1700</v>
      </c>
      <c r="G1048" s="198" t="s">
        <v>1700</v>
      </c>
      <c r="H1048" s="25" t="s">
        <v>1700</v>
      </c>
      <c r="J1048" s="27" t="s">
        <v>866</v>
      </c>
      <c r="R1048" s="29" t="s">
        <v>859</v>
      </c>
      <c r="X1048" s="84" t="s">
        <v>1700</v>
      </c>
      <c r="Y1048" s="84" t="s">
        <v>3351</v>
      </c>
      <c r="AA1048" s="84" t="s">
        <v>3352</v>
      </c>
      <c r="AB1048" s="84" t="s">
        <v>51</v>
      </c>
      <c r="CB1048" s="278">
        <v>42032</v>
      </c>
      <c r="CC1048" s="278" t="s">
        <v>859</v>
      </c>
      <c r="CD1048" s="8" t="s">
        <v>3353</v>
      </c>
      <c r="CE1048" s="8">
        <v>588</v>
      </c>
      <c r="CF1048" s="279">
        <v>280</v>
      </c>
      <c r="CG1048" s="278"/>
    </row>
    <row r="1049" spans="1:96" x14ac:dyDescent="0.25">
      <c r="A1049" s="8" t="s">
        <v>3439</v>
      </c>
      <c r="B1049" s="24" t="s">
        <v>3440</v>
      </c>
      <c r="C1049" s="25" t="s">
        <v>3441</v>
      </c>
      <c r="E1049" s="26" t="s">
        <v>1764</v>
      </c>
      <c r="F1049" s="198" t="s">
        <v>946</v>
      </c>
      <c r="G1049" s="198" t="s">
        <v>1700</v>
      </c>
      <c r="H1049" s="25" t="s">
        <v>3442</v>
      </c>
      <c r="J1049" s="27" t="s">
        <v>866</v>
      </c>
      <c r="R1049" s="29" t="s">
        <v>853</v>
      </c>
      <c r="X1049" s="84" t="s">
        <v>1700</v>
      </c>
      <c r="Y1049" s="84" t="s">
        <v>3443</v>
      </c>
      <c r="AA1049" s="84" t="s">
        <v>3444</v>
      </c>
      <c r="AB1049" s="84" t="s">
        <v>3445</v>
      </c>
      <c r="CB1049" s="278">
        <v>42032</v>
      </c>
      <c r="CC1049" s="278" t="s">
        <v>853</v>
      </c>
      <c r="CD1049" s="8" t="s">
        <v>3446</v>
      </c>
      <c r="CE1049" s="8">
        <v>270</v>
      </c>
      <c r="CF1049" s="279">
        <v>135</v>
      </c>
      <c r="CG1049" s="278"/>
    </row>
    <row r="1050" spans="1:96" x14ac:dyDescent="0.25">
      <c r="A1050" s="8" t="s">
        <v>2826</v>
      </c>
      <c r="B1050" s="24" t="s">
        <v>1420</v>
      </c>
      <c r="C1050" s="25" t="s">
        <v>2825</v>
      </c>
      <c r="E1050" s="26" t="s">
        <v>1762</v>
      </c>
      <c r="F1050" s="198" t="s">
        <v>947</v>
      </c>
      <c r="G1050" s="198" t="s">
        <v>2350</v>
      </c>
      <c r="H1050" s="25" t="s">
        <v>1700</v>
      </c>
      <c r="J1050" s="27" t="s">
        <v>866</v>
      </c>
      <c r="R1050" s="29" t="s">
        <v>853</v>
      </c>
      <c r="X1050" s="84" t="s">
        <v>1700</v>
      </c>
      <c r="Y1050" s="84" t="s">
        <v>2499</v>
      </c>
      <c r="AA1050" s="84" t="s">
        <v>2827</v>
      </c>
      <c r="AB1050" s="84" t="s">
        <v>126</v>
      </c>
      <c r="CB1050" s="278">
        <v>41921</v>
      </c>
      <c r="CC1050" s="278" t="s">
        <v>853</v>
      </c>
      <c r="CD1050" s="8" t="s">
        <v>2828</v>
      </c>
      <c r="CE1050" s="8">
        <v>319.2</v>
      </c>
      <c r="CF1050" s="279">
        <v>160</v>
      </c>
      <c r="CG1050" s="278"/>
      <c r="CH1050" s="278"/>
      <c r="CK1050" s="279"/>
      <c r="CL1050" s="278"/>
      <c r="CM1050" s="278"/>
      <c r="CP1050" s="279"/>
    </row>
    <row r="1051" spans="1:96" x14ac:dyDescent="0.25">
      <c r="A1051" s="8" t="s">
        <v>705</v>
      </c>
      <c r="B1051" s="24" t="s">
        <v>1660</v>
      </c>
      <c r="F1051" s="198" t="s">
        <v>2142</v>
      </c>
      <c r="G1051" s="198" t="s">
        <v>1700</v>
      </c>
      <c r="H1051" s="25" t="s">
        <v>1700</v>
      </c>
      <c r="J1051" s="27" t="s">
        <v>866</v>
      </c>
      <c r="CB1051" s="278"/>
      <c r="CG1051" s="278"/>
      <c r="CH1051" s="278"/>
      <c r="CK1051" s="279"/>
      <c r="CL1051" s="278"/>
      <c r="CM1051" s="278"/>
      <c r="CP1051" s="279"/>
    </row>
    <row r="1052" spans="1:96" x14ac:dyDescent="0.25">
      <c r="A1052" s="8" t="s">
        <v>4033</v>
      </c>
      <c r="B1052" s="24" t="s">
        <v>4034</v>
      </c>
      <c r="F1052" s="198" t="s">
        <v>1700</v>
      </c>
      <c r="G1052" s="198" t="s">
        <v>1700</v>
      </c>
      <c r="H1052" s="25" t="s">
        <v>1700</v>
      </c>
      <c r="I1052" s="27" t="s">
        <v>3902</v>
      </c>
      <c r="J1052" s="27" t="s">
        <v>866</v>
      </c>
      <c r="K1052" s="28" t="s">
        <v>3907</v>
      </c>
      <c r="P1052" s="17">
        <v>1</v>
      </c>
      <c r="CB1052" s="278"/>
      <c r="CG1052" s="278"/>
    </row>
    <row r="1053" spans="1:96" x14ac:dyDescent="0.25">
      <c r="A1053" s="8" t="s">
        <v>3281</v>
      </c>
      <c r="B1053" s="24" t="s">
        <v>3282</v>
      </c>
      <c r="C1053" s="25" t="s">
        <v>3283</v>
      </c>
      <c r="E1053" s="26" t="s">
        <v>1764</v>
      </c>
      <c r="F1053" s="198" t="s">
        <v>867</v>
      </c>
      <c r="G1053" s="198" t="s">
        <v>1700</v>
      </c>
      <c r="H1053" s="25" t="s">
        <v>3284</v>
      </c>
      <c r="J1053" s="27" t="s">
        <v>866</v>
      </c>
      <c r="R1053" s="29" t="s">
        <v>853</v>
      </c>
      <c r="X1053" s="84" t="s">
        <v>1700</v>
      </c>
      <c r="Y1053" s="84" t="s">
        <v>2367</v>
      </c>
      <c r="AA1053" s="84" t="s">
        <v>3285</v>
      </c>
      <c r="AB1053" s="84" t="s">
        <v>221</v>
      </c>
      <c r="CB1053" s="278">
        <v>41977</v>
      </c>
      <c r="CC1053" s="278" t="s">
        <v>853</v>
      </c>
      <c r="CD1053" s="8" t="s">
        <v>3286</v>
      </c>
      <c r="CE1053" s="8">
        <v>90</v>
      </c>
      <c r="CF1053" s="279">
        <v>45</v>
      </c>
      <c r="CG1053" s="278"/>
      <c r="CH1053" s="278"/>
      <c r="CK1053" s="279"/>
      <c r="CL1053" s="278"/>
      <c r="CM1053" s="278"/>
      <c r="CP1053" s="279"/>
    </row>
    <row r="1054" spans="1:96" x14ac:dyDescent="0.25">
      <c r="A1054" s="8" t="s">
        <v>917</v>
      </c>
      <c r="B1054" s="24" t="s">
        <v>918</v>
      </c>
      <c r="C1054" s="25" t="s">
        <v>919</v>
      </c>
      <c r="D1054" s="26">
        <v>22467</v>
      </c>
      <c r="E1054" s="26" t="s">
        <v>1762</v>
      </c>
      <c r="F1054" s="198" t="s">
        <v>943</v>
      </c>
      <c r="G1054" s="198" t="s">
        <v>1700</v>
      </c>
      <c r="H1054" s="25" t="s">
        <v>1700</v>
      </c>
      <c r="J1054" s="27" t="s">
        <v>866</v>
      </c>
      <c r="R1054" s="29" t="s">
        <v>855</v>
      </c>
      <c r="CB1054" s="26"/>
      <c r="CC1054" s="26"/>
      <c r="CF1054" s="8"/>
      <c r="CG1054" s="26"/>
      <c r="CH1054" s="8"/>
      <c r="CM1054" s="8"/>
      <c r="CR1054" s="8"/>
    </row>
    <row r="1055" spans="1:96" x14ac:dyDescent="0.25">
      <c r="A1055" s="8" t="s">
        <v>3857</v>
      </c>
      <c r="B1055" s="24" t="s">
        <v>3858</v>
      </c>
      <c r="E1055" s="26" t="s">
        <v>1762</v>
      </c>
      <c r="F1055" s="198" t="s">
        <v>1700</v>
      </c>
      <c r="G1055" s="198" t="s">
        <v>1700</v>
      </c>
      <c r="H1055" s="25" t="s">
        <v>1700</v>
      </c>
      <c r="J1055" s="27" t="s">
        <v>866</v>
      </c>
      <c r="L1055" s="29" t="s">
        <v>3906</v>
      </c>
      <c r="R1055" s="29" t="s">
        <v>1973</v>
      </c>
      <c r="CB1055" s="278"/>
      <c r="CG1055" s="278"/>
    </row>
    <row r="1056" spans="1:96" x14ac:dyDescent="0.25">
      <c r="A1056" s="8" t="s">
        <v>904</v>
      </c>
      <c r="B1056" s="24" t="s">
        <v>905</v>
      </c>
      <c r="E1056" s="26" t="s">
        <v>1762</v>
      </c>
      <c r="F1056" s="198" t="s">
        <v>852</v>
      </c>
      <c r="G1056" s="198" t="s">
        <v>1700</v>
      </c>
      <c r="H1056" s="25" t="s">
        <v>1700</v>
      </c>
      <c r="J1056" s="27" t="s">
        <v>866</v>
      </c>
      <c r="CB1056" s="278"/>
      <c r="CG1056" s="278"/>
      <c r="CH1056" s="278"/>
      <c r="CK1056" s="279"/>
      <c r="CL1056" s="278"/>
      <c r="CM1056" s="278"/>
      <c r="CP1056" s="279"/>
    </row>
    <row r="1057" spans="1:96" x14ac:dyDescent="0.25">
      <c r="A1057" s="19" t="s">
        <v>1950</v>
      </c>
      <c r="B1057" s="12" t="s">
        <v>936</v>
      </c>
      <c r="C1057" s="13" t="s">
        <v>554</v>
      </c>
      <c r="D1057" s="14"/>
      <c r="E1057" s="14" t="s">
        <v>1762</v>
      </c>
      <c r="F1057" s="199" t="s">
        <v>891</v>
      </c>
      <c r="G1057" s="199" t="s">
        <v>1700</v>
      </c>
      <c r="H1057" s="13" t="s">
        <v>2520</v>
      </c>
      <c r="I1057" s="23"/>
      <c r="J1057" s="23" t="s">
        <v>866</v>
      </c>
      <c r="K1057" s="16"/>
      <c r="M1057" s="13"/>
      <c r="N1057" s="21"/>
      <c r="O1057" s="21"/>
      <c r="Q1057" s="95"/>
      <c r="R1057" s="16" t="s">
        <v>853</v>
      </c>
      <c r="S1057" s="29"/>
      <c r="T1057" s="29"/>
      <c r="U1057" s="29"/>
      <c r="V1057" s="29"/>
      <c r="X1057" s="84" t="s">
        <v>1700</v>
      </c>
      <c r="Y1057" s="84" t="s">
        <v>246</v>
      </c>
      <c r="AA1057" s="84" t="s">
        <v>121</v>
      </c>
      <c r="AB1057" s="84" t="s">
        <v>126</v>
      </c>
      <c r="CB1057" s="26">
        <v>42178</v>
      </c>
      <c r="CC1057" s="26" t="s">
        <v>853</v>
      </c>
      <c r="CD1057" s="8" t="s">
        <v>3741</v>
      </c>
      <c r="CE1057" s="8">
        <v>378</v>
      </c>
      <c r="CF1057" s="8">
        <v>160</v>
      </c>
      <c r="CG1057" s="26"/>
      <c r="CH1057" s="8"/>
      <c r="CM1057" s="8"/>
      <c r="CR1057" s="8"/>
    </row>
    <row r="1058" spans="1:96" x14ac:dyDescent="0.25">
      <c r="A1058" s="8" t="s">
        <v>2948</v>
      </c>
      <c r="B1058" s="24" t="s">
        <v>2949</v>
      </c>
      <c r="C1058" s="25" t="s">
        <v>2947</v>
      </c>
      <c r="E1058" s="26" t="s">
        <v>1764</v>
      </c>
      <c r="F1058" s="198" t="s">
        <v>1849</v>
      </c>
      <c r="G1058" s="198" t="s">
        <v>1700</v>
      </c>
      <c r="H1058" s="25" t="s">
        <v>4011</v>
      </c>
      <c r="I1058" s="27" t="s">
        <v>3901</v>
      </c>
      <c r="J1058" s="27" t="s">
        <v>866</v>
      </c>
      <c r="K1058" s="28" t="s">
        <v>853</v>
      </c>
      <c r="R1058" s="29" t="s">
        <v>853</v>
      </c>
      <c r="W1058" s="93">
        <v>160</v>
      </c>
      <c r="X1058" s="84" t="s">
        <v>1700</v>
      </c>
      <c r="Y1058" s="84" t="s">
        <v>2634</v>
      </c>
      <c r="AA1058" s="84" t="s">
        <v>2950</v>
      </c>
      <c r="AB1058" s="84" t="s">
        <v>348</v>
      </c>
      <c r="AC1058" s="26">
        <v>42299</v>
      </c>
      <c r="AD1058" s="26" t="s">
        <v>853</v>
      </c>
      <c r="AE1058" s="8" t="s">
        <v>4012</v>
      </c>
      <c r="AF1058" s="8">
        <v>28.5</v>
      </c>
      <c r="AG1058" s="8">
        <v>14</v>
      </c>
      <c r="AH1058" s="26">
        <v>42313</v>
      </c>
      <c r="AI1058" s="8" t="s">
        <v>853</v>
      </c>
      <c r="AJ1058" s="8" t="s">
        <v>4186</v>
      </c>
      <c r="AK1058" s="8">
        <v>150</v>
      </c>
      <c r="AL1058" s="8">
        <v>75</v>
      </c>
      <c r="AM1058" s="26">
        <v>42360</v>
      </c>
      <c r="AN1058" s="8" t="s">
        <v>853</v>
      </c>
      <c r="AO1058" s="8" t="s">
        <v>4522</v>
      </c>
      <c r="AP1058" s="8">
        <v>145</v>
      </c>
      <c r="AQ1058" s="8">
        <v>71</v>
      </c>
      <c r="CB1058" s="278">
        <v>41934</v>
      </c>
      <c r="CC1058" s="278" t="s">
        <v>853</v>
      </c>
      <c r="CD1058" s="8" t="s">
        <v>2951</v>
      </c>
      <c r="CE1058" s="8">
        <v>160</v>
      </c>
      <c r="CF1058" s="279">
        <v>80</v>
      </c>
      <c r="CG1058" s="278"/>
      <c r="CH1058" s="278"/>
      <c r="CK1058" s="279"/>
      <c r="CL1058" s="278"/>
      <c r="CM1058" s="278"/>
      <c r="CP1058" s="279"/>
    </row>
    <row r="1059" spans="1:96" x14ac:dyDescent="0.25">
      <c r="A1059" s="8" t="s">
        <v>2150</v>
      </c>
      <c r="B1059" s="24" t="s">
        <v>1504</v>
      </c>
      <c r="C1059" s="25" t="s">
        <v>1288</v>
      </c>
      <c r="D1059" s="26">
        <v>28725</v>
      </c>
      <c r="E1059" s="26" t="s">
        <v>1764</v>
      </c>
      <c r="F1059" s="198" t="s">
        <v>983</v>
      </c>
      <c r="G1059" s="198" t="s">
        <v>1700</v>
      </c>
      <c r="H1059" s="25" t="s">
        <v>265</v>
      </c>
      <c r="J1059" s="27" t="s">
        <v>866</v>
      </c>
      <c r="Q1059" s="93"/>
      <c r="R1059" s="28" t="s">
        <v>889</v>
      </c>
      <c r="S1059" s="29"/>
      <c r="T1059" s="29"/>
      <c r="U1059" s="29"/>
      <c r="V1059" s="29"/>
      <c r="CB1059" s="26"/>
      <c r="CC1059" s="26"/>
      <c r="CF1059" s="8"/>
      <c r="CG1059" s="26"/>
      <c r="CH1059" s="8"/>
      <c r="CM1059" s="8"/>
      <c r="CR1059" s="8"/>
    </row>
    <row r="1060" spans="1:96" x14ac:dyDescent="0.25">
      <c r="A1060" s="8" t="s">
        <v>780</v>
      </c>
      <c r="B1060" s="24" t="s">
        <v>2713</v>
      </c>
      <c r="C1060" s="25" t="s">
        <v>760</v>
      </c>
      <c r="E1060" s="26" t="s">
        <v>1762</v>
      </c>
      <c r="F1060" s="198" t="s">
        <v>867</v>
      </c>
      <c r="G1060" s="198" t="s">
        <v>2344</v>
      </c>
      <c r="H1060" s="25" t="s">
        <v>2737</v>
      </c>
      <c r="I1060" s="27" t="s">
        <v>3901</v>
      </c>
      <c r="J1060" s="27" t="s">
        <v>866</v>
      </c>
      <c r="K1060" s="28" t="s">
        <v>853</v>
      </c>
      <c r="Q1060" s="93"/>
      <c r="R1060" s="28" t="s">
        <v>853</v>
      </c>
      <c r="S1060" s="29"/>
      <c r="T1060" s="29"/>
      <c r="U1060" s="29"/>
      <c r="V1060" s="29"/>
      <c r="W1060" s="93">
        <v>160</v>
      </c>
      <c r="X1060" s="84" t="s">
        <v>1700</v>
      </c>
      <c r="Y1060" s="84" t="s">
        <v>2499</v>
      </c>
      <c r="AA1060" s="84" t="s">
        <v>2738</v>
      </c>
      <c r="AB1060" s="84" t="s">
        <v>126</v>
      </c>
      <c r="AC1060" s="26">
        <v>42311</v>
      </c>
      <c r="AD1060" s="26" t="s">
        <v>853</v>
      </c>
      <c r="AE1060" s="8" t="s">
        <v>4064</v>
      </c>
      <c r="AF1060" s="8">
        <v>730</v>
      </c>
      <c r="AG1060" s="8">
        <v>160</v>
      </c>
      <c r="CB1060" s="26">
        <v>41921</v>
      </c>
      <c r="CC1060" s="26" t="s">
        <v>853</v>
      </c>
      <c r="CD1060" s="8" t="s">
        <v>2739</v>
      </c>
      <c r="CE1060" s="8">
        <v>208.5</v>
      </c>
      <c r="CF1060" s="8">
        <v>105</v>
      </c>
      <c r="CG1060" s="26"/>
      <c r="CH1060" s="8"/>
      <c r="CM1060" s="8"/>
      <c r="CR1060" s="8"/>
    </row>
    <row r="1061" spans="1:96" x14ac:dyDescent="0.25">
      <c r="A1061" s="8" t="s">
        <v>986</v>
      </c>
      <c r="B1061" s="24" t="s">
        <v>1991</v>
      </c>
      <c r="C1061" s="25" t="s">
        <v>1050</v>
      </c>
      <c r="E1061" s="26" t="s">
        <v>1762</v>
      </c>
      <c r="F1061" s="198" t="s">
        <v>1700</v>
      </c>
      <c r="G1061" s="198" t="s">
        <v>1700</v>
      </c>
      <c r="H1061" s="25" t="s">
        <v>1700</v>
      </c>
      <c r="I1061" s="27" t="s">
        <v>3901</v>
      </c>
      <c r="J1061" s="27" t="s">
        <v>866</v>
      </c>
      <c r="K1061" s="28" t="s">
        <v>1973</v>
      </c>
      <c r="L1061" s="29" t="s">
        <v>851</v>
      </c>
      <c r="M1061" s="29" t="s">
        <v>3908</v>
      </c>
      <c r="R1061" s="29" t="s">
        <v>851</v>
      </c>
      <c r="S1061" s="8" t="s">
        <v>857</v>
      </c>
      <c r="T1061" s="8" t="s">
        <v>1973</v>
      </c>
      <c r="W1061" s="93">
        <v>70</v>
      </c>
      <c r="X1061" s="84" t="s">
        <v>1700</v>
      </c>
      <c r="Y1061" s="84" t="s">
        <v>1052</v>
      </c>
      <c r="AA1061" s="84" t="s">
        <v>1053</v>
      </c>
      <c r="AB1061" s="84" t="s">
        <v>126</v>
      </c>
      <c r="AC1061" s="26">
        <v>42416</v>
      </c>
      <c r="AD1061" s="26" t="s">
        <v>851</v>
      </c>
      <c r="AE1061" s="8" t="s">
        <v>3912</v>
      </c>
      <c r="AF1061" s="8">
        <v>161.5</v>
      </c>
      <c r="AG1061" s="8">
        <v>70</v>
      </c>
      <c r="CB1061" s="26" t="s">
        <v>503</v>
      </c>
      <c r="CC1061" s="26" t="s">
        <v>851</v>
      </c>
      <c r="CD1061" s="8" t="s">
        <v>2740</v>
      </c>
      <c r="CE1061" s="8">
        <v>126</v>
      </c>
      <c r="CF1061" s="8">
        <v>63</v>
      </c>
      <c r="CG1061" s="26"/>
      <c r="CH1061" s="8"/>
      <c r="CM1061" s="8"/>
      <c r="CR1061" s="8"/>
    </row>
    <row r="1062" spans="1:96" x14ac:dyDescent="0.25">
      <c r="A1062" s="8" t="s">
        <v>1694</v>
      </c>
      <c r="B1062" s="24" t="s">
        <v>4403</v>
      </c>
      <c r="C1062" s="25" t="s">
        <v>297</v>
      </c>
      <c r="E1062" s="26" t="s">
        <v>1762</v>
      </c>
      <c r="F1062" s="198" t="s">
        <v>946</v>
      </c>
      <c r="G1062" s="198" t="s">
        <v>1700</v>
      </c>
      <c r="H1062" s="25" t="s">
        <v>3197</v>
      </c>
      <c r="I1062" s="27" t="s">
        <v>3903</v>
      </c>
      <c r="J1062" s="27" t="s">
        <v>866</v>
      </c>
      <c r="K1062" s="28" t="s">
        <v>853</v>
      </c>
      <c r="Q1062" s="93"/>
      <c r="R1062" s="28" t="s">
        <v>853</v>
      </c>
      <c r="S1062" s="29"/>
      <c r="T1062" s="29"/>
      <c r="U1062" s="29"/>
      <c r="V1062" s="29"/>
      <c r="W1062" s="93">
        <v>47</v>
      </c>
      <c r="X1062" s="84" t="s">
        <v>1700</v>
      </c>
      <c r="Y1062" s="84" t="s">
        <v>1530</v>
      </c>
      <c r="AA1062" s="84" t="s">
        <v>4401</v>
      </c>
      <c r="AB1062" s="84" t="s">
        <v>1121</v>
      </c>
      <c r="AC1062" s="26">
        <v>42352</v>
      </c>
      <c r="AD1062" s="26" t="s">
        <v>853</v>
      </c>
      <c r="AE1062" s="8" t="s">
        <v>4402</v>
      </c>
      <c r="AF1062" s="8">
        <v>95</v>
      </c>
      <c r="AG1062" s="8">
        <v>47</v>
      </c>
      <c r="CB1062" s="26">
        <v>41977</v>
      </c>
      <c r="CC1062" s="26" t="s">
        <v>853</v>
      </c>
      <c r="CD1062" s="8" t="s">
        <v>3198</v>
      </c>
      <c r="CE1062" s="8">
        <v>93</v>
      </c>
      <c r="CF1062" s="8">
        <v>47</v>
      </c>
      <c r="CG1062" s="26"/>
      <c r="CH1062" s="8"/>
      <c r="CM1062" s="8"/>
      <c r="CR1062" s="8"/>
    </row>
    <row r="1063" spans="1:96" x14ac:dyDescent="0.25">
      <c r="A1063" s="8" t="s">
        <v>2761</v>
      </c>
      <c r="B1063" s="24" t="s">
        <v>1626</v>
      </c>
      <c r="C1063" s="25" t="s">
        <v>2763</v>
      </c>
      <c r="E1063" s="26" t="s">
        <v>1762</v>
      </c>
      <c r="F1063" s="198" t="s">
        <v>874</v>
      </c>
      <c r="G1063" s="198" t="s">
        <v>1700</v>
      </c>
      <c r="H1063" s="25" t="s">
        <v>4350</v>
      </c>
      <c r="I1063" s="27" t="s">
        <v>3903</v>
      </c>
      <c r="J1063" s="27" t="s">
        <v>866</v>
      </c>
      <c r="K1063" s="28" t="s">
        <v>853</v>
      </c>
      <c r="R1063" s="29" t="s">
        <v>853</v>
      </c>
      <c r="W1063" s="93">
        <v>160</v>
      </c>
      <c r="X1063" s="84" t="s">
        <v>1700</v>
      </c>
      <c r="Y1063" s="84" t="s">
        <v>3443</v>
      </c>
      <c r="AA1063" s="84" t="s">
        <v>4351</v>
      </c>
      <c r="AB1063" s="84" t="s">
        <v>3445</v>
      </c>
      <c r="AC1063" s="26">
        <v>42352</v>
      </c>
      <c r="AD1063" s="26" t="s">
        <v>853</v>
      </c>
      <c r="AE1063" s="8" t="s">
        <v>4352</v>
      </c>
      <c r="AF1063" s="8">
        <v>358.8</v>
      </c>
      <c r="AG1063" s="8">
        <v>160</v>
      </c>
      <c r="CB1063" s="26">
        <v>41921</v>
      </c>
      <c r="CC1063" s="26" t="s">
        <v>853</v>
      </c>
      <c r="CD1063" s="8" t="s">
        <v>2632</v>
      </c>
      <c r="CE1063" s="8">
        <v>288.76</v>
      </c>
      <c r="CF1063" s="8">
        <v>144</v>
      </c>
      <c r="CG1063" s="26"/>
      <c r="CH1063" s="8"/>
      <c r="CM1063" s="8"/>
      <c r="CR1063" s="8"/>
    </row>
    <row r="1064" spans="1:96" x14ac:dyDescent="0.25">
      <c r="A1064" s="8" t="s">
        <v>3688</v>
      </c>
      <c r="B1064" s="24" t="s">
        <v>3689</v>
      </c>
      <c r="F1064" s="198" t="s">
        <v>669</v>
      </c>
      <c r="G1064" s="198" t="s">
        <v>368</v>
      </c>
      <c r="H1064" s="25" t="s">
        <v>1700</v>
      </c>
      <c r="J1064" s="27" t="s">
        <v>866</v>
      </c>
      <c r="L1064" s="29" t="s">
        <v>816</v>
      </c>
      <c r="R1064" s="29" t="s">
        <v>816</v>
      </c>
      <c r="CB1064" s="278"/>
      <c r="CG1064" s="278"/>
    </row>
    <row r="1065" spans="1:96" x14ac:dyDescent="0.25">
      <c r="A1065" s="8" t="s">
        <v>618</v>
      </c>
      <c r="B1065" s="24" t="s">
        <v>42</v>
      </c>
      <c r="D1065" s="26">
        <v>23358</v>
      </c>
      <c r="E1065" s="26" t="s">
        <v>1762</v>
      </c>
      <c r="F1065" s="198" t="s">
        <v>619</v>
      </c>
      <c r="G1065" s="198" t="s">
        <v>1700</v>
      </c>
      <c r="H1065" s="25" t="s">
        <v>620</v>
      </c>
      <c r="I1065" s="27" t="s">
        <v>3893</v>
      </c>
      <c r="J1065" s="27" t="s">
        <v>866</v>
      </c>
      <c r="K1065" s="28" t="s">
        <v>816</v>
      </c>
      <c r="R1065" s="29" t="s">
        <v>816</v>
      </c>
      <c r="CB1065" s="278"/>
      <c r="CG1065" s="278"/>
      <c r="CH1065" s="278"/>
      <c r="CK1065" s="279"/>
      <c r="CL1065" s="278"/>
      <c r="CM1065" s="278"/>
      <c r="CP1065" s="279"/>
    </row>
    <row r="1066" spans="1:96" x14ac:dyDescent="0.25">
      <c r="A1066" s="8" t="s">
        <v>2073</v>
      </c>
      <c r="B1066" s="24" t="s">
        <v>933</v>
      </c>
      <c r="C1066" s="25" t="s">
        <v>2075</v>
      </c>
      <c r="E1066" s="26" t="s">
        <v>1762</v>
      </c>
      <c r="F1066" s="198" t="s">
        <v>1977</v>
      </c>
      <c r="G1066" s="198" t="s">
        <v>1700</v>
      </c>
      <c r="H1066" s="25" t="s">
        <v>4378</v>
      </c>
      <c r="I1066" s="27" t="s">
        <v>3903</v>
      </c>
      <c r="J1066" s="27" t="s">
        <v>866</v>
      </c>
      <c r="K1066" s="28" t="s">
        <v>853</v>
      </c>
      <c r="W1066" s="93">
        <v>160</v>
      </c>
      <c r="X1066" s="84" t="s">
        <v>1700</v>
      </c>
      <c r="Y1066" s="84" t="s">
        <v>498</v>
      </c>
      <c r="AA1066" s="84" t="s">
        <v>2076</v>
      </c>
      <c r="AB1066" s="84" t="s">
        <v>1749</v>
      </c>
      <c r="AC1066" s="26">
        <v>42360</v>
      </c>
      <c r="AD1066" s="26" t="s">
        <v>853</v>
      </c>
      <c r="AE1066" s="8" t="s">
        <v>4432</v>
      </c>
      <c r="AF1066" s="8">
        <v>360</v>
      </c>
      <c r="AG1066" s="8">
        <v>160</v>
      </c>
      <c r="CB1066" s="26"/>
      <c r="CC1066" s="26"/>
      <c r="CF1066" s="8"/>
      <c r="CG1066" s="26"/>
      <c r="CH1066" s="8"/>
      <c r="CM1066" s="8"/>
      <c r="CR1066" s="8"/>
    </row>
    <row r="1067" spans="1:96" x14ac:dyDescent="0.25">
      <c r="A1067" s="8" t="s">
        <v>1009</v>
      </c>
      <c r="B1067" s="24" t="s">
        <v>1822</v>
      </c>
      <c r="F1067" s="198" t="s">
        <v>1700</v>
      </c>
      <c r="G1067" s="198" t="s">
        <v>1700</v>
      </c>
      <c r="H1067" s="25" t="s">
        <v>1700</v>
      </c>
      <c r="J1067" s="27" t="s">
        <v>866</v>
      </c>
      <c r="R1067" s="29" t="s">
        <v>1763</v>
      </c>
      <c r="CB1067" s="278"/>
      <c r="CG1067" s="278"/>
      <c r="CH1067" s="278"/>
      <c r="CK1067" s="279"/>
      <c r="CL1067" s="278"/>
      <c r="CM1067" s="278"/>
      <c r="CP1067" s="279"/>
    </row>
    <row r="1068" spans="1:96" x14ac:dyDescent="0.25">
      <c r="A1068" s="8" t="s">
        <v>669</v>
      </c>
      <c r="B1068" s="24" t="s">
        <v>368</v>
      </c>
      <c r="E1068" s="26" t="s">
        <v>1762</v>
      </c>
      <c r="F1068" s="198" t="s">
        <v>1700</v>
      </c>
      <c r="G1068" s="198" t="s">
        <v>1700</v>
      </c>
      <c r="H1068" s="25" t="s">
        <v>1700</v>
      </c>
      <c r="J1068" s="27" t="s">
        <v>866</v>
      </c>
      <c r="L1068" s="29" t="s">
        <v>816</v>
      </c>
      <c r="R1068" s="29" t="s">
        <v>1763</v>
      </c>
      <c r="S1068" s="8" t="s">
        <v>860</v>
      </c>
      <c r="T1068" s="8" t="s">
        <v>816</v>
      </c>
      <c r="CB1068" s="278"/>
      <c r="CG1068" s="278"/>
      <c r="CH1068" s="278"/>
      <c r="CK1068" s="279"/>
      <c r="CL1068" s="278"/>
      <c r="CM1068" s="278"/>
      <c r="CP1068" s="279"/>
    </row>
    <row r="1069" spans="1:96" x14ac:dyDescent="0.25">
      <c r="A1069" s="8" t="s">
        <v>547</v>
      </c>
      <c r="B1069" s="24" t="s">
        <v>1504</v>
      </c>
      <c r="D1069" s="26">
        <v>23629</v>
      </c>
      <c r="E1069" s="26" t="s">
        <v>1762</v>
      </c>
      <c r="F1069" s="198" t="s">
        <v>1992</v>
      </c>
      <c r="G1069" s="198" t="s">
        <v>1700</v>
      </c>
      <c r="H1069" s="25" t="s">
        <v>1700</v>
      </c>
      <c r="I1069" s="27" t="s">
        <v>3902</v>
      </c>
      <c r="J1069" s="27" t="s">
        <v>866</v>
      </c>
      <c r="K1069" s="28" t="s">
        <v>817</v>
      </c>
      <c r="Q1069" s="93"/>
      <c r="R1069" s="28" t="s">
        <v>817</v>
      </c>
      <c r="S1069" s="29"/>
      <c r="T1069" s="29"/>
      <c r="U1069" s="29"/>
      <c r="V1069" s="29"/>
      <c r="CB1069" s="278"/>
      <c r="CG1069" s="278"/>
      <c r="CH1069" s="278"/>
      <c r="CK1069" s="279"/>
      <c r="CL1069" s="278"/>
      <c r="CM1069" s="278"/>
      <c r="CP1069" s="279"/>
    </row>
    <row r="1070" spans="1:96" x14ac:dyDescent="0.25">
      <c r="A1070" s="8" t="s">
        <v>1048</v>
      </c>
      <c r="B1070" s="24" t="s">
        <v>882</v>
      </c>
      <c r="C1070" s="25" t="s">
        <v>1049</v>
      </c>
      <c r="E1070" s="26" t="s">
        <v>1762</v>
      </c>
      <c r="F1070" s="198" t="s">
        <v>1392</v>
      </c>
      <c r="G1070" s="198" t="s">
        <v>1700</v>
      </c>
      <c r="H1070" s="25" t="s">
        <v>1700</v>
      </c>
      <c r="J1070" s="27" t="s">
        <v>866</v>
      </c>
      <c r="R1070" s="29" t="s">
        <v>854</v>
      </c>
      <c r="W1070" s="93">
        <v>0</v>
      </c>
      <c r="CB1070" s="26"/>
      <c r="CC1070" s="26"/>
      <c r="CF1070" s="8"/>
      <c r="CG1070" s="26"/>
      <c r="CH1070" s="8"/>
      <c r="CM1070" s="8"/>
      <c r="CR1070" s="8"/>
    </row>
    <row r="1071" spans="1:96" x14ac:dyDescent="0.25">
      <c r="F1071" s="198" t="s">
        <v>1700</v>
      </c>
      <c r="G1071" s="198" t="s">
        <v>1700</v>
      </c>
      <c r="H1071" s="25" t="s">
        <v>1700</v>
      </c>
      <c r="J1071" s="27" t="s">
        <v>866</v>
      </c>
    </row>
    <row r="1072" spans="1:96" x14ac:dyDescent="0.25">
      <c r="F1072" s="198" t="s">
        <v>1700</v>
      </c>
      <c r="G1072" s="198" t="s">
        <v>1700</v>
      </c>
      <c r="H1072" s="25" t="s">
        <v>1700</v>
      </c>
      <c r="J1072" s="27" t="s">
        <v>866</v>
      </c>
    </row>
    <row r="1073" spans="6:10" x14ac:dyDescent="0.25">
      <c r="F1073" s="198" t="s">
        <v>1700</v>
      </c>
      <c r="G1073" s="198" t="s">
        <v>1700</v>
      </c>
      <c r="H1073" s="25" t="s">
        <v>1700</v>
      </c>
      <c r="J1073" s="27" t="s">
        <v>866</v>
      </c>
    </row>
    <row r="1074" spans="6:10" x14ac:dyDescent="0.25">
      <c r="F1074" s="198" t="s">
        <v>1700</v>
      </c>
      <c r="G1074" s="198" t="s">
        <v>1700</v>
      </c>
      <c r="H1074" s="25" t="s">
        <v>1700</v>
      </c>
      <c r="J1074" s="27" t="s">
        <v>866</v>
      </c>
    </row>
    <row r="1075" spans="6:10" x14ac:dyDescent="0.25">
      <c r="F1075" s="198" t="s">
        <v>1700</v>
      </c>
      <c r="G1075" s="198" t="s">
        <v>1700</v>
      </c>
      <c r="H1075" s="25" t="s">
        <v>1700</v>
      </c>
      <c r="J1075" s="27" t="s">
        <v>866</v>
      </c>
    </row>
  </sheetData>
  <sortState ref="A4:DY1075">
    <sortCondition ref="A3"/>
    <sortCondition ref="B3"/>
  </sortState>
  <mergeCells count="3">
    <mergeCell ref="J1:M1"/>
    <mergeCell ref="N1:O1"/>
    <mergeCell ref="R1:V1"/>
  </mergeCells>
  <phoneticPr fontId="3" type="noConversion"/>
  <pageMargins left="0.39370078740157483" right="0.39370078740157483" top="0.43307086614173229" bottom="0.27559055118110237" header="0.35433070866141736" footer="0.19685039370078741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pageSetUpPr autoPageBreaks="0"/>
  </sheetPr>
  <dimension ref="A1:BJ36"/>
  <sheetViews>
    <sheetView showRowColHeaders="0" zoomScaleNormal="100" workbookViewId="0">
      <selection activeCell="F5" sqref="F5"/>
    </sheetView>
  </sheetViews>
  <sheetFormatPr baseColWidth="10" defaultColWidth="11.42578125" defaultRowHeight="12.75" x14ac:dyDescent="0.2"/>
  <cols>
    <col min="1" max="1" width="2.7109375" style="67" customWidth="1"/>
    <col min="2" max="2" width="10" style="67" customWidth="1"/>
    <col min="3" max="3" width="0.85546875" style="67" customWidth="1"/>
    <col min="4" max="4" width="18.85546875" style="67" customWidth="1"/>
    <col min="5" max="5" width="1.140625" style="67" customWidth="1"/>
    <col min="6" max="6" width="43.28515625" style="67" customWidth="1"/>
    <col min="7" max="7" width="1.7109375" style="67" customWidth="1"/>
    <col min="8" max="8" width="9.7109375" style="68" customWidth="1"/>
    <col min="9" max="9" width="2.140625" style="67" customWidth="1"/>
    <col min="10" max="10" width="3.5703125" style="67" customWidth="1"/>
    <col min="11" max="11" width="11.42578125" style="67"/>
    <col min="12" max="12" width="10.140625" style="67" customWidth="1"/>
    <col min="13" max="13" width="11.42578125" style="67"/>
    <col min="14" max="14" width="1.7109375" style="67" customWidth="1"/>
    <col min="15" max="15" width="37.7109375" style="67" customWidth="1"/>
    <col min="16" max="16" width="2.42578125" style="67" customWidth="1"/>
    <col min="17" max="17" width="8.85546875" style="67" customWidth="1"/>
    <col min="18" max="16384" width="11.42578125" style="67"/>
  </cols>
  <sheetData>
    <row r="1" spans="1:62" ht="26.25" customHeight="1" x14ac:dyDescent="0.35">
      <c r="D1" s="71" t="s">
        <v>1183</v>
      </c>
      <c r="E1" s="69"/>
      <c r="F1" s="70" t="s">
        <v>1182</v>
      </c>
      <c r="J1" s="328"/>
      <c r="K1" s="328"/>
      <c r="BJ1" s="67" t="s">
        <v>2052</v>
      </c>
    </row>
    <row r="2" spans="1:62" x14ac:dyDescent="0.2">
      <c r="Z2" s="67" t="s">
        <v>142</v>
      </c>
    </row>
    <row r="3" spans="1:62" x14ac:dyDescent="0.2">
      <c r="A3" s="280"/>
      <c r="B3" s="281" t="s">
        <v>2127</v>
      </c>
      <c r="C3" s="281"/>
      <c r="D3" s="281" t="s">
        <v>2129</v>
      </c>
      <c r="E3" s="281"/>
      <c r="F3" s="281" t="s">
        <v>2128</v>
      </c>
      <c r="G3" s="281"/>
      <c r="H3" s="281" t="s">
        <v>2758</v>
      </c>
      <c r="I3" s="282"/>
      <c r="J3" s="283" t="s">
        <v>2760</v>
      </c>
      <c r="K3" s="283" t="s">
        <v>2759</v>
      </c>
      <c r="L3" s="282"/>
      <c r="M3" s="282"/>
      <c r="N3" s="284"/>
      <c r="O3" s="296"/>
    </row>
    <row r="4" spans="1:62" x14ac:dyDescent="0.2">
      <c r="A4" s="285"/>
      <c r="B4" s="260"/>
      <c r="C4" s="260"/>
      <c r="D4" s="260"/>
      <c r="E4" s="260"/>
      <c r="F4" s="260"/>
      <c r="G4" s="260"/>
      <c r="H4" s="261"/>
      <c r="I4" s="260"/>
      <c r="J4" s="260"/>
      <c r="K4" s="260"/>
      <c r="L4" s="260"/>
      <c r="M4" s="291"/>
      <c r="N4" s="286"/>
      <c r="Q4" s="260"/>
    </row>
    <row r="5" spans="1:62" ht="15.75" x14ac:dyDescent="0.25">
      <c r="A5" s="285"/>
      <c r="B5" s="262">
        <v>42550</v>
      </c>
      <c r="C5" s="260"/>
      <c r="D5" s="260"/>
      <c r="E5" s="260"/>
      <c r="F5" s="263"/>
      <c r="G5" s="260"/>
      <c r="H5" s="293"/>
      <c r="I5" s="335" t="s">
        <v>2760</v>
      </c>
      <c r="J5" s="336"/>
      <c r="K5" s="264"/>
      <c r="L5" s="260"/>
      <c r="M5" s="292">
        <v>42550</v>
      </c>
      <c r="N5" s="286"/>
      <c r="O5" s="248" t="s">
        <v>2561</v>
      </c>
      <c r="Q5" s="247"/>
    </row>
    <row r="6" spans="1:62" x14ac:dyDescent="0.2">
      <c r="A6" s="287"/>
      <c r="B6" s="288"/>
      <c r="C6" s="288"/>
      <c r="D6" s="288"/>
      <c r="E6" s="288"/>
      <c r="F6" s="288"/>
      <c r="G6" s="288"/>
      <c r="H6" s="289"/>
      <c r="I6" s="288"/>
      <c r="J6" s="288"/>
      <c r="K6" s="288"/>
      <c r="L6" s="288"/>
      <c r="M6" s="288"/>
      <c r="N6" s="290"/>
    </row>
    <row r="7" spans="1:62" ht="18.75" customHeight="1" x14ac:dyDescent="0.2">
      <c r="H7" s="74"/>
      <c r="K7" s="82"/>
    </row>
    <row r="8" spans="1:62" x14ac:dyDescent="0.2">
      <c r="B8" s="259" t="s">
        <v>503</v>
      </c>
      <c r="C8" s="72"/>
      <c r="D8" s="79" t="s">
        <v>853</v>
      </c>
      <c r="E8" s="72"/>
      <c r="F8" s="244" t="s">
        <v>4938</v>
      </c>
      <c r="G8" s="72"/>
      <c r="H8" s="75">
        <v>160</v>
      </c>
      <c r="M8" s="250">
        <v>42178</v>
      </c>
      <c r="N8" s="251"/>
      <c r="O8" s="252" t="s">
        <v>3772</v>
      </c>
      <c r="P8" s="251"/>
      <c r="Q8" s="253">
        <v>160</v>
      </c>
    </row>
    <row r="9" spans="1:62" x14ac:dyDescent="0.2">
      <c r="B9" s="80"/>
      <c r="C9" s="72"/>
      <c r="D9" s="72"/>
      <c r="E9" s="72"/>
      <c r="F9" s="72"/>
      <c r="G9" s="72"/>
      <c r="H9" s="76"/>
      <c r="M9" s="246"/>
      <c r="N9" s="246"/>
      <c r="O9" s="249"/>
      <c r="P9" s="246"/>
      <c r="Q9" s="246"/>
    </row>
    <row r="10" spans="1:62" x14ac:dyDescent="0.2">
      <c r="B10" s="259"/>
      <c r="C10" s="72"/>
      <c r="D10" s="79"/>
      <c r="E10" s="72"/>
      <c r="F10" s="244"/>
      <c r="G10" s="72"/>
      <c r="H10" s="75"/>
      <c r="M10" s="250"/>
      <c r="N10" s="251"/>
      <c r="O10" s="252"/>
      <c r="P10" s="251"/>
      <c r="Q10" s="253"/>
    </row>
    <row r="11" spans="1:62" x14ac:dyDescent="0.2">
      <c r="B11" s="80"/>
      <c r="C11" s="72"/>
      <c r="D11" s="72"/>
      <c r="E11" s="72"/>
      <c r="F11" s="72"/>
      <c r="G11" s="72"/>
      <c r="H11" s="76"/>
      <c r="M11" s="246"/>
      <c r="N11" s="246"/>
      <c r="O11" s="249"/>
      <c r="P11" s="246"/>
      <c r="Q11" s="246"/>
    </row>
    <row r="12" spans="1:62" x14ac:dyDescent="0.2">
      <c r="B12" s="259"/>
      <c r="C12" s="72"/>
      <c r="D12" s="79"/>
      <c r="E12" s="72"/>
      <c r="F12" s="244"/>
      <c r="G12" s="72"/>
      <c r="H12" s="75"/>
      <c r="M12" s="250"/>
      <c r="N12" s="251"/>
      <c r="O12" s="252"/>
      <c r="P12" s="251"/>
      <c r="Q12" s="253"/>
    </row>
    <row r="13" spans="1:62" x14ac:dyDescent="0.2">
      <c r="B13" s="80"/>
      <c r="C13" s="72"/>
      <c r="D13" s="72"/>
      <c r="E13" s="72"/>
      <c r="F13" s="72"/>
      <c r="G13" s="72"/>
      <c r="H13" s="76"/>
      <c r="M13" s="246"/>
      <c r="N13" s="246"/>
      <c r="O13" s="249"/>
      <c r="P13" s="246"/>
      <c r="Q13" s="246"/>
    </row>
    <row r="14" spans="1:62" x14ac:dyDescent="0.2">
      <c r="B14" s="259"/>
      <c r="C14" s="72"/>
      <c r="D14" s="79"/>
      <c r="E14" s="72"/>
      <c r="F14" s="73"/>
      <c r="G14" s="72"/>
      <c r="H14" s="75"/>
      <c r="M14" s="250"/>
      <c r="N14" s="251"/>
      <c r="O14" s="252"/>
      <c r="P14" s="251"/>
      <c r="Q14" s="253"/>
    </row>
    <row r="15" spans="1:62" x14ac:dyDescent="0.2">
      <c r="B15" s="80"/>
      <c r="C15" s="72"/>
      <c r="D15" s="72"/>
      <c r="E15" s="72"/>
      <c r="F15" s="72"/>
      <c r="G15" s="72"/>
      <c r="H15" s="76"/>
      <c r="M15" s="246"/>
      <c r="N15" s="246"/>
      <c r="O15" s="249"/>
      <c r="P15" s="246"/>
      <c r="Q15" s="246"/>
      <c r="R15" s="246"/>
    </row>
    <row r="16" spans="1:62" x14ac:dyDescent="0.2">
      <c r="B16" s="259"/>
      <c r="C16" s="72"/>
      <c r="D16" s="79"/>
      <c r="E16" s="72"/>
      <c r="F16" s="244"/>
      <c r="G16" s="72"/>
      <c r="H16" s="75"/>
      <c r="M16" s="250"/>
      <c r="N16" s="251"/>
      <c r="O16" s="252"/>
      <c r="P16" s="251"/>
      <c r="Q16" s="253"/>
    </row>
    <row r="17" spans="1:17" x14ac:dyDescent="0.2">
      <c r="B17" s="80"/>
      <c r="C17" s="72"/>
      <c r="D17" s="72"/>
      <c r="E17" s="72"/>
      <c r="F17" s="72"/>
      <c r="G17" s="72"/>
      <c r="H17" s="76"/>
      <c r="M17" s="246"/>
      <c r="N17" s="246"/>
      <c r="O17" s="249"/>
      <c r="P17" s="246"/>
      <c r="Q17" s="246"/>
    </row>
    <row r="18" spans="1:17" x14ac:dyDescent="0.2">
      <c r="B18" s="259"/>
      <c r="C18" s="72"/>
      <c r="D18" s="79"/>
      <c r="E18" s="72"/>
      <c r="F18" s="73"/>
      <c r="G18" s="72"/>
      <c r="H18" s="75"/>
      <c r="M18" s="250"/>
      <c r="N18" s="251"/>
      <c r="O18" s="252"/>
      <c r="P18" s="251"/>
      <c r="Q18" s="253"/>
    </row>
    <row r="19" spans="1:17" ht="12.75" customHeight="1" x14ac:dyDescent="0.2">
      <c r="B19" s="80"/>
      <c r="C19" s="72"/>
      <c r="D19" s="72"/>
      <c r="E19" s="72"/>
      <c r="F19" s="72"/>
      <c r="G19" s="72"/>
      <c r="H19" s="76"/>
      <c r="M19" s="246"/>
      <c r="N19" s="246"/>
      <c r="O19" s="249"/>
      <c r="P19" s="246"/>
      <c r="Q19" s="246"/>
    </row>
    <row r="20" spans="1:17" x14ac:dyDescent="0.2">
      <c r="B20" s="259"/>
      <c r="C20" s="72"/>
      <c r="D20" s="79"/>
      <c r="E20" s="72"/>
      <c r="F20" s="73"/>
      <c r="G20" s="72"/>
      <c r="H20" s="75"/>
      <c r="M20" s="250"/>
      <c r="N20" s="251"/>
      <c r="O20" s="252"/>
      <c r="P20" s="251"/>
      <c r="Q20" s="253"/>
    </row>
    <row r="21" spans="1:17" ht="12.75" customHeight="1" x14ac:dyDescent="0.2">
      <c r="B21" s="80"/>
      <c r="C21" s="72"/>
      <c r="D21" s="72"/>
      <c r="E21" s="72"/>
      <c r="F21" s="72"/>
      <c r="G21" s="72"/>
      <c r="H21" s="76"/>
      <c r="M21" s="246"/>
      <c r="N21" s="246"/>
      <c r="O21" s="249"/>
      <c r="P21" s="246"/>
      <c r="Q21" s="246"/>
    </row>
    <row r="22" spans="1:17" x14ac:dyDescent="0.2">
      <c r="B22" s="259"/>
      <c r="C22" s="72"/>
      <c r="D22" s="79"/>
      <c r="E22" s="72"/>
      <c r="F22" s="73"/>
      <c r="G22" s="72"/>
      <c r="H22" s="75"/>
      <c r="M22" s="250"/>
      <c r="N22" s="251"/>
      <c r="O22" s="252"/>
      <c r="P22" s="251"/>
      <c r="Q22" s="253"/>
    </row>
    <row r="23" spans="1:17" ht="12.75" customHeight="1" x14ac:dyDescent="0.2">
      <c r="B23" s="80"/>
      <c r="C23" s="72"/>
      <c r="D23" s="72"/>
      <c r="E23" s="72"/>
      <c r="F23" s="72"/>
      <c r="G23" s="72"/>
      <c r="H23" s="76"/>
      <c r="M23" s="246"/>
      <c r="N23" s="246"/>
      <c r="O23" s="249"/>
      <c r="P23" s="246"/>
      <c r="Q23" s="246"/>
    </row>
    <row r="24" spans="1:17" x14ac:dyDescent="0.2">
      <c r="B24" s="259"/>
      <c r="C24" s="72"/>
      <c r="D24" s="79"/>
      <c r="E24" s="72"/>
      <c r="F24" s="73"/>
      <c r="G24" s="72"/>
      <c r="H24" s="75"/>
      <c r="M24" s="250"/>
      <c r="N24" s="251"/>
      <c r="O24" s="252"/>
      <c r="P24" s="251"/>
      <c r="Q24" s="253"/>
    </row>
    <row r="25" spans="1:17" ht="12.75" customHeight="1" x14ac:dyDescent="0.2">
      <c r="B25" s="80"/>
      <c r="C25" s="72"/>
      <c r="D25" s="72"/>
      <c r="E25" s="72"/>
      <c r="F25" s="72"/>
      <c r="G25" s="72"/>
      <c r="H25" s="76"/>
      <c r="M25" s="246"/>
      <c r="N25" s="246"/>
      <c r="O25" s="249"/>
      <c r="P25" s="246"/>
      <c r="Q25" s="246"/>
    </row>
    <row r="26" spans="1:17" x14ac:dyDescent="0.2">
      <c r="B26" s="259"/>
      <c r="C26" s="72"/>
      <c r="D26" s="79"/>
      <c r="E26" s="72"/>
      <c r="F26" s="73"/>
      <c r="G26" s="72"/>
      <c r="H26" s="75"/>
      <c r="M26" s="250"/>
      <c r="N26" s="251"/>
      <c r="O26" s="254"/>
      <c r="P26" s="251"/>
      <c r="Q26" s="253"/>
    </row>
    <row r="27" spans="1:17" x14ac:dyDescent="0.2">
      <c r="H27" s="67"/>
    </row>
    <row r="28" spans="1:17" x14ac:dyDescent="0.2">
      <c r="B28" s="83" t="s">
        <v>127</v>
      </c>
      <c r="D28" s="332" t="s">
        <v>4937</v>
      </c>
      <c r="E28" s="333"/>
      <c r="F28" s="333"/>
      <c r="G28" s="333"/>
      <c r="H28" s="333"/>
    </row>
    <row r="29" spans="1:17" x14ac:dyDescent="0.2">
      <c r="A29" s="83"/>
      <c r="B29" s="83" t="s">
        <v>123</v>
      </c>
      <c r="C29" s="83"/>
      <c r="D29" s="83" t="s">
        <v>4930</v>
      </c>
      <c r="E29" s="83"/>
      <c r="F29" s="83"/>
      <c r="G29" s="83"/>
      <c r="H29" s="181"/>
    </row>
    <row r="30" spans="1:17" ht="21.75" customHeight="1" x14ac:dyDescent="0.2">
      <c r="B30" s="334" t="s">
        <v>1551</v>
      </c>
      <c r="C30" s="334"/>
      <c r="D30" s="334"/>
      <c r="E30" s="96"/>
      <c r="F30" s="191" t="s">
        <v>4914</v>
      </c>
      <c r="G30" s="329">
        <f>SUM(H8:H26)</f>
        <v>160</v>
      </c>
      <c r="H30" s="330"/>
      <c r="I30" s="330"/>
    </row>
    <row r="31" spans="1:17" ht="18" customHeight="1" x14ac:dyDescent="0.2">
      <c r="B31" s="331"/>
      <c r="C31" s="331"/>
      <c r="D31" s="331"/>
      <c r="E31" s="331"/>
      <c r="F31" s="331"/>
    </row>
    <row r="32" spans="1:17" ht="20.25" customHeight="1" x14ac:dyDescent="0.2">
      <c r="B32" s="331"/>
      <c r="C32" s="331"/>
      <c r="D32" s="331"/>
      <c r="E32" s="331"/>
      <c r="F32" s="331"/>
    </row>
    <row r="34" spans="2:6" ht="15.75" x14ac:dyDescent="0.25">
      <c r="B34" s="212" t="s">
        <v>3976</v>
      </c>
      <c r="C34" s="212"/>
      <c r="D34" s="212"/>
      <c r="E34" s="212"/>
      <c r="F34" s="212"/>
    </row>
    <row r="35" spans="2:6" x14ac:dyDescent="0.2">
      <c r="B35" s="83"/>
    </row>
    <row r="36" spans="2:6" x14ac:dyDescent="0.2">
      <c r="B36" s="83"/>
      <c r="C36" s="83"/>
      <c r="D36" s="83"/>
      <c r="E36" s="83"/>
      <c r="F36" s="83"/>
    </row>
  </sheetData>
  <mergeCells count="6">
    <mergeCell ref="J1:K1"/>
    <mergeCell ref="G30:I30"/>
    <mergeCell ref="B31:F32"/>
    <mergeCell ref="D28:H28"/>
    <mergeCell ref="B30:D30"/>
    <mergeCell ref="I5:J5"/>
  </mergeCells>
  <phoneticPr fontId="0" type="noConversion"/>
  <pageMargins left="0.78740157499999996" right="0.78740157499999996" top="0.984251969" bottom="0.984251969" header="0.4921259845" footer="0.4921259845"/>
  <pageSetup paperSize="9" orientation="landscape" horizontalDpi="1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ajouter_rembt_QuandClic">
                <anchor moveWithCells="1" sizeWithCells="1">
                  <from>
                    <xdr:col>11</xdr:col>
                    <xdr:colOff>66675</xdr:colOff>
                    <xdr:row>3</xdr:row>
                    <xdr:rowOff>133350</xdr:rowOff>
                  </from>
                  <to>
                    <xdr:col>11</xdr:col>
                    <xdr:colOff>447675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9" r:id="rId5" name="Check Box 9">
              <controlPr defaultSize="0" print="0" autoFill="0" autoLine="0" autoPict="0">
                <anchor moveWithCells="1">
                  <from>
                    <xdr:col>8</xdr:col>
                    <xdr:colOff>123825</xdr:colOff>
                    <xdr:row>6</xdr:row>
                    <xdr:rowOff>228600</xdr:rowOff>
                  </from>
                  <to>
                    <xdr:col>10</xdr:col>
                    <xdr:colOff>47625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0" r:id="rId6" name="Check Box 10">
              <controlPr defaultSize="0" print="0" autoFill="0" autoLine="0" autoPict="0">
                <anchor moveWithCells="1">
                  <from>
                    <xdr:col>8</xdr:col>
                    <xdr:colOff>123825</xdr:colOff>
                    <xdr:row>10</xdr:row>
                    <xdr:rowOff>104775</xdr:rowOff>
                  </from>
                  <to>
                    <xdr:col>10</xdr:col>
                    <xdr:colOff>47625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7" name="Check Box 11">
              <controlPr defaultSize="0" print="0" autoFill="0" autoLine="0" autoPict="0">
                <anchor moveWithCells="1">
                  <from>
                    <xdr:col>8</xdr:col>
                    <xdr:colOff>123825</xdr:colOff>
                    <xdr:row>8</xdr:row>
                    <xdr:rowOff>123825</xdr:rowOff>
                  </from>
                  <to>
                    <xdr:col>10</xdr:col>
                    <xdr:colOff>47625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2" r:id="rId8" name="Check Box 12">
              <controlPr defaultSize="0" print="0" autoFill="0" autoLine="0" autoPict="0">
                <anchor moveWithCells="1">
                  <from>
                    <xdr:col>8</xdr:col>
                    <xdr:colOff>123825</xdr:colOff>
                    <xdr:row>16</xdr:row>
                    <xdr:rowOff>123825</xdr:rowOff>
                  </from>
                  <to>
                    <xdr:col>10</xdr:col>
                    <xdr:colOff>47625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9" name="Check Box 13">
              <controlPr defaultSize="0" print="0" autoFill="0" autoLine="0" autoPict="0">
                <anchor moveWithCells="1">
                  <from>
                    <xdr:col>8</xdr:col>
                    <xdr:colOff>123825</xdr:colOff>
                    <xdr:row>18</xdr:row>
                    <xdr:rowOff>133350</xdr:rowOff>
                  </from>
                  <to>
                    <xdr:col>10</xdr:col>
                    <xdr:colOff>57150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4" r:id="rId10" name="Check Box 14">
              <controlPr defaultSize="0" print="0" autoFill="0" autoLine="0" autoPict="0">
                <anchor moveWithCells="1">
                  <from>
                    <xdr:col>8</xdr:col>
                    <xdr:colOff>123825</xdr:colOff>
                    <xdr:row>12</xdr:row>
                    <xdr:rowOff>123825</xdr:rowOff>
                  </from>
                  <to>
                    <xdr:col>10</xdr:col>
                    <xdr:colOff>47625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5" r:id="rId11" name="Check Box 15">
              <controlPr defaultSize="0" print="0" autoFill="0" autoLine="0" autoPict="0">
                <anchor moveWithCells="1">
                  <from>
                    <xdr:col>8</xdr:col>
                    <xdr:colOff>123825</xdr:colOff>
                    <xdr:row>14</xdr:row>
                    <xdr:rowOff>123825</xdr:rowOff>
                  </from>
                  <to>
                    <xdr:col>10</xdr:col>
                    <xdr:colOff>47625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6" r:id="rId12" name="Button 16">
              <controlPr defaultSize="0" print="0" autoFill="0" autoPict="0" macro="[0]!modifie_rembt_QuandClic">
                <anchor moveWithCells="1" sizeWithCells="1">
                  <from>
                    <xdr:col>10</xdr:col>
                    <xdr:colOff>123825</xdr:colOff>
                    <xdr:row>6</xdr:row>
                    <xdr:rowOff>219075</xdr:rowOff>
                  </from>
                  <to>
                    <xdr:col>11</xdr:col>
                    <xdr:colOff>561975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7" r:id="rId13" name="Button 17">
              <controlPr defaultSize="0" print="0" autoFill="0" autoPict="0" macro="[0]!supprimer_rembt_QuandClic">
                <anchor moveWithCells="1" sizeWithCells="1">
                  <from>
                    <xdr:col>10</xdr:col>
                    <xdr:colOff>104775</xdr:colOff>
                    <xdr:row>9</xdr:row>
                    <xdr:rowOff>76200</xdr:rowOff>
                  </from>
                  <to>
                    <xdr:col>11</xdr:col>
                    <xdr:colOff>561975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8" r:id="rId14" name="Button 18">
              <controlPr defaultSize="0" print="0" autoFill="0" autoPict="0" macro="[0]!retou_gestion_adherent_QuandClic">
                <anchor moveWithCells="1" sizeWithCells="1">
                  <from>
                    <xdr:col>10</xdr:col>
                    <xdr:colOff>133350</xdr:colOff>
                    <xdr:row>13</xdr:row>
                    <xdr:rowOff>152400</xdr:rowOff>
                  </from>
                  <to>
                    <xdr:col>11</xdr:col>
                    <xdr:colOff>342900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9" r:id="rId15" name="Drop Down 19">
              <controlPr defaultSize="0" autoLine="0" autoPict="0" macro="[0]!Zonecombinée19_QuandChangement">
                <anchor moveWithCells="1">
                  <from>
                    <xdr:col>3</xdr:col>
                    <xdr:colOff>9525</xdr:colOff>
                    <xdr:row>3</xdr:row>
                    <xdr:rowOff>133350</xdr:rowOff>
                  </from>
                  <to>
                    <xdr:col>4</xdr:col>
                    <xdr:colOff>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2" r:id="rId16" name="Check Box 22">
              <controlPr defaultSize="0" print="0" autoFill="0" autoLine="0" autoPict="0">
                <anchor moveWithCells="1">
                  <from>
                    <xdr:col>8</xdr:col>
                    <xdr:colOff>123825</xdr:colOff>
                    <xdr:row>20</xdr:row>
                    <xdr:rowOff>133350</xdr:rowOff>
                  </from>
                  <to>
                    <xdr:col>10</xdr:col>
                    <xdr:colOff>57150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3" r:id="rId17" name="Check Box 23">
              <controlPr defaultSize="0" print="0" autoFill="0" autoLine="0" autoPict="0">
                <anchor moveWithCells="1">
                  <from>
                    <xdr:col>8</xdr:col>
                    <xdr:colOff>123825</xdr:colOff>
                    <xdr:row>22</xdr:row>
                    <xdr:rowOff>133350</xdr:rowOff>
                  </from>
                  <to>
                    <xdr:col>10</xdr:col>
                    <xdr:colOff>57150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4" r:id="rId18" name="Check Box 24">
              <controlPr defaultSize="0" print="0" autoFill="0" autoLine="0" autoPict="0">
                <anchor moveWithCells="1">
                  <from>
                    <xdr:col>8</xdr:col>
                    <xdr:colOff>123825</xdr:colOff>
                    <xdr:row>24</xdr:row>
                    <xdr:rowOff>133350</xdr:rowOff>
                  </from>
                  <to>
                    <xdr:col>10</xdr:col>
                    <xdr:colOff>57150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7" r:id="rId19" name="Check Box 27">
              <controlPr defaultSize="0" print="0" autoFill="0" autoLine="0" autoPict="0">
                <anchor moveWithCells="1">
                  <from>
                    <xdr:col>11</xdr:col>
                    <xdr:colOff>657225</xdr:colOff>
                    <xdr:row>2</xdr:row>
                    <xdr:rowOff>38100</xdr:rowOff>
                  </from>
                  <to>
                    <xdr:col>13</xdr:col>
                    <xdr:colOff>47625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8" r:id="rId20" name="Button 28">
              <controlPr defaultSize="0" print="0" autoFill="0" autoPict="0" macro="[0]!modif_rib">
                <anchor moveWithCells="1" sizeWithCells="1">
                  <from>
                    <xdr:col>10</xdr:col>
                    <xdr:colOff>142875</xdr:colOff>
                    <xdr:row>26</xdr:row>
                    <xdr:rowOff>47625</xdr:rowOff>
                  </from>
                  <to>
                    <xdr:col>11</xdr:col>
                    <xdr:colOff>609600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2" r:id="rId21" name="Button 32">
              <controlPr defaultSize="0" print="0" autoFill="0" autoPict="0" macro="[0]!Areemettre">
                <anchor moveWithCells="1" sizeWithCells="1">
                  <from>
                    <xdr:col>14</xdr:col>
                    <xdr:colOff>1152525</xdr:colOff>
                    <xdr:row>0</xdr:row>
                    <xdr:rowOff>76200</xdr:rowOff>
                  </from>
                  <to>
                    <xdr:col>14</xdr:col>
                    <xdr:colOff>1990725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3" r:id="rId22" name="Button 33">
              <controlPr defaultSize="0" print="0" autoFill="0" autoPict="0" macro="[0]!fiche_adherent">
                <anchor moveWithCells="1" sizeWithCells="1">
                  <from>
                    <xdr:col>10</xdr:col>
                    <xdr:colOff>114300</xdr:colOff>
                    <xdr:row>22</xdr:row>
                    <xdr:rowOff>38100</xdr:rowOff>
                  </from>
                  <to>
                    <xdr:col>11</xdr:col>
                    <xdr:colOff>466725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4" r:id="rId23" name="Button 34">
              <controlPr defaultSize="0" print="0" autoFill="0" autoPict="0" macro="[0]!refusdesubv">
                <anchor moveWithCells="1" sizeWithCells="1">
                  <from>
                    <xdr:col>10</xdr:col>
                    <xdr:colOff>114300</xdr:colOff>
                    <xdr:row>20</xdr:row>
                    <xdr:rowOff>66675</xdr:rowOff>
                  </from>
                  <to>
                    <xdr:col>11</xdr:col>
                    <xdr:colOff>466725</xdr:colOff>
                    <xdr:row>21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6" r:id="rId24" name="Button 36">
              <controlPr locked="0" defaultSize="0" print="0" autoFill="0" autoPict="0" macro="[0]!rbtpreced">
                <anchor moveWithCells="1" sizeWithCells="1">
                  <from>
                    <xdr:col>10</xdr:col>
                    <xdr:colOff>114300</xdr:colOff>
                    <xdr:row>17</xdr:row>
                    <xdr:rowOff>76200</xdr:rowOff>
                  </from>
                  <to>
                    <xdr:col>11</xdr:col>
                    <xdr:colOff>352425</xdr:colOff>
                    <xdr:row>18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9" r:id="rId25" name="Button 39">
              <controlPr locked="0" defaultSize="0" print="0" autoFill="0" autoPict="0" macro="[0]!rbtSuivant">
                <anchor moveWithCells="1" sizeWithCells="1">
                  <from>
                    <xdr:col>10</xdr:col>
                    <xdr:colOff>123825</xdr:colOff>
                    <xdr:row>12</xdr:row>
                    <xdr:rowOff>38100</xdr:rowOff>
                  </from>
                  <to>
                    <xdr:col>11</xdr:col>
                    <xdr:colOff>342900</xdr:colOff>
                    <xdr:row>13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2">
    <pageSetUpPr autoPageBreaks="0"/>
  </sheetPr>
  <dimension ref="A1:BN36"/>
  <sheetViews>
    <sheetView zoomScaleNormal="100" workbookViewId="0">
      <selection activeCell="F5" sqref="F5"/>
    </sheetView>
  </sheetViews>
  <sheetFormatPr baseColWidth="10" defaultColWidth="11.42578125" defaultRowHeight="12.75" x14ac:dyDescent="0.2"/>
  <cols>
    <col min="1" max="1" width="2.7109375" style="67" customWidth="1"/>
    <col min="2" max="2" width="10" style="67" customWidth="1"/>
    <col min="3" max="3" width="0.85546875" style="67" customWidth="1"/>
    <col min="4" max="4" width="18.85546875" style="67" customWidth="1"/>
    <col min="5" max="5" width="1.140625" style="67" customWidth="1"/>
    <col min="6" max="6" width="43.28515625" style="67" customWidth="1"/>
    <col min="7" max="7" width="1.7109375" style="67" customWidth="1"/>
    <col min="8" max="8" width="9.7109375" style="294" customWidth="1"/>
    <col min="9" max="9" width="2.140625" style="67" customWidth="1"/>
    <col min="10" max="10" width="3.5703125" style="67" customWidth="1"/>
    <col min="11" max="11" width="11.42578125" style="67"/>
    <col min="12" max="12" width="2.140625" style="67" customWidth="1"/>
    <col min="13" max="13" width="11.42578125" style="67"/>
    <col min="14" max="14" width="2.140625" style="67" customWidth="1"/>
    <col min="15" max="15" width="12.5703125" style="67" customWidth="1"/>
    <col min="16" max="16" width="2.140625" style="67" customWidth="1"/>
    <col min="17" max="17" width="11.85546875" style="67" customWidth="1"/>
    <col min="18" max="18" width="1.7109375" style="67" customWidth="1"/>
    <col min="19" max="19" width="3.140625" style="67" customWidth="1"/>
    <col min="20" max="20" width="18.140625" style="67" customWidth="1"/>
    <col min="21" max="21" width="8.85546875" style="67" customWidth="1"/>
    <col min="22" max="16384" width="11.42578125" style="67"/>
  </cols>
  <sheetData>
    <row r="1" spans="1:66" ht="26.25" customHeight="1" x14ac:dyDescent="0.35">
      <c r="D1" s="71" t="s">
        <v>1367</v>
      </c>
      <c r="E1" s="69"/>
      <c r="F1" s="70" t="s">
        <v>667</v>
      </c>
      <c r="J1" s="328"/>
      <c r="K1" s="328"/>
      <c r="BN1" s="67" t="s">
        <v>2052</v>
      </c>
    </row>
    <row r="2" spans="1:66" x14ac:dyDescent="0.2">
      <c r="AD2" s="67" t="s">
        <v>142</v>
      </c>
    </row>
    <row r="3" spans="1:66" x14ac:dyDescent="0.2">
      <c r="A3" s="280"/>
      <c r="B3" s="281" t="s">
        <v>3924</v>
      </c>
      <c r="C3" s="281"/>
      <c r="D3" s="281" t="s">
        <v>2129</v>
      </c>
      <c r="E3" s="281"/>
      <c r="F3" s="281" t="s">
        <v>2128</v>
      </c>
      <c r="G3" s="281"/>
      <c r="H3" s="283" t="s">
        <v>2759</v>
      </c>
      <c r="I3" s="282"/>
      <c r="J3" s="283"/>
      <c r="K3" s="283" t="s">
        <v>3925</v>
      </c>
      <c r="L3" s="282"/>
      <c r="M3" s="283" t="s">
        <v>3926</v>
      </c>
      <c r="N3" s="282"/>
      <c r="O3" s="283" t="s">
        <v>3927</v>
      </c>
      <c r="P3" s="282"/>
      <c r="Q3" s="283" t="s">
        <v>3928</v>
      </c>
      <c r="R3" s="297"/>
      <c r="S3" s="296"/>
    </row>
    <row r="4" spans="1:66" x14ac:dyDescent="0.2">
      <c r="A4" s="285"/>
      <c r="B4" s="260"/>
      <c r="C4" s="260"/>
      <c r="D4" s="260"/>
      <c r="E4" s="260"/>
      <c r="F4" s="260"/>
      <c r="G4" s="260"/>
      <c r="H4" s="261"/>
      <c r="I4" s="260"/>
      <c r="J4" s="260"/>
      <c r="K4" s="260"/>
      <c r="L4" s="260"/>
      <c r="M4" s="291"/>
      <c r="N4" s="260"/>
      <c r="O4" s="260"/>
      <c r="P4" s="260"/>
      <c r="Q4" s="260"/>
      <c r="R4" s="286"/>
      <c r="U4" s="260"/>
    </row>
    <row r="5" spans="1:66" ht="15.75" x14ac:dyDescent="0.25">
      <c r="A5" s="285"/>
      <c r="B5" s="262">
        <v>42275</v>
      </c>
      <c r="C5" s="260"/>
      <c r="D5" s="260"/>
      <c r="E5" s="260"/>
      <c r="F5" s="263"/>
      <c r="G5" s="260"/>
      <c r="H5" s="293"/>
      <c r="I5" s="335" t="s">
        <v>2760</v>
      </c>
      <c r="J5" s="336"/>
      <c r="K5" s="264"/>
      <c r="L5" s="260"/>
      <c r="M5" s="264"/>
      <c r="N5" s="260"/>
      <c r="O5" s="264"/>
      <c r="P5" s="260"/>
      <c r="Q5" s="264"/>
      <c r="R5" s="298"/>
      <c r="S5" s="248"/>
      <c r="U5" s="247"/>
    </row>
    <row r="6" spans="1:66" x14ac:dyDescent="0.2">
      <c r="A6" s="287"/>
      <c r="B6" s="288"/>
      <c r="C6" s="288"/>
      <c r="D6" s="288"/>
      <c r="E6" s="288"/>
      <c r="F6" s="288"/>
      <c r="G6" s="288"/>
      <c r="H6" s="289"/>
      <c r="I6" s="288"/>
      <c r="J6" s="288"/>
      <c r="K6" s="288"/>
      <c r="L6" s="288"/>
      <c r="M6" s="288"/>
      <c r="N6" s="288"/>
      <c r="O6" s="288"/>
      <c r="P6" s="288"/>
      <c r="Q6" s="288"/>
      <c r="R6" s="290"/>
    </row>
    <row r="7" spans="1:66" ht="18.75" customHeight="1" x14ac:dyDescent="0.2">
      <c r="H7" s="74"/>
      <c r="K7" s="82"/>
    </row>
    <row r="8" spans="1:66" x14ac:dyDescent="0.2">
      <c r="B8" s="262">
        <v>42273</v>
      </c>
      <c r="C8" s="72"/>
      <c r="D8" s="79" t="s">
        <v>3906</v>
      </c>
      <c r="E8" s="72"/>
      <c r="F8" s="244" t="s">
        <v>3963</v>
      </c>
      <c r="G8" s="72"/>
      <c r="H8" s="75">
        <v>100</v>
      </c>
      <c r="K8" s="299" t="s">
        <v>3969</v>
      </c>
      <c r="M8" s="75">
        <v>50</v>
      </c>
      <c r="O8" s="75">
        <v>0</v>
      </c>
      <c r="Q8" s="75">
        <v>0</v>
      </c>
    </row>
    <row r="9" spans="1:66" x14ac:dyDescent="0.2">
      <c r="B9" s="80"/>
      <c r="C9" s="72"/>
      <c r="D9" s="72"/>
      <c r="E9" s="72"/>
      <c r="F9" s="72"/>
      <c r="G9" s="72"/>
      <c r="H9" s="76"/>
    </row>
    <row r="10" spans="1:66" x14ac:dyDescent="0.2">
      <c r="B10" s="262"/>
      <c r="C10" s="72"/>
      <c r="D10" s="79"/>
      <c r="E10" s="72"/>
      <c r="F10" s="244"/>
      <c r="G10" s="72"/>
      <c r="H10" s="75"/>
      <c r="K10" s="299"/>
      <c r="M10" s="75"/>
      <c r="O10" s="75"/>
      <c r="Q10" s="75"/>
    </row>
    <row r="11" spans="1:66" x14ac:dyDescent="0.2">
      <c r="B11" s="80"/>
      <c r="C11" s="72"/>
      <c r="D11" s="72"/>
      <c r="E11" s="72"/>
      <c r="F11" s="72"/>
      <c r="G11" s="72"/>
      <c r="H11" s="76"/>
    </row>
    <row r="12" spans="1:66" x14ac:dyDescent="0.2">
      <c r="B12" s="262"/>
      <c r="C12" s="72"/>
      <c r="D12" s="79"/>
      <c r="E12" s="72"/>
      <c r="F12" s="244"/>
      <c r="G12" s="72"/>
      <c r="H12" s="75"/>
      <c r="K12" s="299"/>
      <c r="M12" s="75"/>
      <c r="O12" s="75"/>
      <c r="Q12" s="75"/>
    </row>
    <row r="13" spans="1:66" x14ac:dyDescent="0.2">
      <c r="B13" s="80"/>
      <c r="C13" s="72"/>
      <c r="D13" s="72"/>
      <c r="E13" s="72"/>
      <c r="F13" s="72"/>
      <c r="G13" s="72"/>
      <c r="H13" s="76"/>
    </row>
    <row r="14" spans="1:66" x14ac:dyDescent="0.2">
      <c r="B14" s="262"/>
      <c r="C14" s="72"/>
      <c r="D14" s="79"/>
      <c r="E14" s="72"/>
      <c r="F14" s="73"/>
      <c r="G14" s="72"/>
      <c r="H14" s="75"/>
      <c r="K14" s="299"/>
      <c r="M14" s="75"/>
      <c r="O14" s="75"/>
      <c r="Q14" s="75"/>
    </row>
    <row r="15" spans="1:66" x14ac:dyDescent="0.2">
      <c r="B15" s="80"/>
      <c r="C15" s="72"/>
      <c r="D15" s="72"/>
      <c r="E15" s="72"/>
      <c r="F15" s="72"/>
      <c r="G15" s="72"/>
      <c r="H15" s="76"/>
      <c r="V15" s="246"/>
    </row>
    <row r="16" spans="1:66" x14ac:dyDescent="0.2">
      <c r="B16" s="262"/>
      <c r="C16" s="72"/>
      <c r="D16" s="79"/>
      <c r="E16" s="72"/>
      <c r="F16" s="244"/>
      <c r="G16" s="72"/>
      <c r="H16" s="75"/>
      <c r="K16" s="299"/>
      <c r="M16" s="75"/>
      <c r="O16" s="75"/>
      <c r="Q16" s="75"/>
    </row>
    <row r="17" spans="1:17" x14ac:dyDescent="0.2">
      <c r="B17" s="80"/>
      <c r="C17" s="72"/>
      <c r="D17" s="72"/>
      <c r="E17" s="72"/>
      <c r="F17" s="72"/>
      <c r="G17" s="72"/>
      <c r="H17" s="76"/>
    </row>
    <row r="18" spans="1:17" x14ac:dyDescent="0.2">
      <c r="B18" s="262"/>
      <c r="C18" s="72"/>
      <c r="D18" s="79"/>
      <c r="E18" s="72"/>
      <c r="F18" s="244"/>
      <c r="G18" s="72"/>
      <c r="H18" s="75"/>
      <c r="K18" s="299"/>
      <c r="M18" s="75"/>
      <c r="O18" s="75"/>
      <c r="Q18" s="75"/>
    </row>
    <row r="19" spans="1:17" ht="12.75" customHeight="1" x14ac:dyDescent="0.2">
      <c r="B19" s="80"/>
      <c r="C19" s="72"/>
      <c r="D19" s="72"/>
      <c r="E19" s="72"/>
      <c r="F19" s="72"/>
      <c r="G19" s="72"/>
      <c r="H19" s="76"/>
    </row>
    <row r="20" spans="1:17" x14ac:dyDescent="0.2">
      <c r="B20" s="262"/>
      <c r="C20" s="72"/>
      <c r="D20" s="79"/>
      <c r="E20" s="72"/>
      <c r="F20" s="244"/>
      <c r="G20" s="72"/>
      <c r="H20" s="75"/>
      <c r="K20" s="299"/>
      <c r="M20" s="75"/>
      <c r="O20" s="75"/>
      <c r="Q20" s="75"/>
    </row>
    <row r="21" spans="1:17" ht="12.75" customHeight="1" x14ac:dyDescent="0.2">
      <c r="B21" s="80"/>
      <c r="C21" s="72"/>
      <c r="D21" s="72"/>
      <c r="E21" s="72"/>
      <c r="F21" s="72"/>
      <c r="G21" s="72"/>
      <c r="H21" s="76"/>
    </row>
    <row r="22" spans="1:17" x14ac:dyDescent="0.2">
      <c r="B22" s="262"/>
      <c r="C22" s="72"/>
      <c r="D22" s="79"/>
      <c r="E22" s="72"/>
      <c r="F22" s="244"/>
      <c r="G22" s="72"/>
      <c r="H22" s="75"/>
      <c r="K22" s="299"/>
      <c r="M22" s="75"/>
      <c r="O22" s="75"/>
      <c r="Q22" s="75"/>
    </row>
    <row r="23" spans="1:17" ht="12.75" customHeight="1" x14ac:dyDescent="0.2">
      <c r="B23" s="80"/>
      <c r="C23" s="72"/>
      <c r="D23" s="72"/>
      <c r="E23" s="72"/>
      <c r="F23" s="72"/>
      <c r="G23" s="72"/>
      <c r="H23" s="76"/>
    </row>
    <row r="24" spans="1:17" x14ac:dyDescent="0.2">
      <c r="B24" s="80"/>
      <c r="C24" s="72"/>
      <c r="D24" s="72"/>
      <c r="E24" s="72"/>
      <c r="F24" s="72"/>
      <c r="G24" s="72"/>
      <c r="H24" s="76"/>
    </row>
    <row r="25" spans="1:17" ht="12.75" customHeight="1" x14ac:dyDescent="0.2">
      <c r="B25" s="80"/>
      <c r="C25" s="72"/>
      <c r="D25" s="72"/>
      <c r="E25" s="72"/>
      <c r="F25" s="72"/>
      <c r="G25" s="72"/>
      <c r="H25" s="76"/>
    </row>
    <row r="26" spans="1:17" x14ac:dyDescent="0.2">
      <c r="B26" s="80"/>
      <c r="C26" s="72"/>
      <c r="D26" s="72"/>
      <c r="E26" s="72"/>
      <c r="F26" s="72"/>
      <c r="G26" s="72"/>
      <c r="H26" s="76"/>
    </row>
    <row r="27" spans="1:17" x14ac:dyDescent="0.2">
      <c r="A27" s="80"/>
      <c r="B27" s="80"/>
      <c r="H27" s="67"/>
    </row>
    <row r="28" spans="1:17" x14ac:dyDescent="0.2">
      <c r="B28" s="83" t="s">
        <v>127</v>
      </c>
      <c r="D28" s="332" t="s">
        <v>3913</v>
      </c>
      <c r="E28" s="333"/>
      <c r="F28" s="333"/>
      <c r="G28" s="333"/>
      <c r="H28" s="333"/>
    </row>
    <row r="29" spans="1:17" x14ac:dyDescent="0.2">
      <c r="A29" s="83"/>
      <c r="B29" s="83" t="s">
        <v>123</v>
      </c>
      <c r="C29" s="83"/>
      <c r="D29" s="83" t="s">
        <v>3914</v>
      </c>
      <c r="E29" s="83"/>
      <c r="F29" s="83"/>
      <c r="G29" s="83"/>
      <c r="H29" s="181"/>
    </row>
    <row r="30" spans="1:17" ht="21.75" customHeight="1" x14ac:dyDescent="0.2">
      <c r="B30" s="334"/>
      <c r="C30" s="334"/>
      <c r="D30" s="334"/>
      <c r="E30" s="295"/>
      <c r="F30" s="191"/>
    </row>
    <row r="31" spans="1:17" ht="18" customHeight="1" x14ac:dyDescent="0.2">
      <c r="B31" s="331"/>
      <c r="C31" s="331"/>
      <c r="D31" s="331"/>
      <c r="E31" s="331"/>
      <c r="F31" s="331"/>
    </row>
    <row r="32" spans="1:17" ht="20.25" customHeight="1" x14ac:dyDescent="0.2">
      <c r="B32" s="331"/>
      <c r="C32" s="331"/>
      <c r="D32" s="331"/>
      <c r="E32" s="331"/>
      <c r="F32" s="331"/>
    </row>
    <row r="34" spans="2:6" ht="15.75" x14ac:dyDescent="0.25">
      <c r="B34" s="212" t="s">
        <v>3966</v>
      </c>
      <c r="C34" s="212"/>
      <c r="D34" s="212"/>
      <c r="E34" s="212"/>
      <c r="F34" s="212"/>
    </row>
    <row r="35" spans="2:6" x14ac:dyDescent="0.2">
      <c r="B35" s="83"/>
    </row>
    <row r="36" spans="2:6" x14ac:dyDescent="0.2">
      <c r="B36" s="83"/>
      <c r="C36" s="83" t="s">
        <v>3968</v>
      </c>
      <c r="D36" s="83"/>
      <c r="E36" s="83"/>
      <c r="F36" s="83"/>
    </row>
  </sheetData>
  <sheetProtection sheet="1" objects="1" scenarios="1"/>
  <mergeCells count="5">
    <mergeCell ref="J1:K1"/>
    <mergeCell ref="I5:J5"/>
    <mergeCell ref="D28:H28"/>
    <mergeCell ref="B30:D30"/>
    <mergeCell ref="B31:F32"/>
  </mergeCells>
  <pageMargins left="0.78740157499999996" right="0.78740157499999996" top="0.984251969" bottom="0.984251969" header="0.4921259845" footer="0.4921259845"/>
  <pageSetup paperSize="9" orientation="landscape" horizontalDpi="1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30" r:id="rId4" name="Check Box 2">
              <controlPr defaultSize="0" print="0" autoFill="0" autoLine="0" autoPict="0">
                <anchor moveWithCells="1">
                  <from>
                    <xdr:col>18</xdr:col>
                    <xdr:colOff>0</xdr:colOff>
                    <xdr:row>6</xdr:row>
                    <xdr:rowOff>200025</xdr:rowOff>
                  </from>
                  <to>
                    <xdr:col>19</xdr:col>
                    <xdr:colOff>28575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5" name="Check Box 3">
              <controlPr defaultSize="0" print="0" autoFill="0" autoLine="0" autoPict="0">
                <anchor moveWithCells="1">
                  <from>
                    <xdr:col>18</xdr:col>
                    <xdr:colOff>0</xdr:colOff>
                    <xdr:row>10</xdr:row>
                    <xdr:rowOff>57150</xdr:rowOff>
                  </from>
                  <to>
                    <xdr:col>19</xdr:col>
                    <xdr:colOff>95250</xdr:colOff>
                    <xdr:row>11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6" name="Check Box 4">
              <controlPr defaultSize="0" print="0" autoFill="0" autoLine="0" autoPict="0">
                <anchor moveWithCells="1">
                  <from>
                    <xdr:col>18</xdr:col>
                    <xdr:colOff>0</xdr:colOff>
                    <xdr:row>8</xdr:row>
                    <xdr:rowOff>76200</xdr:rowOff>
                  </from>
                  <to>
                    <xdr:col>19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7" name="Check Box 7">
              <controlPr defaultSize="0" print="0" autoFill="0" autoLine="0" autoPict="0">
                <anchor moveWithCells="1">
                  <from>
                    <xdr:col>18</xdr:col>
                    <xdr:colOff>0</xdr:colOff>
                    <xdr:row>12</xdr:row>
                    <xdr:rowOff>76200</xdr:rowOff>
                  </from>
                  <to>
                    <xdr:col>19</xdr:col>
                    <xdr:colOff>95250</xdr:colOff>
                    <xdr:row>13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8" name="Check Box 8">
              <controlPr defaultSize="0" print="0" autoFill="0" autoLine="0" autoPict="0">
                <anchor moveWithCells="1">
                  <from>
                    <xdr:col>18</xdr:col>
                    <xdr:colOff>0</xdr:colOff>
                    <xdr:row>14</xdr:row>
                    <xdr:rowOff>76200</xdr:rowOff>
                  </from>
                  <to>
                    <xdr:col>19</xdr:col>
                    <xdr:colOff>95250</xdr:colOff>
                    <xdr:row>15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9" name="Button 11">
              <controlPr defaultSize="0" print="0" autoFill="0" autoPict="0" macro="[0]!retou_gestion_adherent_QuandClic">
                <anchor moveWithCells="1" sizeWithCells="1">
                  <from>
                    <xdr:col>14</xdr:col>
                    <xdr:colOff>514350</xdr:colOff>
                    <xdr:row>23</xdr:row>
                    <xdr:rowOff>47625</xdr:rowOff>
                  </from>
                  <to>
                    <xdr:col>18</xdr:col>
                    <xdr:colOff>66675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0" name="Drop Down 12">
              <controlPr defaultSize="0" autoLine="0" autoPict="0" macro="[0]!Zonecombinée19_QuandChangement">
                <anchor moveWithCells="1">
                  <from>
                    <xdr:col>3</xdr:col>
                    <xdr:colOff>9525</xdr:colOff>
                    <xdr:row>3</xdr:row>
                    <xdr:rowOff>133350</xdr:rowOff>
                  </from>
                  <to>
                    <xdr:col>4</xdr:col>
                    <xdr:colOff>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1" name="Check Box 16">
              <controlPr defaultSize="0" print="0" autoFill="0" autoLine="0" autoPict="0">
                <anchor moveWithCells="1">
                  <from>
                    <xdr:col>14</xdr:col>
                    <xdr:colOff>790575</xdr:colOff>
                    <xdr:row>0</xdr:row>
                    <xdr:rowOff>161925</xdr:rowOff>
                  </from>
                  <to>
                    <xdr:col>16</xdr:col>
                    <xdr:colOff>638175</xdr:colOff>
                    <xdr:row>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12" name="Button 17">
              <controlPr defaultSize="0" print="0" autoFill="0" autoPict="0" macro="[0]!modif_rib">
                <anchor moveWithCells="1" sizeWithCells="1">
                  <from>
                    <xdr:col>10</xdr:col>
                    <xdr:colOff>142875</xdr:colOff>
                    <xdr:row>26</xdr:row>
                    <xdr:rowOff>47625</xdr:rowOff>
                  </from>
                  <to>
                    <xdr:col>12</xdr:col>
                    <xdr:colOff>590550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13" name="Button 18">
              <controlPr defaultSize="0" print="0" autoFill="0" autoPict="0" macro="[0]!Areemettre">
                <anchor moveWithCells="1" sizeWithCells="1">
                  <from>
                    <xdr:col>19</xdr:col>
                    <xdr:colOff>257175</xdr:colOff>
                    <xdr:row>0</xdr:row>
                    <xdr:rowOff>104775</xdr:rowOff>
                  </from>
                  <to>
                    <xdr:col>19</xdr:col>
                    <xdr:colOff>1057275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14" name="Button 19">
              <controlPr defaultSize="0" print="0" autoFill="0" autoPict="0" macro="[0]!fiche_adherent">
                <anchor moveWithCells="1" sizeWithCells="1">
                  <from>
                    <xdr:col>13</xdr:col>
                    <xdr:colOff>123825</xdr:colOff>
                    <xdr:row>26</xdr:row>
                    <xdr:rowOff>95250</xdr:rowOff>
                  </from>
                  <to>
                    <xdr:col>18</xdr:col>
                    <xdr:colOff>57150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1" r:id="rId15" name="Check Box 23">
              <controlPr defaultSize="0" print="0" autoFill="0" autoLine="0" autoPict="0">
                <anchor moveWithCells="1">
                  <from>
                    <xdr:col>17</xdr:col>
                    <xdr:colOff>104775</xdr:colOff>
                    <xdr:row>16</xdr:row>
                    <xdr:rowOff>104775</xdr:rowOff>
                  </from>
                  <to>
                    <xdr:col>19</xdr:col>
                    <xdr:colOff>85725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2" r:id="rId16" name="Check Box 24">
              <controlPr defaultSize="0" print="0" autoFill="0" autoLine="0" autoPict="0">
                <anchor moveWithCells="1">
                  <from>
                    <xdr:col>17</xdr:col>
                    <xdr:colOff>104775</xdr:colOff>
                    <xdr:row>18</xdr:row>
                    <xdr:rowOff>152400</xdr:rowOff>
                  </from>
                  <to>
                    <xdr:col>19</xdr:col>
                    <xdr:colOff>85725</xdr:colOff>
                    <xdr:row>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17" name="Check Box 26">
              <controlPr defaultSize="0" print="0" autoFill="0" autoLine="0" autoPict="0">
                <anchor moveWithCells="1">
                  <from>
                    <xdr:col>17</xdr:col>
                    <xdr:colOff>104775</xdr:colOff>
                    <xdr:row>20</xdr:row>
                    <xdr:rowOff>142875</xdr:rowOff>
                  </from>
                  <to>
                    <xdr:col>19</xdr:col>
                    <xdr:colOff>85725</xdr:colOff>
                    <xdr:row>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18" name="Button 28">
              <controlPr defaultSize="0" print="0" autoFill="0" autoPict="0" macro="[0]!ajouter_PLVT_QuandClic">
                <anchor moveWithCells="1" sizeWithCells="1">
                  <from>
                    <xdr:col>18</xdr:col>
                    <xdr:colOff>161925</xdr:colOff>
                    <xdr:row>3</xdr:row>
                    <xdr:rowOff>123825</xdr:rowOff>
                  </from>
                  <to>
                    <xdr:col>19</xdr:col>
                    <xdr:colOff>1057275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19" name="Button 29">
              <controlPr defaultSize="0" print="0" autoFill="0" autoPict="0" macro="[0]!supprimer_PLVt_QuandClic">
                <anchor moveWithCells="1" sizeWithCells="1">
                  <from>
                    <xdr:col>19</xdr:col>
                    <xdr:colOff>104775</xdr:colOff>
                    <xdr:row>6</xdr:row>
                    <xdr:rowOff>171450</xdr:rowOff>
                  </from>
                  <to>
                    <xdr:col>19</xdr:col>
                    <xdr:colOff>1133475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20" name="Button 30">
              <controlPr defaultSize="0" print="0" autoFill="0" autoPict="0" macro="[0]!modifie_plvt_QuandClic">
                <anchor moveWithCells="1" sizeWithCells="1">
                  <from>
                    <xdr:col>19</xdr:col>
                    <xdr:colOff>123825</xdr:colOff>
                    <xdr:row>10</xdr:row>
                    <xdr:rowOff>57150</xdr:rowOff>
                  </from>
                  <to>
                    <xdr:col>19</xdr:col>
                    <xdr:colOff>1190625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3:V28"/>
  <sheetViews>
    <sheetView workbookViewId="0">
      <selection activeCell="E5" sqref="E5"/>
    </sheetView>
  </sheetViews>
  <sheetFormatPr baseColWidth="10" defaultColWidth="11.42578125" defaultRowHeight="12" customHeight="1" x14ac:dyDescent="0.2"/>
  <cols>
    <col min="1" max="1" width="11.42578125" style="87"/>
    <col min="2" max="2" width="12" style="87" customWidth="1"/>
    <col min="3" max="3" width="11.42578125" style="87"/>
    <col min="4" max="4" width="4" style="88" customWidth="1"/>
    <col min="5" max="5" width="2.85546875" style="87" customWidth="1"/>
    <col min="6" max="6" width="2.42578125" style="87" customWidth="1"/>
    <col min="7" max="7" width="7" style="87" customWidth="1"/>
    <col min="8" max="8" width="2.42578125" style="87" customWidth="1"/>
    <col min="9" max="9" width="7" style="87" customWidth="1"/>
    <col min="10" max="10" width="2.42578125" style="87" customWidth="1"/>
    <col min="11" max="11" width="7" style="87" customWidth="1"/>
    <col min="12" max="12" width="2.28515625" style="87" customWidth="1"/>
    <col min="13" max="13" width="6.5703125" style="87" customWidth="1"/>
    <col min="14" max="14" width="2.85546875" style="87" customWidth="1"/>
    <col min="15" max="15" width="6.28515625" style="87" customWidth="1"/>
    <col min="16" max="16" width="2.140625" style="87" customWidth="1"/>
    <col min="17" max="17" width="6.5703125" style="87" customWidth="1"/>
    <col min="18" max="16384" width="11.42578125" style="87"/>
  </cols>
  <sheetData>
    <row r="3" spans="1:22" ht="12" customHeight="1" x14ac:dyDescent="0.2">
      <c r="B3" s="89" t="s">
        <v>147</v>
      </c>
      <c r="D3" s="337" t="s">
        <v>4936</v>
      </c>
      <c r="E3" s="338"/>
      <c r="F3" s="338"/>
      <c r="G3" s="338"/>
      <c r="H3" s="338"/>
      <c r="I3" s="338"/>
      <c r="J3" s="338"/>
      <c r="K3" s="338"/>
    </row>
    <row r="5" spans="1:22" ht="12" customHeight="1" x14ac:dyDescent="0.2">
      <c r="B5" s="89" t="s">
        <v>123</v>
      </c>
      <c r="D5" s="215" t="s">
        <v>1444</v>
      </c>
      <c r="E5" s="245" t="s">
        <v>4627</v>
      </c>
      <c r="F5" s="221"/>
      <c r="G5" s="245" t="s">
        <v>4748</v>
      </c>
      <c r="H5" s="221"/>
      <c r="I5" s="245" t="s">
        <v>4749</v>
      </c>
      <c r="J5" s="221"/>
      <c r="K5" s="245" t="s">
        <v>4933</v>
      </c>
      <c r="L5" s="222"/>
      <c r="M5" s="245" t="s">
        <v>4920</v>
      </c>
      <c r="N5" s="222"/>
      <c r="O5" s="245" t="s">
        <v>4934</v>
      </c>
      <c r="P5" s="222"/>
      <c r="Q5" s="245" t="s">
        <v>4935</v>
      </c>
    </row>
    <row r="7" spans="1:22" ht="12" customHeight="1" x14ac:dyDescent="0.2">
      <c r="B7" s="83" t="s">
        <v>128</v>
      </c>
      <c r="D7" s="339" t="s">
        <v>126</v>
      </c>
      <c r="E7" s="340"/>
      <c r="F7" s="341"/>
      <c r="G7" s="341"/>
      <c r="I7" s="67"/>
      <c r="J7" s="67"/>
      <c r="K7" s="67"/>
      <c r="L7" s="67"/>
      <c r="M7" s="67"/>
      <c r="N7" s="67"/>
      <c r="O7" s="67"/>
      <c r="P7" s="67"/>
      <c r="Q7" s="67"/>
      <c r="R7" s="67"/>
      <c r="S7" s="67"/>
      <c r="T7" s="346"/>
      <c r="U7" s="347"/>
      <c r="V7" s="347"/>
    </row>
    <row r="8" spans="1:22" ht="12" customHeight="1" x14ac:dyDescent="0.2">
      <c r="B8" s="83"/>
      <c r="D8" s="87"/>
      <c r="I8" s="215"/>
    </row>
    <row r="9" spans="1:22" ht="12" customHeight="1" x14ac:dyDescent="0.2">
      <c r="A9" s="67"/>
      <c r="B9" s="83"/>
      <c r="C9" s="67"/>
      <c r="D9" s="67"/>
      <c r="E9" s="67"/>
      <c r="F9" s="67"/>
      <c r="G9" s="67"/>
      <c r="H9" s="67"/>
      <c r="I9" s="67"/>
      <c r="J9" s="67"/>
      <c r="K9" s="67"/>
      <c r="L9" s="67"/>
      <c r="M9" s="67"/>
      <c r="N9" s="67"/>
      <c r="O9" s="67"/>
    </row>
    <row r="10" spans="1:22" ht="12" customHeight="1" x14ac:dyDescent="0.2">
      <c r="A10" s="67"/>
      <c r="B10" s="83" t="s">
        <v>143</v>
      </c>
      <c r="C10" s="67"/>
      <c r="D10" s="342">
        <v>42559</v>
      </c>
      <c r="E10" s="343"/>
      <c r="F10" s="217"/>
      <c r="G10" s="217"/>
      <c r="H10" s="217"/>
      <c r="I10" s="217"/>
      <c r="J10" s="67"/>
      <c r="K10" s="67"/>
      <c r="L10" s="67"/>
      <c r="M10" s="67"/>
      <c r="N10" s="67"/>
      <c r="O10" s="67"/>
    </row>
    <row r="11" spans="1:22" ht="12" customHeight="1" x14ac:dyDescent="0.2">
      <c r="A11" s="67"/>
      <c r="B11" s="83"/>
      <c r="C11" s="67"/>
      <c r="D11" s="216"/>
      <c r="E11" s="216"/>
      <c r="F11" s="217"/>
      <c r="G11" s="217"/>
      <c r="H11" s="217"/>
      <c r="I11" s="217"/>
      <c r="J11" s="67"/>
      <c r="K11" s="67"/>
      <c r="L11" s="67"/>
      <c r="M11" s="67"/>
      <c r="N11" s="67"/>
      <c r="O11" s="67"/>
    </row>
    <row r="12" spans="1:22" ht="12" customHeight="1" x14ac:dyDescent="0.2">
      <c r="A12" s="67"/>
      <c r="B12" s="83" t="s">
        <v>144</v>
      </c>
      <c r="C12" s="67"/>
      <c r="D12" s="344" t="s">
        <v>4931</v>
      </c>
      <c r="E12" s="345"/>
      <c r="F12" s="217"/>
      <c r="G12" s="217"/>
      <c r="H12" s="217"/>
      <c r="I12" s="217"/>
      <c r="J12" s="67"/>
      <c r="K12" s="67"/>
      <c r="L12" s="67"/>
      <c r="M12" s="67"/>
      <c r="N12" s="67"/>
      <c r="O12" s="67"/>
    </row>
    <row r="13" spans="1:22" ht="12" customHeight="1" x14ac:dyDescent="0.2">
      <c r="A13" s="67"/>
      <c r="B13" s="83"/>
      <c r="C13" s="67"/>
      <c r="D13" s="216"/>
      <c r="E13" s="216"/>
      <c r="F13" s="217"/>
      <c r="G13" s="217"/>
      <c r="H13" s="217"/>
      <c r="I13" s="217"/>
      <c r="J13" s="67"/>
      <c r="K13" s="67"/>
      <c r="L13" s="67"/>
      <c r="M13" s="67"/>
      <c r="N13" s="67"/>
      <c r="O13" s="67"/>
    </row>
    <row r="14" spans="1:22" ht="12" customHeight="1" x14ac:dyDescent="0.2">
      <c r="A14" s="67"/>
      <c r="B14" s="83" t="s">
        <v>145</v>
      </c>
      <c r="C14" s="67"/>
      <c r="D14" s="344" t="s">
        <v>4932</v>
      </c>
      <c r="E14" s="345"/>
      <c r="F14" s="345"/>
      <c r="G14" s="345"/>
      <c r="H14" s="345"/>
      <c r="I14" s="345"/>
      <c r="J14" s="67"/>
      <c r="K14" s="67"/>
      <c r="L14" s="67"/>
      <c r="M14" s="67"/>
      <c r="N14" s="67"/>
      <c r="O14" s="67"/>
      <c r="P14" s="67"/>
      <c r="Q14" s="67"/>
      <c r="R14" s="67"/>
      <c r="S14" s="67"/>
    </row>
    <row r="15" spans="1:22" ht="12" customHeight="1" x14ac:dyDescent="0.2">
      <c r="A15" s="67"/>
      <c r="B15" s="83"/>
      <c r="C15" s="67"/>
      <c r="D15" s="216"/>
      <c r="E15" s="216"/>
      <c r="F15" s="217"/>
      <c r="G15" s="217"/>
      <c r="H15" s="217"/>
      <c r="I15" s="217"/>
      <c r="J15" s="67"/>
      <c r="K15" s="67"/>
      <c r="L15" s="67"/>
      <c r="M15" s="67"/>
      <c r="N15" s="67"/>
      <c r="O15" s="67"/>
      <c r="P15" s="67"/>
      <c r="Q15" s="67"/>
      <c r="R15" s="67"/>
      <c r="S15" s="67"/>
    </row>
    <row r="16" spans="1:22" ht="12" customHeight="1" x14ac:dyDescent="0.2">
      <c r="A16" s="67"/>
      <c r="B16" s="83" t="s">
        <v>146</v>
      </c>
      <c r="C16" s="67"/>
      <c r="D16" s="221" t="s">
        <v>4865</v>
      </c>
      <c r="E16" s="216"/>
      <c r="F16" s="217"/>
      <c r="G16" s="217"/>
      <c r="H16" s="217"/>
      <c r="I16" s="217"/>
      <c r="J16" s="67"/>
      <c r="K16" s="67"/>
      <c r="L16" s="67"/>
      <c r="M16" s="67"/>
      <c r="N16" s="67"/>
      <c r="O16" s="67"/>
      <c r="P16" s="67"/>
      <c r="Q16" s="67"/>
      <c r="R16" s="67"/>
      <c r="S16" s="67"/>
    </row>
    <row r="17" spans="1:19" ht="12" customHeight="1" x14ac:dyDescent="0.2">
      <c r="A17" s="67"/>
      <c r="B17" s="83"/>
      <c r="C17" s="67"/>
      <c r="D17" s="218"/>
      <c r="E17" s="67"/>
      <c r="F17" s="67"/>
      <c r="G17" s="67"/>
      <c r="H17" s="67"/>
      <c r="I17" s="67"/>
      <c r="J17" s="67"/>
      <c r="K17" s="67"/>
      <c r="L17" s="67"/>
      <c r="M17" s="67"/>
      <c r="N17" s="67"/>
      <c r="O17" s="67"/>
      <c r="P17" s="67"/>
      <c r="Q17" s="67"/>
      <c r="R17" s="67"/>
      <c r="S17" s="67"/>
    </row>
    <row r="18" spans="1:19" ht="12" customHeight="1" x14ac:dyDescent="0.2">
      <c r="A18" s="67"/>
      <c r="B18" s="67"/>
      <c r="C18" s="67"/>
      <c r="D18" s="218"/>
      <c r="E18" s="67"/>
      <c r="F18" s="67"/>
      <c r="G18" s="67"/>
      <c r="H18" s="67"/>
      <c r="I18" s="67"/>
      <c r="J18" s="67"/>
      <c r="K18" s="67"/>
      <c r="L18" s="346"/>
      <c r="M18" s="347"/>
      <c r="N18" s="347"/>
      <c r="O18" s="67"/>
      <c r="P18" s="67"/>
      <c r="Q18" s="346"/>
      <c r="R18" s="347"/>
      <c r="S18" s="347"/>
    </row>
    <row r="19" spans="1:19" ht="12" customHeight="1" x14ac:dyDescent="0.2">
      <c r="A19" s="67"/>
      <c r="B19" s="219"/>
      <c r="C19" s="219"/>
      <c r="D19" s="220"/>
      <c r="E19" s="219"/>
      <c r="F19" s="219"/>
      <c r="G19" s="219"/>
      <c r="H19" s="219"/>
      <c r="I19" s="219"/>
      <c r="J19" s="219"/>
      <c r="K19" s="219"/>
      <c r="L19" s="67"/>
      <c r="M19" s="67"/>
      <c r="N19" s="67"/>
      <c r="O19" s="67"/>
      <c r="P19" s="67"/>
      <c r="Q19" s="67"/>
      <c r="R19" s="67"/>
      <c r="S19" s="67"/>
    </row>
    <row r="20" spans="1:19" ht="12" customHeight="1" x14ac:dyDescent="0.2">
      <c r="A20" s="67"/>
      <c r="B20" s="67"/>
      <c r="C20" s="67"/>
      <c r="D20" s="218"/>
      <c r="E20" s="67"/>
      <c r="F20" s="67"/>
      <c r="G20" s="67"/>
      <c r="H20" s="67"/>
      <c r="I20" s="67"/>
      <c r="J20" s="67"/>
      <c r="K20" s="67"/>
      <c r="L20" s="67"/>
      <c r="M20" s="67"/>
      <c r="N20" s="67"/>
      <c r="O20" s="67"/>
      <c r="P20" s="67"/>
      <c r="Q20" s="67"/>
      <c r="R20" s="67"/>
      <c r="S20" s="67"/>
    </row>
    <row r="21" spans="1:19" ht="12" customHeight="1" x14ac:dyDescent="0.2">
      <c r="A21" s="67"/>
      <c r="B21" s="67"/>
      <c r="C21" s="67"/>
      <c r="D21" s="218"/>
      <c r="E21" s="67"/>
      <c r="F21" s="67"/>
      <c r="G21" s="67"/>
      <c r="H21" s="67"/>
      <c r="I21" s="67"/>
      <c r="J21" s="67"/>
      <c r="K21" s="67"/>
      <c r="L21" s="67"/>
      <c r="M21" s="67"/>
      <c r="N21" s="67"/>
      <c r="O21" s="67"/>
      <c r="P21" s="67"/>
      <c r="Q21" s="67"/>
      <c r="R21" s="67"/>
      <c r="S21" s="67"/>
    </row>
    <row r="22" spans="1:19" ht="12" customHeight="1" x14ac:dyDescent="0.25">
      <c r="B22" s="213" t="s">
        <v>955</v>
      </c>
      <c r="C22" s="67"/>
      <c r="D22" s="218"/>
      <c r="E22" s="67"/>
      <c r="F22" s="218"/>
      <c r="G22" s="67"/>
      <c r="H22" s="218"/>
      <c r="I22" s="67"/>
      <c r="J22" s="218"/>
      <c r="K22" s="67"/>
      <c r="L22" s="67"/>
      <c r="M22" s="67"/>
      <c r="N22" s="67"/>
      <c r="O22" s="67"/>
      <c r="P22" s="67"/>
      <c r="Q22" s="67"/>
      <c r="R22" s="67"/>
      <c r="S22" s="67"/>
    </row>
    <row r="23" spans="1:19" ht="12" customHeight="1" x14ac:dyDescent="0.2">
      <c r="B23" s="90"/>
      <c r="C23" s="219"/>
      <c r="D23" s="219"/>
      <c r="E23" s="219"/>
      <c r="F23" s="219"/>
      <c r="G23" s="67"/>
      <c r="H23" s="219"/>
      <c r="I23" s="67"/>
      <c r="J23" s="219"/>
      <c r="K23" s="67"/>
      <c r="L23" s="67"/>
      <c r="M23" s="67"/>
      <c r="N23" s="67"/>
      <c r="O23" s="67"/>
      <c r="P23" s="67"/>
      <c r="Q23" s="67"/>
      <c r="R23" s="67"/>
      <c r="S23" s="67"/>
    </row>
    <row r="24" spans="1:19" ht="14.25" customHeight="1" x14ac:dyDescent="0.25">
      <c r="B24" s="213" t="s">
        <v>627</v>
      </c>
      <c r="C24" s="348" t="s">
        <v>1700</v>
      </c>
      <c r="D24" s="349"/>
      <c r="E24" s="349"/>
      <c r="F24" s="306"/>
      <c r="G24" s="306"/>
      <c r="H24" s="306"/>
      <c r="I24" s="67"/>
      <c r="J24" s="67"/>
      <c r="K24" s="67"/>
      <c r="L24" s="67"/>
      <c r="M24" s="67"/>
      <c r="N24" s="67"/>
      <c r="O24" s="67"/>
      <c r="P24" s="67"/>
      <c r="Q24" s="67"/>
      <c r="R24" s="67"/>
      <c r="S24" s="67"/>
    </row>
    <row r="25" spans="1:19" ht="12" customHeight="1" x14ac:dyDescent="0.2">
      <c r="I25" s="67"/>
      <c r="J25" s="67"/>
      <c r="K25" s="67"/>
      <c r="L25" s="67"/>
      <c r="M25" s="67"/>
      <c r="N25" s="67"/>
      <c r="O25" s="218"/>
      <c r="P25" s="67"/>
      <c r="Q25" s="67"/>
      <c r="R25" s="67"/>
      <c r="S25" s="67"/>
    </row>
    <row r="26" spans="1:19" ht="12" customHeight="1" x14ac:dyDescent="0.2">
      <c r="I26" s="67"/>
      <c r="J26" s="67"/>
      <c r="K26" s="67"/>
      <c r="L26" s="67"/>
      <c r="M26" s="67"/>
      <c r="N26" s="67"/>
      <c r="O26" s="67"/>
      <c r="P26" s="67"/>
      <c r="Q26" s="67"/>
      <c r="R26" s="67"/>
      <c r="S26" s="67"/>
    </row>
    <row r="27" spans="1:19" ht="12" customHeight="1" x14ac:dyDescent="0.2">
      <c r="B27" s="90"/>
      <c r="I27" s="67"/>
      <c r="J27" s="67"/>
      <c r="K27" s="67"/>
      <c r="L27" s="67"/>
      <c r="M27" s="67"/>
      <c r="N27" s="67"/>
      <c r="O27" s="67"/>
      <c r="P27" s="67"/>
      <c r="Q27" s="67"/>
      <c r="R27" s="67"/>
      <c r="S27" s="67"/>
    </row>
    <row r="28" spans="1:19" ht="12" customHeight="1" x14ac:dyDescent="0.2"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</row>
  </sheetData>
  <sheetProtection sheet="1" objects="1" scenarios="1"/>
  <mergeCells count="9">
    <mergeCell ref="L18:N18"/>
    <mergeCell ref="Q18:S18"/>
    <mergeCell ref="C24:H24"/>
    <mergeCell ref="D14:I14"/>
    <mergeCell ref="D3:K3"/>
    <mergeCell ref="D7:G7"/>
    <mergeCell ref="D10:E10"/>
    <mergeCell ref="D12:E12"/>
    <mergeCell ref="T7:V7"/>
  </mergeCells>
  <phoneticPr fontId="27" type="noConversion"/>
  <pageMargins left="0.78740157499999996" right="0.78740157499999996" top="0.984251969" bottom="0.984251969" header="0.4921259845" footer="0.4921259845"/>
  <pageSetup paperSize="9" orientation="portrait" horizontalDpi="1200" verticalDpi="1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modif_rib_ok">
                <anchor moveWithCells="1" sizeWithCells="1">
                  <from>
                    <xdr:col>1</xdr:col>
                    <xdr:colOff>628650</xdr:colOff>
                    <xdr:row>16</xdr:row>
                    <xdr:rowOff>123825</xdr:rowOff>
                  </from>
                  <to>
                    <xdr:col>4</xdr:col>
                    <xdr:colOff>47625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modif_rib_nok">
                <anchor moveWithCells="1" sizeWithCells="1">
                  <from>
                    <xdr:col>5</xdr:col>
                    <xdr:colOff>0</xdr:colOff>
                    <xdr:row>16</xdr:row>
                    <xdr:rowOff>114300</xdr:rowOff>
                  </from>
                  <to>
                    <xdr:col>8</xdr:col>
                    <xdr:colOff>219075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9" r:id="rId6" name="Option Button 7">
              <controlPr defaultSize="0" autoFill="0" autoLine="0" autoPict="0" macro="[0]!Casdoption7_QuandClic">
                <anchor moveWithCells="1">
                  <from>
                    <xdr:col>10</xdr:col>
                    <xdr:colOff>123825</xdr:colOff>
                    <xdr:row>20</xdr:row>
                    <xdr:rowOff>114300</xdr:rowOff>
                  </from>
                  <to>
                    <xdr:col>12</xdr:col>
                    <xdr:colOff>85725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0" r:id="rId7" name="Option Button 8">
              <controlPr defaultSize="0" autoFill="0" autoLine="0" autoPict="0" macro="[0]!Casdoption8_QuandClic">
                <anchor moveWithCells="1">
                  <from>
                    <xdr:col>12</xdr:col>
                    <xdr:colOff>0</xdr:colOff>
                    <xdr:row>20</xdr:row>
                    <xdr:rowOff>104775</xdr:rowOff>
                  </from>
                  <to>
                    <xdr:col>13</xdr:col>
                    <xdr:colOff>95250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3" r:id="rId8" name="Button 11">
              <controlPr defaultSize="0" print="0" autoFill="0" autoPict="0" macro="[0]!retou_gestion_adherent_QuandClic">
                <anchor moveWithCells="1" sizeWithCells="1">
                  <from>
                    <xdr:col>8</xdr:col>
                    <xdr:colOff>457200</xdr:colOff>
                    <xdr:row>16</xdr:row>
                    <xdr:rowOff>104775</xdr:rowOff>
                  </from>
                  <to>
                    <xdr:col>12</xdr:col>
                    <xdr:colOff>352425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S39"/>
  <sheetViews>
    <sheetView workbookViewId="0">
      <selection sqref="A1:R1048576"/>
    </sheetView>
  </sheetViews>
  <sheetFormatPr baseColWidth="10" defaultRowHeight="12.75" x14ac:dyDescent="0.2"/>
  <cols>
    <col min="1" max="1" width="16.140625" customWidth="1"/>
    <col min="2" max="2" width="13" customWidth="1"/>
    <col min="3" max="3" width="9.85546875" style="92" customWidth="1"/>
    <col min="4" max="4" width="30.85546875" style="97" customWidth="1"/>
    <col min="5" max="5" width="8.85546875" style="91" customWidth="1"/>
    <col min="6" max="6" width="7.28515625" style="91" customWidth="1"/>
    <col min="7" max="7" width="15.140625" style="91" customWidth="1"/>
    <col min="8" max="8" width="8.7109375" style="174" customWidth="1"/>
    <col min="9" max="9" width="24.85546875" style="97" customWidth="1"/>
    <col min="10" max="10" width="8.140625" style="97" customWidth="1"/>
    <col min="11" max="11" width="23.5703125" customWidth="1"/>
    <col min="12" max="12" width="7" customWidth="1"/>
    <col min="13" max="13" width="19.28515625" customWidth="1"/>
    <col min="14" max="14" width="18.7109375" customWidth="1"/>
    <col min="15" max="15" width="20.28515625" customWidth="1"/>
    <col min="16" max="16" width="12.85546875" customWidth="1"/>
    <col min="17" max="17" width="7.42578125" customWidth="1"/>
    <col min="18" max="18" width="4.140625" customWidth="1"/>
    <col min="19" max="19" width="11.42578125" style="110"/>
  </cols>
  <sheetData>
    <row r="1" spans="1:19" ht="25.5" customHeight="1" x14ac:dyDescent="0.2">
      <c r="A1" s="352" t="s">
        <v>1021</v>
      </c>
      <c r="B1" s="306"/>
      <c r="C1" s="306"/>
      <c r="D1" s="306"/>
      <c r="E1" s="351" t="s">
        <v>4884</v>
      </c>
      <c r="F1" s="351"/>
      <c r="G1" s="351"/>
      <c r="H1" s="351"/>
      <c r="I1" s="351"/>
      <c r="J1" s="112"/>
      <c r="K1" s="352"/>
      <c r="L1" s="306"/>
      <c r="M1" s="306"/>
      <c r="N1" s="306"/>
      <c r="O1" s="351"/>
      <c r="P1" s="351"/>
      <c r="Q1" s="351"/>
      <c r="R1" s="351"/>
      <c r="S1" s="112"/>
    </row>
    <row r="2" spans="1:19" ht="16.5" customHeight="1" x14ac:dyDescent="0.2">
      <c r="A2" s="111"/>
      <c r="B2" s="110"/>
      <c r="C2" s="110"/>
      <c r="D2" s="110"/>
      <c r="E2" s="112"/>
      <c r="F2" s="112"/>
      <c r="G2" s="112"/>
      <c r="H2" s="173"/>
      <c r="I2" s="112"/>
      <c r="J2" s="112"/>
    </row>
    <row r="3" spans="1:19" ht="16.5" customHeight="1" x14ac:dyDescent="0.2">
      <c r="A3" s="113" t="s">
        <v>1023</v>
      </c>
      <c r="B3" s="114">
        <v>21</v>
      </c>
      <c r="C3" s="116" t="s">
        <v>1024</v>
      </c>
      <c r="D3" s="115">
        <v>2803</v>
      </c>
      <c r="E3" s="268" t="s">
        <v>2768</v>
      </c>
      <c r="F3" s="112"/>
      <c r="G3" s="115">
        <v>6882.4</v>
      </c>
      <c r="H3" s="173"/>
      <c r="I3" s="112"/>
      <c r="J3" s="112"/>
      <c r="K3" s="113"/>
      <c r="L3" s="114"/>
      <c r="M3" s="116"/>
      <c r="N3" s="115"/>
    </row>
    <row r="4" spans="1:19" ht="16.5" customHeight="1" x14ac:dyDescent="0.2">
      <c r="A4" s="113" t="s">
        <v>1115</v>
      </c>
      <c r="B4" s="114">
        <v>0</v>
      </c>
      <c r="C4" s="116" t="s">
        <v>1024</v>
      </c>
      <c r="D4" s="115">
        <v>0</v>
      </c>
      <c r="E4" s="112"/>
      <c r="F4" s="112"/>
      <c r="G4" s="112"/>
      <c r="H4" s="173"/>
      <c r="I4" s="112"/>
      <c r="J4" s="112"/>
      <c r="K4" s="113"/>
      <c r="L4" s="114"/>
      <c r="M4" s="116"/>
      <c r="N4" s="115"/>
    </row>
    <row r="5" spans="1:19" ht="13.5" thickBot="1" x14ac:dyDescent="0.25">
      <c r="E5" s="336" t="s">
        <v>1040</v>
      </c>
      <c r="F5" s="336"/>
      <c r="G5" s="336"/>
      <c r="H5" s="336"/>
    </row>
    <row r="6" spans="1:19" ht="30" customHeight="1" thickBot="1" x14ac:dyDescent="0.3">
      <c r="A6" s="98" t="s">
        <v>1022</v>
      </c>
      <c r="B6" s="99" t="s">
        <v>1025</v>
      </c>
      <c r="C6" s="100" t="s">
        <v>1024</v>
      </c>
      <c r="D6" s="101" t="s">
        <v>1026</v>
      </c>
      <c r="E6" s="353" t="s">
        <v>1027</v>
      </c>
      <c r="F6" s="354"/>
      <c r="G6" s="354"/>
      <c r="H6" s="355"/>
      <c r="I6" s="102" t="s">
        <v>1030</v>
      </c>
      <c r="J6" s="185"/>
      <c r="K6" s="188"/>
      <c r="L6" s="189"/>
      <c r="M6" s="188"/>
    </row>
    <row r="7" spans="1:19" x14ac:dyDescent="0.2">
      <c r="M7" s="190"/>
    </row>
    <row r="8" spans="1:19" ht="15.75" x14ac:dyDescent="0.2">
      <c r="A8" t="s">
        <v>459</v>
      </c>
      <c r="B8" t="s">
        <v>463</v>
      </c>
      <c r="C8" s="92">
        <v>80</v>
      </c>
      <c r="D8" s="97" t="s">
        <v>4871</v>
      </c>
      <c r="G8" s="91" t="s">
        <v>4885</v>
      </c>
      <c r="I8" s="97" t="s">
        <v>1749</v>
      </c>
      <c r="K8" s="350" t="s">
        <v>2769</v>
      </c>
      <c r="L8" s="306"/>
      <c r="M8" s="306"/>
      <c r="N8" s="306"/>
      <c r="O8" s="351" t="s">
        <v>4884</v>
      </c>
      <c r="P8" s="351"/>
      <c r="Q8" s="351"/>
      <c r="R8" s="351"/>
    </row>
    <row r="9" spans="1:19" x14ac:dyDescent="0.2">
      <c r="A9" t="s">
        <v>4850</v>
      </c>
      <c r="B9" t="s">
        <v>1588</v>
      </c>
      <c r="C9" s="92">
        <v>160</v>
      </c>
      <c r="D9" s="97" t="s">
        <v>4872</v>
      </c>
      <c r="G9" s="91" t="s">
        <v>4886</v>
      </c>
      <c r="I9" s="97" t="s">
        <v>1474</v>
      </c>
    </row>
    <row r="10" spans="1:19" ht="15" x14ac:dyDescent="0.2">
      <c r="A10" t="s">
        <v>1322</v>
      </c>
      <c r="B10" t="s">
        <v>872</v>
      </c>
      <c r="C10" s="92">
        <v>160</v>
      </c>
      <c r="D10" s="97" t="s">
        <v>4873</v>
      </c>
      <c r="G10" s="91" t="s">
        <v>4887</v>
      </c>
      <c r="I10" s="97" t="s">
        <v>126</v>
      </c>
      <c r="K10" s="113" t="s">
        <v>1041</v>
      </c>
      <c r="L10" s="210">
        <v>21</v>
      </c>
      <c r="M10" s="116" t="s">
        <v>2764</v>
      </c>
      <c r="N10" s="115">
        <v>2803</v>
      </c>
      <c r="O10" s="116" t="s">
        <v>2765</v>
      </c>
      <c r="P10" s="115">
        <v>6882.4</v>
      </c>
      <c r="Q10" s="114"/>
      <c r="S10" s="114"/>
    </row>
    <row r="11" spans="1:19" ht="15" x14ac:dyDescent="0.2">
      <c r="A11" t="s">
        <v>4843</v>
      </c>
      <c r="B11" t="s">
        <v>776</v>
      </c>
      <c r="C11" s="92">
        <v>160</v>
      </c>
      <c r="D11" s="97" t="s">
        <v>4874</v>
      </c>
      <c r="G11" s="91" t="s">
        <v>4888</v>
      </c>
      <c r="I11" s="97" t="s">
        <v>126</v>
      </c>
      <c r="K11" s="113" t="s">
        <v>116</v>
      </c>
      <c r="L11" s="210">
        <v>0</v>
      </c>
      <c r="M11" s="116" t="s">
        <v>2764</v>
      </c>
      <c r="N11" s="115">
        <v>0</v>
      </c>
      <c r="O11" s="116"/>
      <c r="P11" s="115"/>
    </row>
    <row r="12" spans="1:19" ht="15" x14ac:dyDescent="0.2">
      <c r="A12" t="s">
        <v>3787</v>
      </c>
      <c r="B12" t="s">
        <v>2054</v>
      </c>
      <c r="C12" s="92">
        <v>95</v>
      </c>
      <c r="D12" s="97" t="s">
        <v>959</v>
      </c>
      <c r="G12" s="91" t="s">
        <v>4889</v>
      </c>
      <c r="I12" s="97" t="s">
        <v>126</v>
      </c>
      <c r="K12" s="113" t="s">
        <v>117</v>
      </c>
      <c r="L12" s="210">
        <v>0</v>
      </c>
      <c r="M12" s="116" t="s">
        <v>2764</v>
      </c>
      <c r="N12" s="115">
        <v>0</v>
      </c>
      <c r="O12" s="116"/>
      <c r="P12" s="115"/>
    </row>
    <row r="13" spans="1:19" ht="15.75" x14ac:dyDescent="0.25">
      <c r="A13" t="s">
        <v>3397</v>
      </c>
      <c r="B13" t="s">
        <v>895</v>
      </c>
      <c r="C13" s="92">
        <v>160</v>
      </c>
      <c r="D13" s="97" t="s">
        <v>4774</v>
      </c>
      <c r="G13" s="91" t="s">
        <v>4890</v>
      </c>
      <c r="I13" s="97" t="s">
        <v>126</v>
      </c>
      <c r="K13" s="188"/>
      <c r="L13" s="189" t="s">
        <v>1042</v>
      </c>
      <c r="M13" s="188"/>
      <c r="N13" s="211" t="s">
        <v>1043</v>
      </c>
    </row>
    <row r="14" spans="1:19" ht="15" x14ac:dyDescent="0.2">
      <c r="A14" t="s">
        <v>4827</v>
      </c>
      <c r="B14" t="s">
        <v>1632</v>
      </c>
      <c r="C14" s="92">
        <v>160</v>
      </c>
      <c r="D14" s="97" t="s">
        <v>407</v>
      </c>
      <c r="G14" s="91" t="s">
        <v>4891</v>
      </c>
      <c r="I14" s="97" t="s">
        <v>126</v>
      </c>
      <c r="K14" s="113"/>
      <c r="L14" s="210">
        <v>21</v>
      </c>
      <c r="M14" s="113" t="s">
        <v>1044</v>
      </c>
      <c r="N14" s="115">
        <v>2803</v>
      </c>
    </row>
    <row r="15" spans="1:19" ht="15.75" x14ac:dyDescent="0.2">
      <c r="A15" t="s">
        <v>1536</v>
      </c>
      <c r="B15" t="s">
        <v>1537</v>
      </c>
      <c r="C15" s="92">
        <v>160</v>
      </c>
      <c r="D15" s="97" t="s">
        <v>4141</v>
      </c>
      <c r="G15" s="91" t="s">
        <v>4892</v>
      </c>
      <c r="I15" s="97" t="s">
        <v>126</v>
      </c>
      <c r="K15" s="265" t="s">
        <v>2766</v>
      </c>
      <c r="M15" s="190"/>
    </row>
    <row r="16" spans="1:19" ht="15" x14ac:dyDescent="0.2">
      <c r="A16" t="s">
        <v>1167</v>
      </c>
      <c r="B16" t="s">
        <v>663</v>
      </c>
      <c r="C16" s="92">
        <v>100</v>
      </c>
      <c r="D16" s="97" t="s">
        <v>4875</v>
      </c>
      <c r="G16" s="91" t="s">
        <v>4893</v>
      </c>
      <c r="I16" s="97" t="s">
        <v>126</v>
      </c>
      <c r="K16" t="s">
        <v>859</v>
      </c>
      <c r="M16" s="266">
        <v>280</v>
      </c>
      <c r="N16" s="116" t="s">
        <v>2767</v>
      </c>
      <c r="O16" s="266">
        <v>624</v>
      </c>
    </row>
    <row r="17" spans="1:15" ht="15" x14ac:dyDescent="0.2">
      <c r="A17" t="s">
        <v>2733</v>
      </c>
      <c r="B17" t="s">
        <v>921</v>
      </c>
      <c r="C17" s="92">
        <v>160</v>
      </c>
      <c r="D17" s="97" t="s">
        <v>4876</v>
      </c>
      <c r="G17" s="91" t="s">
        <v>4894</v>
      </c>
      <c r="I17" s="97" t="s">
        <v>2652</v>
      </c>
      <c r="K17" t="s">
        <v>853</v>
      </c>
      <c r="M17" s="266">
        <v>2523</v>
      </c>
      <c r="N17" s="116" t="s">
        <v>2767</v>
      </c>
      <c r="O17" s="266">
        <v>6258.4</v>
      </c>
    </row>
    <row r="18" spans="1:15" ht="15" x14ac:dyDescent="0.2">
      <c r="A18" t="s">
        <v>161</v>
      </c>
      <c r="B18" t="s">
        <v>162</v>
      </c>
      <c r="C18" s="92">
        <v>100</v>
      </c>
      <c r="D18" s="97" t="s">
        <v>4877</v>
      </c>
      <c r="G18" s="91" t="s">
        <v>4895</v>
      </c>
      <c r="I18" s="97" t="s">
        <v>165</v>
      </c>
      <c r="M18" s="266"/>
      <c r="N18" s="116"/>
      <c r="O18" s="266"/>
    </row>
    <row r="19" spans="1:15" ht="15" x14ac:dyDescent="0.2">
      <c r="A19" t="s">
        <v>4857</v>
      </c>
      <c r="B19" t="s">
        <v>871</v>
      </c>
      <c r="C19" s="92">
        <v>77</v>
      </c>
      <c r="D19" s="97" t="s">
        <v>4878</v>
      </c>
      <c r="G19" s="91" t="s">
        <v>4896</v>
      </c>
      <c r="I19" s="97" t="s">
        <v>126</v>
      </c>
      <c r="M19" s="266"/>
      <c r="N19" s="116"/>
      <c r="O19" s="266"/>
    </row>
    <row r="20" spans="1:15" ht="15" x14ac:dyDescent="0.2">
      <c r="A20" t="s">
        <v>1430</v>
      </c>
      <c r="B20" t="s">
        <v>876</v>
      </c>
      <c r="C20" s="92">
        <v>280</v>
      </c>
      <c r="D20" s="97" t="s">
        <v>4879</v>
      </c>
      <c r="G20" s="91" t="s">
        <v>4897</v>
      </c>
      <c r="I20" s="97" t="s">
        <v>221</v>
      </c>
      <c r="M20" s="266"/>
      <c r="N20" s="116"/>
      <c r="O20" s="266"/>
    </row>
    <row r="21" spans="1:15" ht="15" x14ac:dyDescent="0.2">
      <c r="A21" t="s">
        <v>1971</v>
      </c>
      <c r="B21" t="s">
        <v>1626</v>
      </c>
      <c r="C21" s="92">
        <v>160</v>
      </c>
      <c r="D21" s="97" t="s">
        <v>960</v>
      </c>
      <c r="G21" s="91" t="s">
        <v>4898</v>
      </c>
      <c r="I21" s="97" t="s">
        <v>987</v>
      </c>
      <c r="M21" s="266"/>
      <c r="N21" s="116"/>
      <c r="O21" s="266"/>
    </row>
    <row r="22" spans="1:15" ht="15" x14ac:dyDescent="0.2">
      <c r="A22" t="s">
        <v>4833</v>
      </c>
      <c r="B22" t="s">
        <v>275</v>
      </c>
      <c r="C22" s="92">
        <v>160</v>
      </c>
      <c r="D22" s="97" t="s">
        <v>1406</v>
      </c>
      <c r="G22" s="91" t="s">
        <v>4899</v>
      </c>
      <c r="I22" s="97" t="s">
        <v>4838</v>
      </c>
      <c r="M22" s="266"/>
      <c r="N22" s="116"/>
      <c r="O22" s="266"/>
    </row>
    <row r="23" spans="1:15" ht="15" x14ac:dyDescent="0.2">
      <c r="A23" t="s">
        <v>2992</v>
      </c>
      <c r="B23" t="s">
        <v>271</v>
      </c>
      <c r="C23" s="92">
        <v>47</v>
      </c>
      <c r="D23" s="97" t="s">
        <v>1406</v>
      </c>
      <c r="G23" s="91" t="s">
        <v>4900</v>
      </c>
      <c r="I23" s="97" t="s">
        <v>126</v>
      </c>
      <c r="M23" s="266"/>
      <c r="N23" s="116"/>
      <c r="O23" s="266"/>
    </row>
    <row r="24" spans="1:15" ht="15" x14ac:dyDescent="0.2">
      <c r="A24" t="s">
        <v>1998</v>
      </c>
      <c r="B24" t="s">
        <v>779</v>
      </c>
      <c r="C24" s="92">
        <v>45</v>
      </c>
      <c r="D24" s="97" t="s">
        <v>4880</v>
      </c>
      <c r="G24" s="91" t="s">
        <v>4901</v>
      </c>
      <c r="I24" s="97" t="s">
        <v>126</v>
      </c>
      <c r="M24" s="266"/>
      <c r="N24" s="116"/>
      <c r="O24" s="266"/>
    </row>
    <row r="25" spans="1:15" ht="15" x14ac:dyDescent="0.2">
      <c r="A25" t="s">
        <v>3620</v>
      </c>
      <c r="B25" t="s">
        <v>944</v>
      </c>
      <c r="C25" s="92">
        <v>160</v>
      </c>
      <c r="D25" s="97" t="s">
        <v>4881</v>
      </c>
      <c r="G25" s="91" t="s">
        <v>4902</v>
      </c>
      <c r="I25" s="97" t="s">
        <v>126</v>
      </c>
      <c r="M25" s="266"/>
      <c r="N25" s="116"/>
      <c r="O25" s="266"/>
    </row>
    <row r="26" spans="1:15" ht="15" x14ac:dyDescent="0.2">
      <c r="A26" t="s">
        <v>320</v>
      </c>
      <c r="B26" t="s">
        <v>1589</v>
      </c>
      <c r="C26" s="92">
        <v>160</v>
      </c>
      <c r="D26" s="97" t="s">
        <v>4882</v>
      </c>
      <c r="G26" s="91" t="s">
        <v>4903</v>
      </c>
      <c r="I26" s="97" t="s">
        <v>126</v>
      </c>
      <c r="M26" s="266"/>
      <c r="N26" s="116"/>
      <c r="O26" s="266"/>
    </row>
    <row r="27" spans="1:15" x14ac:dyDescent="0.2">
      <c r="A27" t="s">
        <v>1413</v>
      </c>
      <c r="B27" t="s">
        <v>1697</v>
      </c>
      <c r="C27" s="92">
        <v>92</v>
      </c>
      <c r="D27" s="97" t="s">
        <v>4883</v>
      </c>
      <c r="G27" s="184" t="s">
        <v>4904</v>
      </c>
      <c r="I27" s="97" t="s">
        <v>126</v>
      </c>
      <c r="M27" s="266"/>
      <c r="O27" s="266"/>
    </row>
    <row r="28" spans="1:15" x14ac:dyDescent="0.2">
      <c r="A28" t="s">
        <v>409</v>
      </c>
      <c r="B28" t="s">
        <v>966</v>
      </c>
      <c r="C28" s="92">
        <v>127</v>
      </c>
      <c r="D28" s="97" t="s">
        <v>4774</v>
      </c>
      <c r="G28" s="91" t="s">
        <v>4905</v>
      </c>
      <c r="I28" s="97" t="s">
        <v>126</v>
      </c>
      <c r="M28" s="266"/>
      <c r="O28" s="266"/>
    </row>
    <row r="29" spans="1:15" x14ac:dyDescent="0.2">
      <c r="M29" s="267"/>
      <c r="O29" s="267"/>
    </row>
    <row r="30" spans="1:15" x14ac:dyDescent="0.2">
      <c r="M30" s="267"/>
      <c r="O30" s="267"/>
    </row>
    <row r="31" spans="1:15" x14ac:dyDescent="0.2">
      <c r="M31" s="267"/>
      <c r="O31" s="267"/>
    </row>
    <row r="32" spans="1:15" x14ac:dyDescent="0.2">
      <c r="M32" s="267"/>
      <c r="O32" s="267"/>
    </row>
    <row r="33" spans="13:15" x14ac:dyDescent="0.2">
      <c r="M33" s="267"/>
      <c r="O33" s="267"/>
    </row>
    <row r="34" spans="13:15" x14ac:dyDescent="0.2">
      <c r="M34" s="267"/>
      <c r="O34" s="267"/>
    </row>
    <row r="35" spans="13:15" x14ac:dyDescent="0.2">
      <c r="M35" s="267"/>
      <c r="O35" s="267"/>
    </row>
    <row r="36" spans="13:15" x14ac:dyDescent="0.2">
      <c r="M36" s="267"/>
      <c r="O36" s="267"/>
    </row>
    <row r="37" spans="13:15" x14ac:dyDescent="0.2">
      <c r="M37" s="208"/>
    </row>
    <row r="38" spans="13:15" x14ac:dyDescent="0.2">
      <c r="M38" s="209"/>
    </row>
    <row r="39" spans="13:15" x14ac:dyDescent="0.2">
      <c r="M39" s="190"/>
    </row>
  </sheetData>
  <mergeCells count="8">
    <mergeCell ref="K8:N8"/>
    <mergeCell ref="O8:R8"/>
    <mergeCell ref="O1:R1"/>
    <mergeCell ref="E5:H5"/>
    <mergeCell ref="A1:D1"/>
    <mergeCell ref="E1:I1"/>
    <mergeCell ref="E6:H6"/>
    <mergeCell ref="K1:N1"/>
  </mergeCells>
  <phoneticPr fontId="27" type="noConversion"/>
  <pageMargins left="0.59055118110236227" right="0.59055118110236227" top="0.39370078740157483" bottom="0.35433070866141736" header="0.51181102362204722" footer="0.27559055118110237"/>
  <pageSetup paperSize="9" orientation="landscape" horizontalDpi="1200" verticalDpi="12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B92"/>
  <sheetViews>
    <sheetView workbookViewId="0">
      <selection activeCell="A5" sqref="A5"/>
    </sheetView>
  </sheetViews>
  <sheetFormatPr baseColWidth="10" defaultColWidth="0" defaultRowHeight="11.25" x14ac:dyDescent="0.2"/>
  <cols>
    <col min="1" max="1" width="20" style="62" customWidth="1"/>
    <col min="2" max="2" width="11.42578125" style="59" customWidth="1"/>
    <col min="3" max="16384" width="0" style="58" hidden="1"/>
  </cols>
  <sheetData>
    <row r="1" spans="1:2" x14ac:dyDescent="0.2">
      <c r="A1" s="62" t="s">
        <v>4948</v>
      </c>
      <c r="B1" s="59">
        <v>22</v>
      </c>
    </row>
    <row r="2" spans="1:2" x14ac:dyDescent="0.2">
      <c r="A2" s="62" t="s">
        <v>4949</v>
      </c>
      <c r="B2" s="59">
        <v>27</v>
      </c>
    </row>
    <row r="3" spans="1:2" x14ac:dyDescent="0.2">
      <c r="A3" s="62" t="s">
        <v>4950</v>
      </c>
      <c r="B3" s="59">
        <v>29</v>
      </c>
    </row>
    <row r="4" spans="1:2" x14ac:dyDescent="0.2">
      <c r="A4" s="62" t="s">
        <v>4951</v>
      </c>
      <c r="B4" s="59">
        <v>34</v>
      </c>
    </row>
    <row r="5" spans="1:2" x14ac:dyDescent="0.2">
      <c r="A5" s="62" t="s">
        <v>4952</v>
      </c>
      <c r="B5" s="59">
        <v>41</v>
      </c>
    </row>
    <row r="6" spans="1:2" x14ac:dyDescent="0.2">
      <c r="A6" s="62" t="s">
        <v>4953</v>
      </c>
      <c r="B6" s="59">
        <v>47</v>
      </c>
    </row>
    <row r="7" spans="1:2" x14ac:dyDescent="0.2">
      <c r="A7" s="62" t="s">
        <v>4954</v>
      </c>
      <c r="B7" s="59">
        <v>52</v>
      </c>
    </row>
    <row r="8" spans="1:2" x14ac:dyDescent="0.2">
      <c r="A8" s="62" t="s">
        <v>4955</v>
      </c>
      <c r="B8" s="59">
        <v>73</v>
      </c>
    </row>
    <row r="9" spans="1:2" x14ac:dyDescent="0.2">
      <c r="A9" s="62" t="s">
        <v>4956</v>
      </c>
      <c r="B9" s="59">
        <v>77</v>
      </c>
    </row>
    <row r="10" spans="1:2" x14ac:dyDescent="0.2">
      <c r="A10" s="62" t="s">
        <v>4957</v>
      </c>
      <c r="B10" s="59">
        <v>88</v>
      </c>
    </row>
    <row r="11" spans="1:2" x14ac:dyDescent="0.2">
      <c r="A11" s="62" t="s">
        <v>4958</v>
      </c>
      <c r="B11" s="59">
        <v>91</v>
      </c>
    </row>
    <row r="12" spans="1:2" x14ac:dyDescent="0.2">
      <c r="A12" s="62" t="s">
        <v>4959</v>
      </c>
      <c r="B12" s="59">
        <v>92</v>
      </c>
    </row>
    <row r="13" spans="1:2" x14ac:dyDescent="0.2">
      <c r="A13" s="62" t="s">
        <v>4960</v>
      </c>
      <c r="B13" s="59">
        <v>97</v>
      </c>
    </row>
    <row r="14" spans="1:2" x14ac:dyDescent="0.2">
      <c r="A14" s="62" t="s">
        <v>4961</v>
      </c>
      <c r="B14" s="59">
        <v>106</v>
      </c>
    </row>
    <row r="15" spans="1:2" x14ac:dyDescent="0.2">
      <c r="A15" s="62" t="s">
        <v>4962</v>
      </c>
      <c r="B15" s="59">
        <v>120</v>
      </c>
    </row>
    <row r="16" spans="1:2" x14ac:dyDescent="0.2">
      <c r="A16" s="62" t="s">
        <v>4963</v>
      </c>
      <c r="B16" s="59">
        <v>161</v>
      </c>
    </row>
    <row r="17" spans="1:2" x14ac:dyDescent="0.2">
      <c r="A17" s="62" t="s">
        <v>4964</v>
      </c>
      <c r="B17" s="59">
        <v>168</v>
      </c>
    </row>
    <row r="18" spans="1:2" x14ac:dyDescent="0.2">
      <c r="A18" s="62" t="s">
        <v>4965</v>
      </c>
      <c r="B18" s="59">
        <v>169</v>
      </c>
    </row>
    <row r="19" spans="1:2" x14ac:dyDescent="0.2">
      <c r="A19" s="62" t="s">
        <v>4966</v>
      </c>
      <c r="B19" s="59">
        <v>183</v>
      </c>
    </row>
    <row r="20" spans="1:2" x14ac:dyDescent="0.2">
      <c r="A20" s="62" t="s">
        <v>4967</v>
      </c>
      <c r="B20" s="59">
        <v>198</v>
      </c>
    </row>
    <row r="21" spans="1:2" x14ac:dyDescent="0.2">
      <c r="A21" s="62" t="s">
        <v>4968</v>
      </c>
      <c r="B21" s="59">
        <v>263</v>
      </c>
    </row>
    <row r="22" spans="1:2" x14ac:dyDescent="0.2">
      <c r="A22" s="62" t="s">
        <v>4969</v>
      </c>
      <c r="B22" s="59">
        <v>273</v>
      </c>
    </row>
    <row r="23" spans="1:2" x14ac:dyDescent="0.2">
      <c r="A23" s="62" t="s">
        <v>4970</v>
      </c>
      <c r="B23" s="59">
        <v>279</v>
      </c>
    </row>
    <row r="24" spans="1:2" x14ac:dyDescent="0.2">
      <c r="A24" s="62" t="s">
        <v>4971</v>
      </c>
      <c r="B24" s="59">
        <v>308</v>
      </c>
    </row>
    <row r="25" spans="1:2" x14ac:dyDescent="0.2">
      <c r="A25" s="62" t="s">
        <v>4972</v>
      </c>
      <c r="B25" s="59">
        <v>316</v>
      </c>
    </row>
    <row r="26" spans="1:2" x14ac:dyDescent="0.2">
      <c r="A26" s="62" t="s">
        <v>4973</v>
      </c>
      <c r="B26" s="59">
        <v>318</v>
      </c>
    </row>
    <row r="27" spans="1:2" x14ac:dyDescent="0.2">
      <c r="A27" s="62" t="s">
        <v>4974</v>
      </c>
      <c r="B27" s="59">
        <v>351</v>
      </c>
    </row>
    <row r="28" spans="1:2" x14ac:dyDescent="0.2">
      <c r="A28" s="62" t="s">
        <v>4975</v>
      </c>
      <c r="B28" s="59">
        <v>362</v>
      </c>
    </row>
    <row r="29" spans="1:2" x14ac:dyDescent="0.2">
      <c r="A29" s="62" t="s">
        <v>4976</v>
      </c>
      <c r="B29" s="59">
        <v>414</v>
      </c>
    </row>
    <row r="30" spans="1:2" x14ac:dyDescent="0.2">
      <c r="A30" s="62" t="s">
        <v>4977</v>
      </c>
      <c r="B30" s="59">
        <v>416</v>
      </c>
    </row>
    <row r="31" spans="1:2" x14ac:dyDescent="0.2">
      <c r="A31" s="62" t="s">
        <v>4978</v>
      </c>
      <c r="B31" s="59">
        <v>426</v>
      </c>
    </row>
    <row r="32" spans="1:2" x14ac:dyDescent="0.2">
      <c r="A32" s="62" t="s">
        <v>4979</v>
      </c>
      <c r="B32" s="59">
        <v>468</v>
      </c>
    </row>
    <row r="33" spans="1:2" x14ac:dyDescent="0.2">
      <c r="A33" s="62" t="s">
        <v>4980</v>
      </c>
      <c r="B33" s="59">
        <v>483</v>
      </c>
    </row>
    <row r="34" spans="1:2" x14ac:dyDescent="0.2">
      <c r="A34" s="62" t="s">
        <v>4981</v>
      </c>
      <c r="B34" s="59">
        <v>485</v>
      </c>
    </row>
    <row r="35" spans="1:2" x14ac:dyDescent="0.2">
      <c r="A35" s="62" t="s">
        <v>4982</v>
      </c>
      <c r="B35" s="59">
        <v>491</v>
      </c>
    </row>
    <row r="36" spans="1:2" x14ac:dyDescent="0.2">
      <c r="A36" s="62" t="s">
        <v>4983</v>
      </c>
      <c r="B36" s="59">
        <v>508</v>
      </c>
    </row>
    <row r="37" spans="1:2" x14ac:dyDescent="0.2">
      <c r="A37" s="62" t="s">
        <v>4984</v>
      </c>
      <c r="B37" s="59">
        <v>540</v>
      </c>
    </row>
    <row r="38" spans="1:2" x14ac:dyDescent="0.2">
      <c r="A38" s="62" t="s">
        <v>4985</v>
      </c>
      <c r="B38" s="59">
        <v>543</v>
      </c>
    </row>
    <row r="39" spans="1:2" x14ac:dyDescent="0.2">
      <c r="A39" s="62" t="s">
        <v>4986</v>
      </c>
      <c r="B39" s="59">
        <v>548</v>
      </c>
    </row>
    <row r="40" spans="1:2" x14ac:dyDescent="0.2">
      <c r="A40" s="62" t="s">
        <v>4987</v>
      </c>
      <c r="B40" s="59">
        <v>550</v>
      </c>
    </row>
    <row r="41" spans="1:2" x14ac:dyDescent="0.2">
      <c r="A41" s="62" t="s">
        <v>4988</v>
      </c>
      <c r="B41" s="59">
        <v>562</v>
      </c>
    </row>
    <row r="42" spans="1:2" x14ac:dyDescent="0.2">
      <c r="A42" s="62" t="s">
        <v>4989</v>
      </c>
      <c r="B42" s="59">
        <v>589</v>
      </c>
    </row>
    <row r="43" spans="1:2" x14ac:dyDescent="0.2">
      <c r="A43" s="62" t="s">
        <v>4990</v>
      </c>
      <c r="B43" s="59">
        <v>590</v>
      </c>
    </row>
    <row r="44" spans="1:2" x14ac:dyDescent="0.2">
      <c r="A44" s="62" t="s">
        <v>4991</v>
      </c>
      <c r="B44" s="59">
        <v>591</v>
      </c>
    </row>
    <row r="45" spans="1:2" x14ac:dyDescent="0.2">
      <c r="A45" s="62" t="s">
        <v>4992</v>
      </c>
      <c r="B45" s="59">
        <v>603</v>
      </c>
    </row>
    <row r="46" spans="1:2" x14ac:dyDescent="0.2">
      <c r="A46" s="62" t="s">
        <v>4993</v>
      </c>
      <c r="B46" s="59">
        <v>605</v>
      </c>
    </row>
    <row r="47" spans="1:2" x14ac:dyDescent="0.2">
      <c r="A47" s="62" t="s">
        <v>4994</v>
      </c>
      <c r="B47" s="59">
        <v>614</v>
      </c>
    </row>
    <row r="48" spans="1:2" x14ac:dyDescent="0.2">
      <c r="A48" s="62" t="s">
        <v>4995</v>
      </c>
      <c r="B48" s="59">
        <v>626</v>
      </c>
    </row>
    <row r="49" spans="1:2" x14ac:dyDescent="0.2">
      <c r="A49" s="62" t="s">
        <v>4996</v>
      </c>
      <c r="B49" s="59">
        <v>652</v>
      </c>
    </row>
    <row r="50" spans="1:2" x14ac:dyDescent="0.2">
      <c r="A50" s="62" t="s">
        <v>4997</v>
      </c>
      <c r="B50" s="59">
        <v>668</v>
      </c>
    </row>
    <row r="51" spans="1:2" x14ac:dyDescent="0.2">
      <c r="A51" s="62" t="s">
        <v>4998</v>
      </c>
      <c r="B51" s="59">
        <v>673</v>
      </c>
    </row>
    <row r="52" spans="1:2" x14ac:dyDescent="0.2">
      <c r="A52" s="62" t="s">
        <v>4999</v>
      </c>
      <c r="B52" s="59">
        <v>679</v>
      </c>
    </row>
    <row r="53" spans="1:2" x14ac:dyDescent="0.2">
      <c r="A53" s="62" t="s">
        <v>5000</v>
      </c>
      <c r="B53" s="59">
        <v>683</v>
      </c>
    </row>
    <row r="54" spans="1:2" x14ac:dyDescent="0.2">
      <c r="A54" s="62" t="s">
        <v>5001</v>
      </c>
      <c r="B54" s="59">
        <v>690</v>
      </c>
    </row>
    <row r="55" spans="1:2" x14ac:dyDescent="0.2">
      <c r="A55" s="62" t="s">
        <v>5002</v>
      </c>
      <c r="B55" s="59">
        <v>706</v>
      </c>
    </row>
    <row r="56" spans="1:2" x14ac:dyDescent="0.2">
      <c r="A56" s="62" t="s">
        <v>5003</v>
      </c>
      <c r="B56" s="59">
        <v>720</v>
      </c>
    </row>
    <row r="57" spans="1:2" x14ac:dyDescent="0.2">
      <c r="A57" s="62" t="s">
        <v>5004</v>
      </c>
      <c r="B57" s="59">
        <v>722</v>
      </c>
    </row>
    <row r="58" spans="1:2" x14ac:dyDescent="0.2">
      <c r="A58" s="62" t="s">
        <v>5005</v>
      </c>
      <c r="B58" s="59">
        <v>726</v>
      </c>
    </row>
    <row r="59" spans="1:2" x14ac:dyDescent="0.2">
      <c r="A59" s="62" t="s">
        <v>5006</v>
      </c>
      <c r="B59" s="59">
        <v>728</v>
      </c>
    </row>
    <row r="60" spans="1:2" x14ac:dyDescent="0.2">
      <c r="A60" s="62" t="s">
        <v>5007</v>
      </c>
      <c r="B60" s="59">
        <v>747</v>
      </c>
    </row>
    <row r="61" spans="1:2" x14ac:dyDescent="0.2">
      <c r="A61" s="62" t="s">
        <v>5008</v>
      </c>
      <c r="B61" s="59">
        <v>754</v>
      </c>
    </row>
    <row r="62" spans="1:2" x14ac:dyDescent="0.2">
      <c r="A62" s="62" t="s">
        <v>5009</v>
      </c>
      <c r="B62" s="59">
        <v>778</v>
      </c>
    </row>
    <row r="63" spans="1:2" x14ac:dyDescent="0.2">
      <c r="A63" s="62" t="s">
        <v>5010</v>
      </c>
      <c r="B63" s="59">
        <v>779</v>
      </c>
    </row>
    <row r="64" spans="1:2" x14ac:dyDescent="0.2">
      <c r="A64" s="62" t="s">
        <v>5011</v>
      </c>
      <c r="B64" s="59">
        <v>801</v>
      </c>
    </row>
    <row r="65" spans="1:2" x14ac:dyDescent="0.2">
      <c r="A65" s="62" t="s">
        <v>5012</v>
      </c>
      <c r="B65" s="59">
        <v>812</v>
      </c>
    </row>
    <row r="66" spans="1:2" x14ac:dyDescent="0.2">
      <c r="A66" s="62" t="s">
        <v>5013</v>
      </c>
      <c r="B66" s="59">
        <v>819</v>
      </c>
    </row>
    <row r="67" spans="1:2" x14ac:dyDescent="0.2">
      <c r="A67" s="62" t="s">
        <v>5014</v>
      </c>
      <c r="B67" s="59">
        <v>821</v>
      </c>
    </row>
    <row r="68" spans="1:2" x14ac:dyDescent="0.2">
      <c r="A68" s="62" t="s">
        <v>5015</v>
      </c>
      <c r="B68" s="59">
        <v>832</v>
      </c>
    </row>
    <row r="69" spans="1:2" x14ac:dyDescent="0.2">
      <c r="A69" s="62" t="s">
        <v>5016</v>
      </c>
      <c r="B69" s="59">
        <v>860</v>
      </c>
    </row>
    <row r="70" spans="1:2" x14ac:dyDescent="0.2">
      <c r="A70" s="62" t="s">
        <v>5017</v>
      </c>
      <c r="B70" s="59">
        <v>874</v>
      </c>
    </row>
    <row r="71" spans="1:2" x14ac:dyDescent="0.2">
      <c r="A71" s="62" t="s">
        <v>5018</v>
      </c>
      <c r="B71" s="59">
        <v>881</v>
      </c>
    </row>
    <row r="72" spans="1:2" x14ac:dyDescent="0.2">
      <c r="A72" s="62" t="s">
        <v>5019</v>
      </c>
      <c r="B72" s="59">
        <v>926</v>
      </c>
    </row>
    <row r="73" spans="1:2" x14ac:dyDescent="0.2">
      <c r="A73" s="62" t="s">
        <v>5020</v>
      </c>
      <c r="B73" s="59">
        <v>927</v>
      </c>
    </row>
    <row r="74" spans="1:2" x14ac:dyDescent="0.2">
      <c r="A74" s="62" t="s">
        <v>5021</v>
      </c>
      <c r="B74" s="59">
        <v>940</v>
      </c>
    </row>
    <row r="75" spans="1:2" x14ac:dyDescent="0.2">
      <c r="A75" s="62" t="s">
        <v>5022</v>
      </c>
      <c r="B75" s="59">
        <v>952</v>
      </c>
    </row>
    <row r="76" spans="1:2" x14ac:dyDescent="0.2">
      <c r="A76" s="62" t="s">
        <v>5023</v>
      </c>
      <c r="B76" s="59">
        <v>954</v>
      </c>
    </row>
    <row r="77" spans="1:2" x14ac:dyDescent="0.2">
      <c r="A77" s="62" t="s">
        <v>5024</v>
      </c>
      <c r="B77" s="59">
        <v>957</v>
      </c>
    </row>
    <row r="78" spans="1:2" x14ac:dyDescent="0.2">
      <c r="A78" s="62" t="s">
        <v>5025</v>
      </c>
      <c r="B78" s="59">
        <v>962</v>
      </c>
    </row>
    <row r="79" spans="1:2" x14ac:dyDescent="0.2">
      <c r="A79" s="62" t="s">
        <v>5026</v>
      </c>
      <c r="B79" s="59">
        <v>965</v>
      </c>
    </row>
    <row r="80" spans="1:2" x14ac:dyDescent="0.2">
      <c r="A80" s="62" t="s">
        <v>5027</v>
      </c>
      <c r="B80" s="59">
        <v>975</v>
      </c>
    </row>
    <row r="81" spans="1:2" x14ac:dyDescent="0.2">
      <c r="A81" s="62" t="s">
        <v>5028</v>
      </c>
      <c r="B81" s="59">
        <v>987</v>
      </c>
    </row>
    <row r="82" spans="1:2" x14ac:dyDescent="0.2">
      <c r="A82" s="62" t="s">
        <v>5029</v>
      </c>
      <c r="B82" s="59">
        <v>989</v>
      </c>
    </row>
    <row r="83" spans="1:2" x14ac:dyDescent="0.2">
      <c r="A83" s="62" t="s">
        <v>5030</v>
      </c>
      <c r="B83" s="59">
        <v>1003</v>
      </c>
    </row>
    <row r="84" spans="1:2" x14ac:dyDescent="0.2">
      <c r="A84" s="62" t="s">
        <v>5031</v>
      </c>
      <c r="B84" s="59">
        <v>1009</v>
      </c>
    </row>
    <row r="85" spans="1:2" x14ac:dyDescent="0.2">
      <c r="A85" s="62" t="s">
        <v>5032</v>
      </c>
      <c r="B85" s="59">
        <v>1027</v>
      </c>
    </row>
    <row r="86" spans="1:2" x14ac:dyDescent="0.2">
      <c r="A86" s="62" t="s">
        <v>5033</v>
      </c>
      <c r="B86" s="59">
        <v>1028</v>
      </c>
    </row>
    <row r="87" spans="1:2" x14ac:dyDescent="0.2">
      <c r="A87" s="62" t="s">
        <v>5034</v>
      </c>
      <c r="B87" s="59">
        <v>1035</v>
      </c>
    </row>
    <row r="88" spans="1:2" x14ac:dyDescent="0.2">
      <c r="A88" s="62" t="s">
        <v>5035</v>
      </c>
      <c r="B88" s="59">
        <v>1036</v>
      </c>
    </row>
    <row r="89" spans="1:2" x14ac:dyDescent="0.2">
      <c r="A89" s="62" t="s">
        <v>5036</v>
      </c>
      <c r="B89" s="59">
        <v>1038</v>
      </c>
    </row>
    <row r="90" spans="1:2" x14ac:dyDescent="0.2">
      <c r="A90" s="62" t="s">
        <v>5037</v>
      </c>
      <c r="B90" s="59">
        <v>1040</v>
      </c>
    </row>
    <row r="91" spans="1:2" x14ac:dyDescent="0.2">
      <c r="A91" s="62" t="s">
        <v>5038</v>
      </c>
      <c r="B91" s="59">
        <v>1041</v>
      </c>
    </row>
    <row r="92" spans="1:2" x14ac:dyDescent="0.2">
      <c r="A92" s="62" t="s">
        <v>5039</v>
      </c>
      <c r="B92" s="59">
        <v>1052</v>
      </c>
    </row>
  </sheetData>
  <phoneticPr fontId="0" type="noConversion"/>
  <pageMargins left="0.78740157499999996" right="0.78740157499999996" top="0.984251969" bottom="0.984251969" header="0.4921259845" footer="0.492125984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2:J45"/>
  <sheetViews>
    <sheetView topLeftCell="A17" workbookViewId="0">
      <selection activeCell="D5" sqref="D5"/>
    </sheetView>
  </sheetViews>
  <sheetFormatPr baseColWidth="10" defaultColWidth="0" defaultRowHeight="11.25" x14ac:dyDescent="0.2"/>
  <cols>
    <col min="1" max="1" width="6.140625" style="59" customWidth="1"/>
    <col min="2" max="2" width="5" style="59" customWidth="1"/>
    <col min="3" max="3" width="16.28515625" style="59" customWidth="1"/>
    <col min="4" max="4" width="5.85546875" style="59" customWidth="1"/>
    <col min="5" max="5" width="10.7109375" style="59" customWidth="1"/>
    <col min="6" max="6" width="11.28515625" style="59" customWidth="1"/>
    <col min="7" max="7" width="8" style="59" customWidth="1"/>
    <col min="8" max="8" width="7.140625" style="59" customWidth="1"/>
    <col min="9" max="9" width="9.42578125" style="59" customWidth="1"/>
    <col min="10" max="10" width="6.140625" style="59" customWidth="1"/>
    <col min="11" max="16384" width="10.7109375" style="59" hidden="1"/>
  </cols>
  <sheetData>
    <row r="2" spans="2:10" ht="12.75" x14ac:dyDescent="0.2">
      <c r="F2" s="375" t="s">
        <v>4906</v>
      </c>
      <c r="G2" s="375"/>
      <c r="H2" s="375"/>
      <c r="I2" s="375"/>
    </row>
    <row r="5" spans="2:10" ht="15" x14ac:dyDescent="0.2">
      <c r="F5" s="119"/>
      <c r="G5" s="122"/>
      <c r="H5" s="122"/>
    </row>
    <row r="6" spans="2:10" ht="12.75" x14ac:dyDescent="0.2">
      <c r="C6" s="119"/>
      <c r="D6" s="119"/>
      <c r="E6" s="119"/>
      <c r="F6" s="119"/>
      <c r="G6" s="376" t="s">
        <v>558</v>
      </c>
      <c r="H6" s="376"/>
      <c r="I6" s="376"/>
      <c r="J6" s="119"/>
    </row>
    <row r="7" spans="2:10" ht="12.75" x14ac:dyDescent="0.2">
      <c r="C7" s="119"/>
      <c r="D7" s="119"/>
      <c r="E7" s="119"/>
      <c r="F7" s="119"/>
      <c r="G7" s="376" t="s">
        <v>559</v>
      </c>
      <c r="H7" s="376"/>
      <c r="I7" s="376"/>
    </row>
    <row r="8" spans="2:10" ht="12.75" x14ac:dyDescent="0.2">
      <c r="C8" s="119"/>
      <c r="D8" s="119"/>
      <c r="E8" s="119"/>
      <c r="F8" s="119"/>
      <c r="G8" s="119" t="s">
        <v>560</v>
      </c>
      <c r="H8" s="119"/>
      <c r="I8" s="119"/>
    </row>
    <row r="9" spans="2:10" ht="12.75" x14ac:dyDescent="0.2">
      <c r="C9" s="119"/>
      <c r="D9" s="119"/>
      <c r="E9" s="119"/>
      <c r="F9" s="119"/>
      <c r="G9" s="376"/>
      <c r="H9" s="376"/>
      <c r="I9" s="376"/>
    </row>
    <row r="10" spans="2:10" ht="13.5" thickBot="1" x14ac:dyDescent="0.25">
      <c r="C10" s="119"/>
      <c r="D10" s="119"/>
      <c r="E10" s="119"/>
      <c r="F10" s="119"/>
      <c r="G10" s="119"/>
      <c r="H10" s="119"/>
      <c r="I10" s="119"/>
    </row>
    <row r="11" spans="2:10" ht="43.5" customHeight="1" x14ac:dyDescent="0.2">
      <c r="B11" s="377" t="s">
        <v>360</v>
      </c>
      <c r="C11" s="378"/>
      <c r="D11" s="378"/>
      <c r="E11" s="378"/>
      <c r="F11" s="378"/>
      <c r="G11" s="378"/>
      <c r="H11" s="378"/>
      <c r="I11" s="379"/>
    </row>
    <row r="12" spans="2:10" ht="39.75" customHeight="1" thickBot="1" x14ac:dyDescent="0.25">
      <c r="B12" s="380" t="s">
        <v>2619</v>
      </c>
      <c r="C12" s="381"/>
      <c r="D12" s="381"/>
      <c r="E12" s="381"/>
      <c r="F12" s="381"/>
      <c r="G12" s="381"/>
      <c r="H12" s="381"/>
      <c r="I12" s="382"/>
    </row>
    <row r="13" spans="2:10" ht="21.75" customHeight="1" thickBot="1" x14ac:dyDescent="0.25">
      <c r="C13" s="127"/>
      <c r="D13" s="127"/>
      <c r="E13" s="127"/>
      <c r="F13" s="127"/>
      <c r="G13" s="127"/>
      <c r="H13" s="127"/>
      <c r="I13" s="127"/>
    </row>
    <row r="14" spans="2:10" ht="14.25" customHeight="1" x14ac:dyDescent="0.2">
      <c r="B14" s="133"/>
      <c r="C14" s="153"/>
      <c r="D14" s="153"/>
      <c r="E14" s="153"/>
      <c r="F14" s="153"/>
      <c r="G14" s="153"/>
      <c r="H14" s="153"/>
      <c r="I14" s="154"/>
    </row>
    <row r="15" spans="2:10" ht="12.75" x14ac:dyDescent="0.2">
      <c r="B15" s="134"/>
      <c r="C15" s="128" t="s">
        <v>561</v>
      </c>
      <c r="D15" s="128"/>
      <c r="E15" s="129" t="s">
        <v>562</v>
      </c>
      <c r="F15" s="128"/>
      <c r="G15" s="128"/>
      <c r="H15" s="128"/>
      <c r="I15" s="155"/>
    </row>
    <row r="16" spans="2:10" ht="12.75" x14ac:dyDescent="0.2">
      <c r="B16" s="134"/>
      <c r="C16" s="128" t="s">
        <v>563</v>
      </c>
      <c r="D16" s="128"/>
      <c r="E16" s="129" t="s">
        <v>568</v>
      </c>
      <c r="F16" s="128"/>
      <c r="G16" s="128"/>
      <c r="H16" s="128"/>
      <c r="I16" s="155"/>
    </row>
    <row r="17" spans="2:10" ht="12.75" customHeight="1" x14ac:dyDescent="0.2">
      <c r="B17" s="134"/>
      <c r="C17" s="183"/>
      <c r="D17" s="128"/>
      <c r="E17" s="369"/>
      <c r="F17" s="369"/>
      <c r="G17" s="369"/>
      <c r="H17" s="130"/>
      <c r="I17" s="155"/>
    </row>
    <row r="18" spans="2:10" ht="12.75" customHeight="1" x14ac:dyDescent="0.2">
      <c r="B18" s="134"/>
      <c r="C18" s="183" t="s">
        <v>123</v>
      </c>
      <c r="D18" s="128"/>
      <c r="E18" s="383" t="s">
        <v>2620</v>
      </c>
      <c r="F18" s="383"/>
      <c r="G18" s="383"/>
      <c r="H18" s="341"/>
      <c r="I18" s="155"/>
    </row>
    <row r="19" spans="2:10" ht="12.75" customHeight="1" x14ac:dyDescent="0.2">
      <c r="B19" s="134"/>
      <c r="C19" s="182" t="s">
        <v>2621</v>
      </c>
      <c r="D19" s="131"/>
      <c r="E19" s="384" t="s">
        <v>126</v>
      </c>
      <c r="F19" s="385"/>
      <c r="G19" s="131"/>
      <c r="H19" s="131"/>
      <c r="I19" s="136"/>
    </row>
    <row r="20" spans="2:10" ht="12.75" customHeight="1" thickBot="1" x14ac:dyDescent="0.25">
      <c r="B20" s="134"/>
      <c r="C20" s="157"/>
      <c r="D20" s="157"/>
      <c r="E20" s="157"/>
      <c r="F20" s="157"/>
      <c r="G20" s="157"/>
      <c r="H20" s="157"/>
      <c r="I20" s="156"/>
    </row>
    <row r="21" spans="2:10" ht="12.75" x14ac:dyDescent="0.2">
      <c r="B21" s="134"/>
      <c r="C21" s="131"/>
      <c r="D21" s="131"/>
      <c r="E21" s="131"/>
      <c r="F21" s="131"/>
      <c r="G21" s="131"/>
      <c r="H21" s="131"/>
      <c r="I21" s="136"/>
    </row>
    <row r="22" spans="2:10" ht="12.75" x14ac:dyDescent="0.2">
      <c r="B22" s="134"/>
      <c r="C22" s="370"/>
      <c r="D22" s="370"/>
      <c r="E22" s="370"/>
      <c r="F22" s="371"/>
      <c r="G22" s="371"/>
      <c r="H22" s="371"/>
      <c r="I22" s="372"/>
      <c r="J22" s="125"/>
    </row>
    <row r="23" spans="2:10" ht="12.75" x14ac:dyDescent="0.2">
      <c r="B23" s="134"/>
      <c r="C23" s="135" t="s">
        <v>569</v>
      </c>
      <c r="D23" s="131"/>
      <c r="E23" s="166">
        <v>42545</v>
      </c>
      <c r="F23" s="135"/>
      <c r="G23" s="135"/>
      <c r="H23" s="131"/>
      <c r="I23" s="136"/>
    </row>
    <row r="24" spans="2:10" s="119" customFormat="1" ht="12.75" x14ac:dyDescent="0.2">
      <c r="B24" s="137"/>
      <c r="C24" s="135" t="s">
        <v>575</v>
      </c>
      <c r="D24" s="138"/>
      <c r="E24" s="166">
        <v>42545</v>
      </c>
      <c r="F24" s="135"/>
      <c r="G24" s="163"/>
      <c r="H24" s="139"/>
      <c r="I24" s="140"/>
    </row>
    <row r="25" spans="2:10" ht="12.75" x14ac:dyDescent="0.2">
      <c r="B25" s="134"/>
      <c r="C25" s="135"/>
      <c r="D25" s="131"/>
      <c r="E25" s="135"/>
      <c r="F25" s="135"/>
      <c r="G25" s="164"/>
      <c r="H25" s="141"/>
      <c r="I25" s="136"/>
    </row>
    <row r="26" spans="2:10" ht="12.75" x14ac:dyDescent="0.2">
      <c r="B26" s="134"/>
      <c r="C26" s="142"/>
      <c r="D26" s="138"/>
      <c r="E26" s="135"/>
      <c r="F26" s="135"/>
      <c r="G26" s="164"/>
      <c r="H26" s="141"/>
      <c r="I26" s="143"/>
    </row>
    <row r="27" spans="2:10" ht="12.75" x14ac:dyDescent="0.2">
      <c r="B27" s="134"/>
      <c r="C27" s="142" t="s">
        <v>576</v>
      </c>
      <c r="D27" s="138"/>
      <c r="E27" s="167" t="s">
        <v>328</v>
      </c>
      <c r="F27" s="135"/>
      <c r="G27" s="164"/>
      <c r="H27" s="141"/>
      <c r="I27" s="143"/>
    </row>
    <row r="28" spans="2:10" ht="12.75" x14ac:dyDescent="0.2">
      <c r="B28" s="134"/>
      <c r="C28" s="144" t="s">
        <v>577</v>
      </c>
      <c r="D28" s="145"/>
      <c r="E28" s="167">
        <v>21</v>
      </c>
      <c r="F28" s="135"/>
      <c r="G28" s="164"/>
      <c r="H28" s="141"/>
      <c r="I28" s="143"/>
    </row>
    <row r="29" spans="2:10" ht="12.75" x14ac:dyDescent="0.2">
      <c r="B29" s="134"/>
      <c r="C29" s="146"/>
      <c r="D29" s="138"/>
      <c r="E29" s="167" t="s">
        <v>1700</v>
      </c>
      <c r="F29" s="135"/>
      <c r="G29" s="164"/>
      <c r="H29" s="141"/>
      <c r="I29" s="143"/>
    </row>
    <row r="30" spans="2:10" ht="12.75" x14ac:dyDescent="0.2">
      <c r="B30" s="134"/>
      <c r="C30" s="147" t="s">
        <v>578</v>
      </c>
      <c r="D30" s="138"/>
      <c r="E30" s="168">
        <v>2803</v>
      </c>
      <c r="F30" s="135"/>
      <c r="G30" s="164"/>
      <c r="H30" s="141"/>
      <c r="I30" s="143"/>
    </row>
    <row r="31" spans="2:10" ht="13.5" thickBot="1" x14ac:dyDescent="0.25">
      <c r="B31" s="148"/>
      <c r="C31" s="149"/>
      <c r="D31" s="150"/>
      <c r="E31" s="373" t="s">
        <v>1700</v>
      </c>
      <c r="F31" s="373"/>
      <c r="G31" s="374"/>
      <c r="H31" s="151"/>
      <c r="I31" s="152"/>
    </row>
    <row r="32" spans="2:10" ht="12.75" x14ac:dyDescent="0.2">
      <c r="C32" s="123"/>
      <c r="D32" s="120"/>
      <c r="E32" s="356" t="s">
        <v>1700</v>
      </c>
      <c r="F32" s="356"/>
      <c r="G32" s="357"/>
      <c r="H32" s="126"/>
      <c r="I32" s="124"/>
    </row>
    <row r="33" spans="2:9" ht="13.5" thickBot="1" x14ac:dyDescent="0.25">
      <c r="C33" s="123"/>
      <c r="D33" s="120"/>
      <c r="E33" s="356" t="s">
        <v>1700</v>
      </c>
      <c r="F33" s="356"/>
      <c r="G33" s="357"/>
      <c r="H33" s="126"/>
      <c r="I33" s="124"/>
    </row>
    <row r="34" spans="2:9" ht="12.75" x14ac:dyDescent="0.2">
      <c r="B34" s="133"/>
      <c r="C34" s="364" t="s">
        <v>596</v>
      </c>
      <c r="D34" s="365"/>
      <c r="E34" s="365"/>
      <c r="F34" s="365"/>
      <c r="G34" s="365"/>
      <c r="H34" s="365"/>
      <c r="I34" s="160"/>
    </row>
    <row r="35" spans="2:9" ht="12.75" x14ac:dyDescent="0.2">
      <c r="B35" s="134"/>
      <c r="C35" s="146"/>
      <c r="D35" s="138"/>
      <c r="E35" s="362" t="s">
        <v>1700</v>
      </c>
      <c r="F35" s="362"/>
      <c r="G35" s="363"/>
      <c r="H35" s="141"/>
      <c r="I35" s="143"/>
    </row>
    <row r="36" spans="2:9" ht="15.75" customHeight="1" x14ac:dyDescent="0.2">
      <c r="B36" s="134"/>
      <c r="C36" s="169" t="s">
        <v>597</v>
      </c>
      <c r="D36" s="169" t="s">
        <v>866</v>
      </c>
      <c r="E36" s="169" t="s">
        <v>598</v>
      </c>
      <c r="F36" s="132"/>
      <c r="G36" s="158"/>
      <c r="H36" s="158"/>
      <c r="I36" s="161"/>
    </row>
    <row r="37" spans="2:9" ht="15.75" customHeight="1" x14ac:dyDescent="0.2">
      <c r="B37" s="134" t="s">
        <v>599</v>
      </c>
      <c r="C37" s="169" t="s">
        <v>600</v>
      </c>
      <c r="D37" s="169"/>
      <c r="E37" s="169" t="s">
        <v>601</v>
      </c>
      <c r="F37" s="366"/>
      <c r="G37" s="367"/>
      <c r="H37" s="367"/>
      <c r="I37" s="368"/>
    </row>
    <row r="38" spans="2:9" ht="15.75" customHeight="1" x14ac:dyDescent="0.2">
      <c r="B38" s="134" t="s">
        <v>599</v>
      </c>
      <c r="C38" s="169" t="s">
        <v>602</v>
      </c>
      <c r="D38" s="169"/>
      <c r="E38" s="169" t="s">
        <v>603</v>
      </c>
      <c r="F38" s="132"/>
      <c r="G38" s="132"/>
      <c r="H38" s="132"/>
      <c r="I38" s="161"/>
    </row>
    <row r="39" spans="2:9" ht="23.25" customHeight="1" thickBot="1" x14ac:dyDescent="0.25">
      <c r="B39" s="148"/>
      <c r="C39" s="159"/>
      <c r="D39" s="159" t="s">
        <v>604</v>
      </c>
      <c r="E39" s="159"/>
      <c r="F39" s="159"/>
      <c r="G39" s="159"/>
      <c r="H39" s="159"/>
      <c r="I39" s="162"/>
    </row>
    <row r="42" spans="2:9" x14ac:dyDescent="0.2">
      <c r="B42" s="165" t="s">
        <v>605</v>
      </c>
      <c r="C42" s="170"/>
      <c r="D42" s="170" t="s">
        <v>606</v>
      </c>
      <c r="F42" s="165" t="s">
        <v>607</v>
      </c>
      <c r="G42" s="165"/>
      <c r="H42" s="165" t="s">
        <v>608</v>
      </c>
      <c r="I42" s="165"/>
    </row>
    <row r="43" spans="2:9" ht="40.5" customHeight="1" x14ac:dyDescent="0.2">
      <c r="C43" s="359"/>
      <c r="D43" s="360"/>
      <c r="E43" s="360"/>
      <c r="F43" s="360"/>
      <c r="G43" s="360"/>
      <c r="H43" s="360"/>
      <c r="I43" s="360"/>
    </row>
    <row r="44" spans="2:9" s="119" customFormat="1" ht="26.25" customHeight="1" x14ac:dyDescent="0.2">
      <c r="C44" s="361"/>
      <c r="D44" s="361"/>
      <c r="E44" s="361"/>
      <c r="F44" s="361"/>
      <c r="G44" s="361"/>
      <c r="H44" s="361"/>
      <c r="I44" s="361"/>
    </row>
    <row r="45" spans="2:9" x14ac:dyDescent="0.2">
      <c r="C45" s="358"/>
      <c r="D45" s="358"/>
      <c r="E45" s="358"/>
      <c r="F45" s="358"/>
      <c r="G45" s="358"/>
      <c r="H45" s="358"/>
      <c r="I45" s="358"/>
    </row>
  </sheetData>
  <mergeCells count="19">
    <mergeCell ref="E17:G17"/>
    <mergeCell ref="C22:I22"/>
    <mergeCell ref="E31:G31"/>
    <mergeCell ref="F2:I2"/>
    <mergeCell ref="G6:I6"/>
    <mergeCell ref="G7:I7"/>
    <mergeCell ref="B11:I11"/>
    <mergeCell ref="G9:I9"/>
    <mergeCell ref="B12:I12"/>
    <mergeCell ref="E18:H18"/>
    <mergeCell ref="E19:F19"/>
    <mergeCell ref="E32:G32"/>
    <mergeCell ref="C45:I45"/>
    <mergeCell ref="C43:I43"/>
    <mergeCell ref="C44:I44"/>
    <mergeCell ref="E33:G33"/>
    <mergeCell ref="E35:G35"/>
    <mergeCell ref="C34:H34"/>
    <mergeCell ref="F37:I37"/>
  </mergeCells>
  <phoneticPr fontId="27" type="noConversion"/>
  <pageMargins left="0.78740157499999996" right="0.78740157499999996" top="0.984251969" bottom="0.984251969" header="0.4921259845" footer="0.4921259845"/>
  <pageSetup paperSize="9" orientation="portrait" horizontalDpi="1200" verticalDpi="120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2:J45"/>
  <sheetViews>
    <sheetView showGridLines="0" topLeftCell="A13" workbookViewId="0">
      <selection activeCell="F6" sqref="F6:G7"/>
    </sheetView>
  </sheetViews>
  <sheetFormatPr baseColWidth="10" defaultColWidth="0" defaultRowHeight="11.25" x14ac:dyDescent="0.2"/>
  <cols>
    <col min="1" max="1" width="7.28515625" style="59" customWidth="1"/>
    <col min="2" max="2" width="14.42578125" style="59" customWidth="1"/>
    <col min="3" max="3" width="15.140625" style="59" customWidth="1"/>
    <col min="4" max="4" width="10.7109375" style="59" customWidth="1"/>
    <col min="5" max="5" width="7.42578125" style="59" customWidth="1"/>
    <col min="6" max="6" width="8" style="59" customWidth="1"/>
    <col min="7" max="7" width="9.42578125" style="59" customWidth="1"/>
    <col min="8" max="8" width="10.7109375" style="59" customWidth="1"/>
    <col min="9" max="16384" width="10.7109375" style="59" hidden="1"/>
  </cols>
  <sheetData>
    <row r="2" spans="2:7" ht="12.75" x14ac:dyDescent="0.2">
      <c r="E2" s="375" t="s">
        <v>4613</v>
      </c>
      <c r="F2" s="375"/>
      <c r="G2" s="375"/>
    </row>
    <row r="5" spans="2:7" ht="15" x14ac:dyDescent="0.2">
      <c r="E5" s="119" t="s">
        <v>795</v>
      </c>
      <c r="F5" s="122"/>
    </row>
    <row r="6" spans="2:7" ht="12.75" x14ac:dyDescent="0.2">
      <c r="B6" s="119"/>
      <c r="C6" s="119"/>
      <c r="D6" s="119"/>
      <c r="E6" s="119"/>
      <c r="F6" s="376" t="s">
        <v>4320</v>
      </c>
      <c r="G6" s="376"/>
    </row>
    <row r="7" spans="2:7" ht="12.75" x14ac:dyDescent="0.2">
      <c r="B7" s="119"/>
      <c r="C7" s="119"/>
      <c r="D7" s="119"/>
      <c r="E7" s="119"/>
      <c r="F7" s="376" t="s">
        <v>4321</v>
      </c>
      <c r="G7" s="376"/>
    </row>
    <row r="8" spans="2:7" ht="12.75" x14ac:dyDescent="0.2">
      <c r="B8" s="119"/>
      <c r="C8" s="119"/>
      <c r="D8" s="119"/>
      <c r="E8" s="119" t="s">
        <v>796</v>
      </c>
      <c r="F8" s="119"/>
      <c r="G8" s="119"/>
    </row>
    <row r="9" spans="2:7" ht="12.75" x14ac:dyDescent="0.2">
      <c r="B9" s="119"/>
      <c r="C9" s="119"/>
      <c r="D9" s="119"/>
      <c r="E9" s="119"/>
      <c r="F9" s="376" t="s">
        <v>1700</v>
      </c>
      <c r="G9" s="376"/>
    </row>
    <row r="10" spans="2:7" ht="12.75" x14ac:dyDescent="0.2">
      <c r="B10" s="119"/>
      <c r="C10" s="119"/>
      <c r="D10" s="119"/>
      <c r="E10" s="119"/>
      <c r="F10" s="119"/>
      <c r="G10" s="119"/>
    </row>
    <row r="11" spans="2:7" ht="26.25" customHeight="1" x14ac:dyDescent="0.2">
      <c r="B11" s="119"/>
      <c r="C11" s="119"/>
      <c r="D11" s="119"/>
      <c r="E11" s="119"/>
      <c r="F11" s="119"/>
      <c r="G11" s="119"/>
    </row>
    <row r="12" spans="2:7" ht="58.5" customHeight="1" x14ac:dyDescent="0.2">
      <c r="B12" s="390" t="s">
        <v>1819</v>
      </c>
      <c r="C12" s="390"/>
      <c r="D12" s="390"/>
      <c r="E12" s="390"/>
      <c r="F12" s="390"/>
      <c r="G12" s="390"/>
    </row>
    <row r="13" spans="2:7" ht="27.75" customHeight="1" x14ac:dyDescent="0.2">
      <c r="B13" s="121"/>
      <c r="C13" s="121"/>
      <c r="D13" s="121"/>
      <c r="E13" s="121"/>
      <c r="F13" s="121"/>
      <c r="G13" s="121"/>
    </row>
    <row r="14" spans="2:7" ht="12.75" x14ac:dyDescent="0.2">
      <c r="B14" s="119" t="s">
        <v>793</v>
      </c>
      <c r="C14" s="119"/>
      <c r="D14" s="119"/>
      <c r="E14" s="119"/>
      <c r="F14" s="119"/>
      <c r="G14" s="119"/>
    </row>
    <row r="15" spans="2:7" ht="12.75" x14ac:dyDescent="0.2">
      <c r="B15" s="119"/>
      <c r="C15" s="119"/>
      <c r="D15" s="119"/>
      <c r="E15" s="119"/>
      <c r="F15" s="119"/>
      <c r="G15" s="119"/>
    </row>
    <row r="16" spans="2:7" ht="12.75" x14ac:dyDescent="0.2">
      <c r="B16" s="119"/>
      <c r="C16" s="119"/>
      <c r="D16" s="119"/>
      <c r="E16" s="119"/>
      <c r="F16" s="119"/>
      <c r="G16" s="119"/>
    </row>
    <row r="17" spans="1:8" ht="42" customHeight="1" x14ac:dyDescent="0.2">
      <c r="B17" s="391" t="s">
        <v>4615</v>
      </c>
      <c r="C17" s="391"/>
      <c r="D17" s="391"/>
      <c r="E17" s="391"/>
      <c r="F17" s="391"/>
      <c r="G17" s="391"/>
    </row>
    <row r="18" spans="1:8" ht="6" customHeight="1" x14ac:dyDescent="0.2">
      <c r="B18" s="118"/>
      <c r="C18" s="118"/>
      <c r="D18" s="118"/>
      <c r="E18" s="118"/>
      <c r="F18" s="118"/>
      <c r="G18" s="118"/>
    </row>
    <row r="19" spans="1:8" ht="38.25" customHeight="1" x14ac:dyDescent="0.2">
      <c r="B19" s="392" t="s">
        <v>4616</v>
      </c>
      <c r="C19" s="392"/>
      <c r="D19" s="392"/>
      <c r="E19" s="392"/>
      <c r="F19" s="392"/>
      <c r="G19" s="392"/>
    </row>
    <row r="20" spans="1:8" ht="12.75" x14ac:dyDescent="0.2">
      <c r="B20" s="118"/>
      <c r="C20" s="118"/>
      <c r="D20" s="118"/>
      <c r="E20" s="118"/>
      <c r="F20" s="118"/>
      <c r="G20" s="118"/>
    </row>
    <row r="21" spans="1:8" ht="12.75" x14ac:dyDescent="0.2">
      <c r="B21" s="386" t="s">
        <v>239</v>
      </c>
      <c r="C21" s="386"/>
      <c r="D21" s="386"/>
      <c r="E21" s="387"/>
      <c r="F21" s="387"/>
      <c r="G21" s="387"/>
      <c r="H21" s="125">
        <f>SUM(G25:G34)</f>
        <v>250</v>
      </c>
    </row>
    <row r="22" spans="1:8" ht="12.75" x14ac:dyDescent="0.2">
      <c r="B22" s="118"/>
      <c r="C22" s="118"/>
      <c r="D22" s="118"/>
      <c r="E22" s="118"/>
      <c r="F22" s="118"/>
      <c r="G22" s="118"/>
    </row>
    <row r="23" spans="1:8" s="119" customFormat="1" ht="12.75" x14ac:dyDescent="0.2">
      <c r="B23" s="120" t="s">
        <v>2127</v>
      </c>
      <c r="C23" s="120" t="s">
        <v>2129</v>
      </c>
      <c r="D23" s="356" t="s">
        <v>794</v>
      </c>
      <c r="E23" s="356"/>
      <c r="F23" s="389"/>
      <c r="G23" s="120" t="s">
        <v>2126</v>
      </c>
    </row>
    <row r="24" spans="1:8" ht="12.75" x14ac:dyDescent="0.2">
      <c r="A24" s="194"/>
      <c r="B24" s="118"/>
      <c r="C24" s="118"/>
      <c r="D24" s="356"/>
      <c r="E24" s="356"/>
      <c r="F24" s="357"/>
      <c r="G24" s="118"/>
    </row>
    <row r="25" spans="1:8" ht="12.75" x14ac:dyDescent="0.2">
      <c r="A25" s="193" t="s">
        <v>866</v>
      </c>
      <c r="B25" s="123" t="s">
        <v>503</v>
      </c>
      <c r="C25" s="120" t="s">
        <v>859</v>
      </c>
      <c r="D25" s="356" t="s">
        <v>4614</v>
      </c>
      <c r="E25" s="356"/>
      <c r="F25" s="357"/>
      <c r="G25" s="124">
        <v>250</v>
      </c>
      <c r="H25" s="192"/>
    </row>
    <row r="26" spans="1:8" ht="12.75" customHeight="1" x14ac:dyDescent="0.2">
      <c r="A26" s="193" t="s">
        <v>866</v>
      </c>
      <c r="B26" s="123" t="s">
        <v>866</v>
      </c>
      <c r="C26" s="120" t="s">
        <v>866</v>
      </c>
      <c r="D26" s="356" t="s">
        <v>866</v>
      </c>
      <c r="E26" s="356"/>
      <c r="F26" s="357"/>
      <c r="G26" s="124" t="s">
        <v>866</v>
      </c>
      <c r="H26" s="192"/>
    </row>
    <row r="27" spans="1:8" ht="12.75" customHeight="1" x14ac:dyDescent="0.2">
      <c r="A27" s="193" t="s">
        <v>866</v>
      </c>
      <c r="B27" s="123" t="s">
        <v>866</v>
      </c>
      <c r="C27" s="120" t="s">
        <v>866</v>
      </c>
      <c r="D27" s="356" t="s">
        <v>866</v>
      </c>
      <c r="E27" s="356"/>
      <c r="F27" s="357"/>
      <c r="G27" s="124" t="s">
        <v>866</v>
      </c>
      <c r="H27" s="192"/>
    </row>
    <row r="28" spans="1:8" ht="12.75" x14ac:dyDescent="0.2">
      <c r="A28" s="193" t="s">
        <v>866</v>
      </c>
      <c r="B28" s="123" t="s">
        <v>866</v>
      </c>
      <c r="C28" s="120" t="s">
        <v>866</v>
      </c>
      <c r="D28" s="356" t="s">
        <v>866</v>
      </c>
      <c r="E28" s="356"/>
      <c r="F28" s="357"/>
      <c r="G28" s="124" t="s">
        <v>866</v>
      </c>
      <c r="H28" s="192"/>
    </row>
    <row r="29" spans="1:8" ht="12.75" x14ac:dyDescent="0.2">
      <c r="A29" s="193" t="s">
        <v>866</v>
      </c>
      <c r="B29" s="123" t="s">
        <v>866</v>
      </c>
      <c r="C29" s="120" t="s">
        <v>866</v>
      </c>
      <c r="D29" s="356" t="s">
        <v>866</v>
      </c>
      <c r="E29" s="356"/>
      <c r="F29" s="357"/>
      <c r="G29" s="124" t="s">
        <v>866</v>
      </c>
      <c r="H29" s="192"/>
    </row>
    <row r="30" spans="1:8" ht="12.75" x14ac:dyDescent="0.2">
      <c r="A30" s="193" t="s">
        <v>866</v>
      </c>
      <c r="B30" s="123" t="s">
        <v>866</v>
      </c>
      <c r="C30" s="120" t="s">
        <v>866</v>
      </c>
      <c r="D30" s="356" t="s">
        <v>866</v>
      </c>
      <c r="E30" s="356"/>
      <c r="F30" s="357"/>
      <c r="G30" s="124" t="s">
        <v>866</v>
      </c>
      <c r="H30" s="192"/>
    </row>
    <row r="31" spans="1:8" ht="12.75" x14ac:dyDescent="0.2">
      <c r="A31" s="193" t="s">
        <v>866</v>
      </c>
      <c r="B31" s="123" t="s">
        <v>866</v>
      </c>
      <c r="C31" s="120" t="s">
        <v>866</v>
      </c>
      <c r="D31" s="356" t="s">
        <v>866</v>
      </c>
      <c r="E31" s="356"/>
      <c r="F31" s="357"/>
      <c r="G31" s="124" t="s">
        <v>866</v>
      </c>
      <c r="H31" s="192"/>
    </row>
    <row r="32" spans="1:8" ht="12.75" x14ac:dyDescent="0.2">
      <c r="A32" s="193" t="s">
        <v>866</v>
      </c>
      <c r="B32" s="123" t="s">
        <v>866</v>
      </c>
      <c r="C32" s="120" t="s">
        <v>866</v>
      </c>
      <c r="D32" s="356" t="s">
        <v>866</v>
      </c>
      <c r="E32" s="356"/>
      <c r="F32" s="357"/>
      <c r="G32" s="124" t="s">
        <v>866</v>
      </c>
      <c r="H32" s="192"/>
    </row>
    <row r="33" spans="1:10" ht="12.75" x14ac:dyDescent="0.2">
      <c r="A33" s="193" t="s">
        <v>866</v>
      </c>
      <c r="B33" s="123" t="s">
        <v>866</v>
      </c>
      <c r="C33" s="120" t="s">
        <v>866</v>
      </c>
      <c r="D33" s="356" t="s">
        <v>866</v>
      </c>
      <c r="E33" s="356"/>
      <c r="F33" s="357"/>
      <c r="G33" s="124" t="s">
        <v>866</v>
      </c>
      <c r="H33" s="192"/>
    </row>
    <row r="34" spans="1:10" ht="12.75" x14ac:dyDescent="0.2">
      <c r="A34" s="193" t="s">
        <v>866</v>
      </c>
      <c r="B34" s="123" t="s">
        <v>866</v>
      </c>
      <c r="C34" s="120" t="s">
        <v>866</v>
      </c>
      <c r="D34" s="356" t="s">
        <v>866</v>
      </c>
      <c r="E34" s="356"/>
      <c r="F34" s="357"/>
      <c r="G34" s="124" t="s">
        <v>866</v>
      </c>
      <c r="H34" s="192"/>
    </row>
    <row r="35" spans="1:10" ht="12.75" x14ac:dyDescent="0.2">
      <c r="A35" s="193"/>
      <c r="F35" s="117"/>
      <c r="H35" s="192"/>
    </row>
    <row r="36" spans="1:10" ht="15" x14ac:dyDescent="0.2">
      <c r="D36" s="122"/>
      <c r="E36" s="388" t="s">
        <v>1099</v>
      </c>
      <c r="F36" s="306"/>
      <c r="G36" s="306"/>
      <c r="H36" s="306"/>
      <c r="I36" s="306"/>
      <c r="J36" s="306"/>
    </row>
    <row r="42" spans="1:10" ht="40.5" customHeight="1" x14ac:dyDescent="0.2">
      <c r="B42" s="359" t="s">
        <v>3935</v>
      </c>
      <c r="C42" s="360"/>
      <c r="D42" s="360"/>
      <c r="E42" s="360"/>
      <c r="F42" s="360"/>
      <c r="G42" s="360"/>
    </row>
    <row r="43" spans="1:10" s="119" customFormat="1" ht="26.25" customHeight="1" x14ac:dyDescent="0.2">
      <c r="B43" s="361" t="s">
        <v>809</v>
      </c>
      <c r="C43" s="361"/>
      <c r="D43" s="361"/>
      <c r="E43" s="361"/>
      <c r="F43" s="361"/>
      <c r="G43" s="361"/>
    </row>
    <row r="44" spans="1:10" x14ac:dyDescent="0.2">
      <c r="B44" s="358"/>
      <c r="C44" s="358"/>
      <c r="D44" s="358"/>
      <c r="E44" s="358"/>
      <c r="F44" s="358"/>
      <c r="G44" s="358"/>
    </row>
    <row r="45" spans="1:10" s="195" customFormat="1" ht="12.75" x14ac:dyDescent="0.2"/>
  </sheetData>
  <mergeCells count="24">
    <mergeCell ref="E2:G2"/>
    <mergeCell ref="B12:G12"/>
    <mergeCell ref="B17:G17"/>
    <mergeCell ref="B19:G19"/>
    <mergeCell ref="F6:G6"/>
    <mergeCell ref="F7:G7"/>
    <mergeCell ref="F9:G9"/>
    <mergeCell ref="B21:G21"/>
    <mergeCell ref="E36:J36"/>
    <mergeCell ref="D23:F23"/>
    <mergeCell ref="D24:F24"/>
    <mergeCell ref="D25:F25"/>
    <mergeCell ref="B44:G44"/>
    <mergeCell ref="D26:F26"/>
    <mergeCell ref="D27:F27"/>
    <mergeCell ref="D28:F28"/>
    <mergeCell ref="D29:F29"/>
    <mergeCell ref="D30:F30"/>
    <mergeCell ref="D33:F33"/>
    <mergeCell ref="D34:F34"/>
    <mergeCell ref="B43:G43"/>
    <mergeCell ref="D31:F31"/>
    <mergeCell ref="D32:F32"/>
    <mergeCell ref="B42:G42"/>
  </mergeCells>
  <phoneticPr fontId="0" type="noConversion"/>
  <pageMargins left="0.78740157499999996" right="0.78740157499999996" top="1.01" bottom="0.5" header="0.4921259845" footer="0.4921259845"/>
  <pageSetup paperSize="9" orientation="portrait" horizontalDpi="1200" verticalDpi="120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:D113"/>
  <sheetViews>
    <sheetView workbookViewId="0">
      <selection sqref="A1:XFD1048576"/>
    </sheetView>
  </sheetViews>
  <sheetFormatPr baseColWidth="10" defaultRowHeight="12.75" x14ac:dyDescent="0.2"/>
  <cols>
    <col min="2" max="2" width="11.42578125" style="172"/>
    <col min="3" max="3" width="11.42578125" style="171"/>
  </cols>
  <sheetData>
    <row r="1" spans="1:4" x14ac:dyDescent="0.2">
      <c r="A1" s="177">
        <v>42545</v>
      </c>
      <c r="B1" s="172" t="s">
        <v>1518</v>
      </c>
      <c r="C1" s="171" t="s">
        <v>4096</v>
      </c>
      <c r="D1" t="s">
        <v>4907</v>
      </c>
    </row>
    <row r="2" spans="1:4" x14ac:dyDescent="0.2">
      <c r="A2" s="177">
        <v>42493</v>
      </c>
      <c r="B2" s="172" t="s">
        <v>1518</v>
      </c>
      <c r="C2" s="171" t="s">
        <v>4096</v>
      </c>
      <c r="D2" t="s">
        <v>4817</v>
      </c>
    </row>
    <row r="3" spans="1:4" x14ac:dyDescent="0.2">
      <c r="A3" s="177">
        <v>42453</v>
      </c>
      <c r="B3" s="172" t="s">
        <v>1518</v>
      </c>
      <c r="C3" s="171" t="s">
        <v>4096</v>
      </c>
      <c r="D3" t="s">
        <v>4775</v>
      </c>
    </row>
    <row r="4" spans="1:4" x14ac:dyDescent="0.2">
      <c r="A4" s="177">
        <v>42439</v>
      </c>
      <c r="B4" s="172" t="s">
        <v>1518</v>
      </c>
      <c r="C4" s="171" t="s">
        <v>4096</v>
      </c>
      <c r="D4" t="s">
        <v>4701</v>
      </c>
    </row>
    <row r="5" spans="1:4" x14ac:dyDescent="0.2">
      <c r="A5" s="177">
        <v>42416</v>
      </c>
      <c r="B5" s="172" t="s">
        <v>1518</v>
      </c>
      <c r="C5" s="171" t="s">
        <v>4096</v>
      </c>
      <c r="D5" t="s">
        <v>4694</v>
      </c>
    </row>
    <row r="6" spans="1:4" x14ac:dyDescent="0.2">
      <c r="A6" s="177">
        <v>42395</v>
      </c>
      <c r="B6" s="172" t="s">
        <v>1518</v>
      </c>
      <c r="C6" s="171" t="s">
        <v>4096</v>
      </c>
      <c r="D6" t="s">
        <v>4625</v>
      </c>
    </row>
    <row r="7" spans="1:4" x14ac:dyDescent="0.2">
      <c r="A7" s="177">
        <v>42395</v>
      </c>
      <c r="B7" s="172" t="s">
        <v>1518</v>
      </c>
      <c r="C7" s="171" t="s">
        <v>4096</v>
      </c>
      <c r="D7" t="s">
        <v>4624</v>
      </c>
    </row>
    <row r="8" spans="1:4" x14ac:dyDescent="0.2">
      <c r="A8" s="177">
        <v>42360</v>
      </c>
      <c r="B8" s="172" t="s">
        <v>1518</v>
      </c>
      <c r="C8" s="171" t="s">
        <v>4096</v>
      </c>
      <c r="D8" t="s">
        <v>4589</v>
      </c>
    </row>
    <row r="9" spans="1:4" x14ac:dyDescent="0.2">
      <c r="A9" s="177">
        <v>42352</v>
      </c>
      <c r="B9" s="172" t="s">
        <v>1518</v>
      </c>
      <c r="C9" s="171" t="s">
        <v>4096</v>
      </c>
      <c r="D9" t="s">
        <v>4431</v>
      </c>
    </row>
    <row r="10" spans="1:4" x14ac:dyDescent="0.2">
      <c r="A10" s="177">
        <v>42334</v>
      </c>
      <c r="B10" s="172" t="s">
        <v>1518</v>
      </c>
      <c r="C10" s="171" t="s">
        <v>4096</v>
      </c>
      <c r="D10" t="s">
        <v>4382</v>
      </c>
    </row>
    <row r="11" spans="1:4" x14ac:dyDescent="0.2">
      <c r="A11" s="177">
        <v>42313</v>
      </c>
      <c r="B11" s="172" t="s">
        <v>1518</v>
      </c>
      <c r="C11" s="171" t="s">
        <v>4096</v>
      </c>
      <c r="D11" t="s">
        <v>4316</v>
      </c>
    </row>
    <row r="12" spans="1:4" x14ac:dyDescent="0.2">
      <c r="A12" s="177">
        <v>42311</v>
      </c>
      <c r="B12" s="172" t="s">
        <v>1518</v>
      </c>
      <c r="C12" s="171" t="s">
        <v>4096</v>
      </c>
      <c r="D12" t="s">
        <v>4314</v>
      </c>
    </row>
    <row r="13" spans="1:4" x14ac:dyDescent="0.2">
      <c r="A13" s="177">
        <v>42299</v>
      </c>
      <c r="B13" s="172" t="s">
        <v>1518</v>
      </c>
      <c r="C13" s="171" t="s">
        <v>4096</v>
      </c>
      <c r="D13" t="s">
        <v>4109</v>
      </c>
    </row>
    <row r="14" spans="1:4" x14ac:dyDescent="0.2">
      <c r="A14" s="177">
        <v>42286</v>
      </c>
      <c r="B14" s="172" t="s">
        <v>1777</v>
      </c>
      <c r="C14" s="171" t="s">
        <v>1835</v>
      </c>
      <c r="D14" t="s">
        <v>4025</v>
      </c>
    </row>
    <row r="15" spans="1:4" x14ac:dyDescent="0.2">
      <c r="A15" s="177"/>
    </row>
    <row r="16" spans="1:4" x14ac:dyDescent="0.2">
      <c r="A16" s="177"/>
    </row>
    <row r="17" spans="1:1" x14ac:dyDescent="0.2">
      <c r="A17" s="177"/>
    </row>
    <row r="18" spans="1:1" x14ac:dyDescent="0.2">
      <c r="A18" s="177"/>
    </row>
    <row r="19" spans="1:1" x14ac:dyDescent="0.2">
      <c r="A19" s="177"/>
    </row>
    <row r="20" spans="1:1" x14ac:dyDescent="0.2">
      <c r="A20" s="177"/>
    </row>
    <row r="21" spans="1:1" x14ac:dyDescent="0.2">
      <c r="A21" s="177"/>
    </row>
    <row r="22" spans="1:1" x14ac:dyDescent="0.2">
      <c r="A22" s="177"/>
    </row>
    <row r="23" spans="1:1" x14ac:dyDescent="0.2">
      <c r="A23" s="177"/>
    </row>
    <row r="24" spans="1:1" x14ac:dyDescent="0.2">
      <c r="A24" s="177"/>
    </row>
    <row r="25" spans="1:1" x14ac:dyDescent="0.2">
      <c r="A25" s="177"/>
    </row>
    <row r="26" spans="1:1" x14ac:dyDescent="0.2">
      <c r="A26" s="177"/>
    </row>
    <row r="27" spans="1:1" x14ac:dyDescent="0.2">
      <c r="A27" s="177"/>
    </row>
    <row r="28" spans="1:1" x14ac:dyDescent="0.2">
      <c r="A28" s="177"/>
    </row>
    <row r="29" spans="1:1" x14ac:dyDescent="0.2">
      <c r="A29" s="177"/>
    </row>
    <row r="30" spans="1:1" x14ac:dyDescent="0.2">
      <c r="A30" s="177"/>
    </row>
    <row r="31" spans="1:1" x14ac:dyDescent="0.2">
      <c r="A31" s="177"/>
    </row>
    <row r="32" spans="1:1" x14ac:dyDescent="0.2">
      <c r="A32" s="177"/>
    </row>
    <row r="33" spans="1:1" x14ac:dyDescent="0.2">
      <c r="A33" s="177"/>
    </row>
    <row r="34" spans="1:1" x14ac:dyDescent="0.2">
      <c r="A34" s="177"/>
    </row>
    <row r="35" spans="1:1" x14ac:dyDescent="0.2">
      <c r="A35" s="177"/>
    </row>
    <row r="36" spans="1:1" x14ac:dyDescent="0.2">
      <c r="A36" s="177"/>
    </row>
    <row r="37" spans="1:1" x14ac:dyDescent="0.2">
      <c r="A37" s="177"/>
    </row>
    <row r="38" spans="1:1" x14ac:dyDescent="0.2">
      <c r="A38" s="177"/>
    </row>
    <row r="39" spans="1:1" x14ac:dyDescent="0.2">
      <c r="A39" s="177"/>
    </row>
    <row r="40" spans="1:1" x14ac:dyDescent="0.2">
      <c r="A40" s="177"/>
    </row>
    <row r="41" spans="1:1" x14ac:dyDescent="0.2">
      <c r="A41" s="177"/>
    </row>
    <row r="42" spans="1:1" x14ac:dyDescent="0.2">
      <c r="A42" s="177"/>
    </row>
    <row r="43" spans="1:1" x14ac:dyDescent="0.2">
      <c r="A43" s="177"/>
    </row>
    <row r="44" spans="1:1" x14ac:dyDescent="0.2">
      <c r="A44" s="177"/>
    </row>
    <row r="45" spans="1:1" x14ac:dyDescent="0.2">
      <c r="A45" s="177"/>
    </row>
    <row r="46" spans="1:1" x14ac:dyDescent="0.2">
      <c r="A46" s="177"/>
    </row>
    <row r="47" spans="1:1" x14ac:dyDescent="0.2">
      <c r="A47" s="177"/>
    </row>
    <row r="48" spans="1:1" x14ac:dyDescent="0.2">
      <c r="A48" s="177"/>
    </row>
    <row r="49" spans="1:1" x14ac:dyDescent="0.2">
      <c r="A49" s="177"/>
    </row>
    <row r="50" spans="1:1" x14ac:dyDescent="0.2">
      <c r="A50" s="177"/>
    </row>
    <row r="51" spans="1:1" x14ac:dyDescent="0.2">
      <c r="A51" s="177"/>
    </row>
    <row r="52" spans="1:1" x14ac:dyDescent="0.2">
      <c r="A52" s="177"/>
    </row>
    <row r="53" spans="1:1" x14ac:dyDescent="0.2">
      <c r="A53" s="177"/>
    </row>
    <row r="54" spans="1:1" x14ac:dyDescent="0.2">
      <c r="A54" s="177"/>
    </row>
    <row r="55" spans="1:1" x14ac:dyDescent="0.2">
      <c r="A55" s="177"/>
    </row>
    <row r="56" spans="1:1" x14ac:dyDescent="0.2">
      <c r="A56" s="177"/>
    </row>
    <row r="57" spans="1:1" x14ac:dyDescent="0.2">
      <c r="A57" s="177"/>
    </row>
    <row r="58" spans="1:1" x14ac:dyDescent="0.2">
      <c r="A58" s="177"/>
    </row>
    <row r="59" spans="1:1" x14ac:dyDescent="0.2">
      <c r="A59" s="177"/>
    </row>
    <row r="60" spans="1:1" x14ac:dyDescent="0.2">
      <c r="A60" s="177"/>
    </row>
    <row r="61" spans="1:1" x14ac:dyDescent="0.2">
      <c r="A61" s="177"/>
    </row>
    <row r="62" spans="1:1" x14ac:dyDescent="0.2">
      <c r="A62" s="177"/>
    </row>
    <row r="63" spans="1:1" x14ac:dyDescent="0.2">
      <c r="A63" s="177"/>
    </row>
    <row r="64" spans="1:1" x14ac:dyDescent="0.2">
      <c r="A64" s="177"/>
    </row>
    <row r="65" spans="1:1" x14ac:dyDescent="0.2">
      <c r="A65" s="177"/>
    </row>
    <row r="66" spans="1:1" x14ac:dyDescent="0.2">
      <c r="A66" s="177"/>
    </row>
    <row r="67" spans="1:1" x14ac:dyDescent="0.2">
      <c r="A67" s="177"/>
    </row>
    <row r="68" spans="1:1" x14ac:dyDescent="0.2">
      <c r="A68" s="177"/>
    </row>
    <row r="69" spans="1:1" x14ac:dyDescent="0.2">
      <c r="A69" s="177"/>
    </row>
    <row r="70" spans="1:1" x14ac:dyDescent="0.2">
      <c r="A70" s="177"/>
    </row>
    <row r="71" spans="1:1" x14ac:dyDescent="0.2">
      <c r="A71" s="177"/>
    </row>
    <row r="72" spans="1:1" x14ac:dyDescent="0.2">
      <c r="A72" s="177"/>
    </row>
    <row r="73" spans="1:1" x14ac:dyDescent="0.2">
      <c r="A73" s="177"/>
    </row>
    <row r="74" spans="1:1" x14ac:dyDescent="0.2">
      <c r="A74" s="177"/>
    </row>
    <row r="75" spans="1:1" x14ac:dyDescent="0.2">
      <c r="A75" s="177"/>
    </row>
    <row r="76" spans="1:1" x14ac:dyDescent="0.2">
      <c r="A76" s="177"/>
    </row>
    <row r="77" spans="1:1" x14ac:dyDescent="0.2">
      <c r="A77" s="177"/>
    </row>
    <row r="78" spans="1:1" x14ac:dyDescent="0.2">
      <c r="A78" s="177"/>
    </row>
    <row r="79" spans="1:1" x14ac:dyDescent="0.2">
      <c r="A79" s="177"/>
    </row>
    <row r="80" spans="1:1" x14ac:dyDescent="0.2">
      <c r="A80" s="177"/>
    </row>
    <row r="81" spans="1:1" x14ac:dyDescent="0.2">
      <c r="A81" s="177"/>
    </row>
    <row r="82" spans="1:1" x14ac:dyDescent="0.2">
      <c r="A82" s="177"/>
    </row>
    <row r="83" spans="1:1" x14ac:dyDescent="0.2">
      <c r="A83" s="177"/>
    </row>
    <row r="84" spans="1:1" x14ac:dyDescent="0.2">
      <c r="A84" s="177"/>
    </row>
    <row r="85" spans="1:1" x14ac:dyDescent="0.2">
      <c r="A85" s="177"/>
    </row>
    <row r="86" spans="1:1" x14ac:dyDescent="0.2">
      <c r="A86" s="177"/>
    </row>
    <row r="87" spans="1:1" x14ac:dyDescent="0.2">
      <c r="A87" s="177"/>
    </row>
    <row r="88" spans="1:1" x14ac:dyDescent="0.2">
      <c r="A88" s="177"/>
    </row>
    <row r="89" spans="1:1" x14ac:dyDescent="0.2">
      <c r="A89" s="177"/>
    </row>
    <row r="90" spans="1:1" x14ac:dyDescent="0.2">
      <c r="A90" s="177"/>
    </row>
    <row r="91" spans="1:1" x14ac:dyDescent="0.2">
      <c r="A91" s="177"/>
    </row>
    <row r="92" spans="1:1" x14ac:dyDescent="0.2">
      <c r="A92" s="177"/>
    </row>
    <row r="93" spans="1:1" x14ac:dyDescent="0.2">
      <c r="A93" s="177"/>
    </row>
    <row r="94" spans="1:1" x14ac:dyDescent="0.2">
      <c r="A94" s="177"/>
    </row>
    <row r="95" spans="1:1" x14ac:dyDescent="0.2">
      <c r="A95" s="177"/>
    </row>
    <row r="96" spans="1:1" x14ac:dyDescent="0.2">
      <c r="A96" s="177"/>
    </row>
    <row r="97" spans="1:1" x14ac:dyDescent="0.2">
      <c r="A97" s="177"/>
    </row>
    <row r="98" spans="1:1" x14ac:dyDescent="0.2">
      <c r="A98" s="177"/>
    </row>
    <row r="99" spans="1:1" x14ac:dyDescent="0.2">
      <c r="A99" s="177"/>
    </row>
    <row r="100" spans="1:1" x14ac:dyDescent="0.2">
      <c r="A100" s="177"/>
    </row>
    <row r="101" spans="1:1" x14ac:dyDescent="0.2">
      <c r="A101" s="177"/>
    </row>
    <row r="102" spans="1:1" x14ac:dyDescent="0.2">
      <c r="A102" s="177"/>
    </row>
    <row r="103" spans="1:1" x14ac:dyDescent="0.2">
      <c r="A103" s="177"/>
    </row>
    <row r="104" spans="1:1" x14ac:dyDescent="0.2">
      <c r="A104" s="177"/>
    </row>
    <row r="105" spans="1:1" x14ac:dyDescent="0.2">
      <c r="A105" s="177"/>
    </row>
    <row r="106" spans="1:1" x14ac:dyDescent="0.2">
      <c r="A106" s="177"/>
    </row>
    <row r="107" spans="1:1" x14ac:dyDescent="0.2">
      <c r="A107" s="177"/>
    </row>
    <row r="108" spans="1:1" x14ac:dyDescent="0.2">
      <c r="A108" s="177"/>
    </row>
    <row r="109" spans="1:1" x14ac:dyDescent="0.2">
      <c r="A109" s="177"/>
    </row>
    <row r="110" spans="1:1" x14ac:dyDescent="0.2">
      <c r="A110" s="177"/>
    </row>
    <row r="111" spans="1:1" x14ac:dyDescent="0.2">
      <c r="A111" s="177"/>
    </row>
    <row r="112" spans="1:1" x14ac:dyDescent="0.2">
      <c r="A112" s="177"/>
    </row>
    <row r="113" spans="1:1" x14ac:dyDescent="0.2">
      <c r="A113" s="177"/>
    </row>
  </sheetData>
  <phoneticPr fontId="27" type="noConversion"/>
  <pageMargins left="0.78740157499999996" right="0.78740157499999996" top="0.984251969" bottom="0.984251969" header="0.4921259845" footer="0.492125984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1"/>
  <dimension ref="B1:M32"/>
  <sheetViews>
    <sheetView showRowColHeaders="0" zoomScale="90" zoomScaleNormal="90" workbookViewId="0">
      <selection activeCell="E1" sqref="E1:F1"/>
    </sheetView>
  </sheetViews>
  <sheetFormatPr baseColWidth="10" defaultColWidth="11.42578125" defaultRowHeight="12.75" x14ac:dyDescent="0.2"/>
  <cols>
    <col min="1" max="1" width="3.42578125" style="87" customWidth="1"/>
    <col min="2" max="2" width="24.7109375" style="87" customWidth="1"/>
    <col min="3" max="3" width="18" style="87" customWidth="1"/>
    <col min="4" max="4" width="8.42578125" style="232" customWidth="1"/>
    <col min="5" max="5" width="21.42578125" style="87" customWidth="1"/>
    <col min="6" max="6" width="23.85546875" style="87" customWidth="1"/>
    <col min="7" max="7" width="33.42578125" style="87" customWidth="1"/>
    <col min="8" max="9" width="9.140625" style="87" customWidth="1"/>
    <col min="10" max="10" width="13.7109375" style="87" customWidth="1"/>
    <col min="11" max="11" width="4.28515625" style="87" hidden="1" customWidth="1"/>
    <col min="12" max="12" width="5.5703125" style="242" hidden="1" customWidth="1"/>
    <col min="13" max="13" width="11.42578125" style="242" hidden="1" customWidth="1"/>
    <col min="14" max="14" width="0" style="87" hidden="1" customWidth="1"/>
    <col min="15" max="16384" width="11.42578125" style="87"/>
  </cols>
  <sheetData>
    <row r="1" spans="2:13" ht="24.75" customHeight="1" x14ac:dyDescent="0.4">
      <c r="E1" s="223" t="s">
        <v>222</v>
      </c>
      <c r="F1" s="223"/>
      <c r="G1" s="223"/>
      <c r="L1" s="242">
        <v>3</v>
      </c>
    </row>
    <row r="2" spans="2:13" ht="6.75" customHeight="1" x14ac:dyDescent="0.2"/>
    <row r="3" spans="2:13" ht="13.5" thickBot="1" x14ac:dyDescent="0.25">
      <c r="D3" s="233"/>
      <c r="E3" s="224"/>
      <c r="F3" s="393"/>
      <c r="G3" s="393"/>
      <c r="H3" s="224"/>
      <c r="I3" s="224"/>
      <c r="J3" s="224"/>
    </row>
    <row r="4" spans="2:13" ht="13.5" thickBot="1" x14ac:dyDescent="0.25">
      <c r="B4" s="225" t="s">
        <v>1022</v>
      </c>
      <c r="C4" s="226" t="s">
        <v>1025</v>
      </c>
      <c r="D4" s="243" t="s">
        <v>223</v>
      </c>
      <c r="E4" s="227" t="s">
        <v>1026</v>
      </c>
      <c r="F4" s="228" t="s">
        <v>2129</v>
      </c>
      <c r="G4" s="229" t="s">
        <v>237</v>
      </c>
      <c r="H4" s="273" t="s">
        <v>2770</v>
      </c>
      <c r="I4" s="273" t="s">
        <v>2771</v>
      </c>
      <c r="J4" s="230"/>
    </row>
    <row r="6" spans="2:13" x14ac:dyDescent="0.2">
      <c r="B6" s="237"/>
      <c r="C6" s="237"/>
      <c r="D6" s="238"/>
      <c r="E6" s="239"/>
      <c r="F6" s="239"/>
      <c r="G6" s="239"/>
      <c r="H6" s="270"/>
      <c r="I6" s="274"/>
      <c r="J6" s="241"/>
      <c r="L6" s="242">
        <v>432</v>
      </c>
      <c r="M6" s="242">
        <v>1</v>
      </c>
    </row>
    <row r="7" spans="2:13" x14ac:dyDescent="0.2">
      <c r="B7" s="234"/>
      <c r="C7" s="234"/>
      <c r="D7" s="235"/>
      <c r="E7" s="236"/>
      <c r="F7" s="236"/>
      <c r="G7" s="236"/>
      <c r="H7" s="272"/>
      <c r="I7" s="271"/>
      <c r="J7" s="90"/>
      <c r="L7" s="242">
        <v>432</v>
      </c>
      <c r="M7" s="242">
        <v>1</v>
      </c>
    </row>
    <row r="8" spans="2:13" x14ac:dyDescent="0.2">
      <c r="B8" s="234"/>
      <c r="C8" s="234"/>
      <c r="D8" s="235"/>
      <c r="E8" s="236"/>
      <c r="F8" s="236"/>
      <c r="G8" s="236"/>
      <c r="H8" s="272"/>
      <c r="I8" s="271"/>
      <c r="J8" s="241"/>
      <c r="L8" s="242">
        <v>501</v>
      </c>
      <c r="M8" s="242">
        <v>1</v>
      </c>
    </row>
    <row r="9" spans="2:13" x14ac:dyDescent="0.2">
      <c r="B9" s="234"/>
      <c r="C9" s="234"/>
      <c r="D9" s="235"/>
      <c r="E9" s="236"/>
      <c r="F9" s="236"/>
      <c r="G9" s="236"/>
      <c r="H9" s="272"/>
      <c r="I9" s="271"/>
      <c r="J9" s="241"/>
      <c r="L9" s="242">
        <v>422</v>
      </c>
      <c r="M9" s="242">
        <v>1</v>
      </c>
    </row>
    <row r="10" spans="2:13" x14ac:dyDescent="0.2">
      <c r="B10" s="234"/>
      <c r="C10" s="234"/>
      <c r="D10" s="235"/>
      <c r="E10" s="236"/>
      <c r="F10" s="236"/>
      <c r="G10" s="236"/>
      <c r="H10" s="272"/>
      <c r="I10" s="271"/>
      <c r="J10" s="90"/>
      <c r="L10" s="242">
        <v>432</v>
      </c>
      <c r="M10" s="242">
        <v>1</v>
      </c>
    </row>
    <row r="11" spans="2:13" x14ac:dyDescent="0.2">
      <c r="B11" s="234"/>
      <c r="C11" s="234"/>
      <c r="D11" s="235"/>
      <c r="E11" s="236"/>
      <c r="F11" s="236"/>
      <c r="G11" s="236"/>
      <c r="H11" s="272"/>
      <c r="I11" s="271"/>
      <c r="J11" s="90"/>
      <c r="L11" s="242">
        <v>501</v>
      </c>
      <c r="M11" s="242">
        <v>1</v>
      </c>
    </row>
    <row r="12" spans="2:13" x14ac:dyDescent="0.2">
      <c r="B12" s="234"/>
      <c r="C12" s="234"/>
      <c r="D12" s="235"/>
      <c r="E12" s="236"/>
      <c r="F12" s="236"/>
      <c r="G12" s="236"/>
      <c r="H12" s="272"/>
      <c r="I12" s="271"/>
      <c r="J12" s="241"/>
      <c r="L12" s="242">
        <v>627</v>
      </c>
      <c r="M12" s="242">
        <v>1</v>
      </c>
    </row>
    <row r="13" spans="2:13" x14ac:dyDescent="0.2">
      <c r="B13" s="234"/>
      <c r="C13" s="234"/>
      <c r="D13" s="235"/>
      <c r="E13" s="236"/>
      <c r="F13" s="236"/>
      <c r="G13" s="236"/>
      <c r="H13" s="272"/>
      <c r="I13" s="271"/>
      <c r="J13" s="241"/>
      <c r="L13" s="242">
        <v>651</v>
      </c>
      <c r="M13" s="242">
        <v>1</v>
      </c>
    </row>
    <row r="14" spans="2:13" x14ac:dyDescent="0.2">
      <c r="B14" s="234"/>
      <c r="C14" s="234"/>
      <c r="D14" s="235"/>
      <c r="E14" s="236"/>
      <c r="F14" s="236"/>
      <c r="G14" s="236"/>
      <c r="H14" s="272"/>
      <c r="I14" s="271"/>
      <c r="J14" s="90"/>
      <c r="L14" s="242">
        <v>627</v>
      </c>
      <c r="M14" s="242">
        <v>1</v>
      </c>
    </row>
    <row r="15" spans="2:13" x14ac:dyDescent="0.2">
      <c r="B15" s="234"/>
      <c r="C15" s="234"/>
      <c r="D15" s="235"/>
      <c r="E15" s="236"/>
      <c r="F15" s="236"/>
      <c r="G15" s="236"/>
      <c r="H15" s="272"/>
      <c r="I15" s="271"/>
      <c r="J15" s="90"/>
      <c r="L15" s="242">
        <v>651</v>
      </c>
      <c r="M15" s="242">
        <v>1</v>
      </c>
    </row>
    <row r="16" spans="2:13" x14ac:dyDescent="0.2">
      <c r="B16" s="234"/>
      <c r="C16" s="234"/>
      <c r="D16" s="235"/>
      <c r="E16" s="236"/>
      <c r="F16" s="236"/>
      <c r="G16" s="236"/>
      <c r="H16" s="272"/>
      <c r="I16" s="271"/>
      <c r="J16" s="241"/>
      <c r="L16" s="242">
        <v>904</v>
      </c>
      <c r="M16" s="242">
        <v>1</v>
      </c>
    </row>
    <row r="17" spans="2:13" x14ac:dyDescent="0.2">
      <c r="B17" s="234"/>
      <c r="C17" s="234"/>
      <c r="D17" s="235"/>
      <c r="E17" s="236"/>
      <c r="F17" s="236"/>
      <c r="G17" s="236"/>
      <c r="H17" s="272"/>
      <c r="I17" s="271"/>
      <c r="J17" s="90"/>
      <c r="L17" s="242">
        <v>432</v>
      </c>
      <c r="M17" s="242">
        <v>1</v>
      </c>
    </row>
    <row r="18" spans="2:13" x14ac:dyDescent="0.2">
      <c r="B18" s="234"/>
      <c r="C18" s="234"/>
      <c r="D18" s="235"/>
      <c r="E18" s="236"/>
      <c r="F18" s="236"/>
      <c r="G18" s="236"/>
      <c r="H18" s="272"/>
      <c r="I18" s="271"/>
      <c r="J18" s="241"/>
      <c r="L18" s="242">
        <v>474</v>
      </c>
      <c r="M18" s="242">
        <v>1</v>
      </c>
    </row>
    <row r="19" spans="2:13" x14ac:dyDescent="0.2">
      <c r="B19" s="234"/>
      <c r="C19" s="234"/>
      <c r="D19" s="235"/>
      <c r="E19" s="236"/>
      <c r="F19" s="236"/>
      <c r="G19" s="236"/>
      <c r="H19" s="272"/>
      <c r="I19" s="271"/>
      <c r="J19" s="90"/>
      <c r="L19" s="242">
        <v>501</v>
      </c>
      <c r="M19" s="242">
        <v>1</v>
      </c>
    </row>
    <row r="20" spans="2:13" x14ac:dyDescent="0.2">
      <c r="B20" s="234"/>
      <c r="C20" s="234"/>
      <c r="D20" s="235"/>
      <c r="E20" s="236"/>
      <c r="F20" s="236"/>
      <c r="G20" s="236"/>
      <c r="H20" s="272"/>
      <c r="I20" s="271"/>
      <c r="J20" s="241"/>
      <c r="L20" s="242">
        <v>547</v>
      </c>
      <c r="M20" s="242">
        <v>3</v>
      </c>
    </row>
    <row r="21" spans="2:13" x14ac:dyDescent="0.2">
      <c r="B21" s="234"/>
      <c r="C21" s="234"/>
      <c r="D21" s="235"/>
      <c r="E21" s="236"/>
      <c r="F21" s="236"/>
      <c r="G21" s="236"/>
      <c r="H21" s="272"/>
      <c r="I21" s="271"/>
      <c r="J21" s="241"/>
      <c r="L21" s="242">
        <v>564</v>
      </c>
      <c r="M21" s="242">
        <v>2</v>
      </c>
    </row>
    <row r="22" spans="2:13" x14ac:dyDescent="0.2">
      <c r="B22" s="234"/>
      <c r="C22" s="234"/>
      <c r="D22" s="235"/>
      <c r="E22" s="236"/>
      <c r="F22" s="236"/>
      <c r="G22" s="236"/>
      <c r="H22" s="272"/>
      <c r="I22" s="271"/>
      <c r="J22" s="90"/>
      <c r="L22" s="242">
        <v>627</v>
      </c>
      <c r="M22" s="242">
        <v>1</v>
      </c>
    </row>
    <row r="23" spans="2:13" x14ac:dyDescent="0.2">
      <c r="B23" s="234"/>
      <c r="C23" s="234"/>
      <c r="D23" s="235"/>
      <c r="E23" s="236"/>
      <c r="F23" s="236"/>
      <c r="G23" s="236"/>
      <c r="H23" s="272"/>
      <c r="I23" s="271"/>
      <c r="J23" s="90"/>
      <c r="L23" s="242">
        <v>651</v>
      </c>
      <c r="M23" s="242">
        <v>1</v>
      </c>
    </row>
    <row r="24" spans="2:13" x14ac:dyDescent="0.2">
      <c r="B24" s="234"/>
      <c r="C24" s="234"/>
      <c r="D24" s="235"/>
      <c r="E24" s="236"/>
      <c r="F24" s="236"/>
      <c r="G24" s="236"/>
      <c r="H24" s="272"/>
      <c r="I24" s="271"/>
      <c r="J24" s="90"/>
      <c r="L24" s="242">
        <v>904</v>
      </c>
      <c r="M24" s="242">
        <v>1</v>
      </c>
    </row>
    <row r="25" spans="2:13" x14ac:dyDescent="0.2">
      <c r="B25" s="234"/>
      <c r="C25" s="234"/>
      <c r="D25" s="235"/>
      <c r="E25" s="236"/>
      <c r="F25" s="236"/>
      <c r="G25" s="236"/>
      <c r="H25" s="269"/>
      <c r="I25" s="236"/>
      <c r="J25" s="241"/>
      <c r="L25" s="242">
        <v>19</v>
      </c>
      <c r="M25" s="242">
        <v>2</v>
      </c>
    </row>
    <row r="26" spans="2:13" x14ac:dyDescent="0.2">
      <c r="B26" s="234"/>
      <c r="C26" s="234"/>
      <c r="D26" s="235"/>
      <c r="E26" s="236"/>
      <c r="F26" s="236"/>
      <c r="G26" s="236"/>
      <c r="H26" s="269"/>
      <c r="I26" s="236"/>
      <c r="J26" s="240"/>
      <c r="L26" s="242">
        <v>19</v>
      </c>
      <c r="M26" s="242">
        <v>3</v>
      </c>
    </row>
    <row r="27" spans="2:13" x14ac:dyDescent="0.2">
      <c r="B27" s="234"/>
      <c r="C27" s="234"/>
      <c r="D27" s="235"/>
      <c r="E27" s="236"/>
      <c r="F27" s="236"/>
      <c r="G27" s="236"/>
      <c r="H27" s="269"/>
      <c r="I27" s="236"/>
      <c r="J27" s="240"/>
      <c r="L27" s="242">
        <v>19</v>
      </c>
      <c r="M27" s="242">
        <v>4</v>
      </c>
    </row>
    <row r="28" spans="2:13" x14ac:dyDescent="0.2">
      <c r="B28" s="234"/>
      <c r="C28" s="234"/>
      <c r="D28" s="235"/>
      <c r="E28" s="236"/>
      <c r="F28" s="236"/>
      <c r="G28" s="236"/>
      <c r="H28" s="236"/>
      <c r="I28" s="236"/>
    </row>
    <row r="29" spans="2:13" x14ac:dyDescent="0.2">
      <c r="B29" s="234"/>
      <c r="C29" s="234"/>
      <c r="D29" s="235"/>
      <c r="E29" s="234"/>
      <c r="F29" s="234"/>
      <c r="G29" s="234"/>
      <c r="H29" s="234"/>
      <c r="I29" s="234"/>
    </row>
    <row r="32" spans="2:13" x14ac:dyDescent="0.2">
      <c r="E32" s="231"/>
    </row>
  </sheetData>
  <sheetProtection sheet="1" objects="1" scenarios="1"/>
  <mergeCells count="1">
    <mergeCell ref="F3:G3"/>
  </mergeCells>
  <phoneticPr fontId="27" type="noConversion"/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10" r:id="rId4" name="Button 6">
              <controlPr defaultSize="0" print="0" autoFill="0" autoPict="0" macro="[0]!controlaffich">
                <anchor moveWithCells="1" sizeWithCells="1">
                  <from>
                    <xdr:col>0</xdr:col>
                    <xdr:colOff>133350</xdr:colOff>
                    <xdr:row>27</xdr:row>
                    <xdr:rowOff>28575</xdr:rowOff>
                  </from>
                  <to>
                    <xdr:col>1</xdr:col>
                    <xdr:colOff>962025</xdr:colOff>
                    <xdr:row>29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r:id="rId5" name="Button 7">
              <controlPr defaultSize="0" print="0" autoFill="0" autoPict="0" macro="[0]!liste_virements">
                <anchor moveWithCells="1" sizeWithCells="1">
                  <from>
                    <xdr:col>6</xdr:col>
                    <xdr:colOff>1381125</xdr:colOff>
                    <xdr:row>27</xdr:row>
                    <xdr:rowOff>47625</xdr:rowOff>
                  </from>
                  <to>
                    <xdr:col>8</xdr:col>
                    <xdr:colOff>276225</xdr:colOff>
                    <xdr:row>29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2" r:id="rId6" name="Button 8">
              <controlPr defaultSize="0" print="0" autoFill="0" autoPict="0" macro="[0]!controlpgsuit">
                <anchor moveWithCells="1" sizeWithCells="1">
                  <from>
                    <xdr:col>0</xdr:col>
                    <xdr:colOff>152400</xdr:colOff>
                    <xdr:row>29</xdr:row>
                    <xdr:rowOff>133350</xdr:rowOff>
                  </from>
                  <to>
                    <xdr:col>1</xdr:col>
                    <xdr:colOff>1009650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4" r:id="rId7" name="Button 10">
              <controlPr defaultSize="0" print="0" autoFill="0" autoPict="0" macro="[0]!CONTROLRETOUR">
                <anchor moveWithCells="1" sizeWithCells="1">
                  <from>
                    <xdr:col>6</xdr:col>
                    <xdr:colOff>0</xdr:colOff>
                    <xdr:row>27</xdr:row>
                    <xdr:rowOff>38100</xdr:rowOff>
                  </from>
                  <to>
                    <xdr:col>6</xdr:col>
                    <xdr:colOff>904875</xdr:colOff>
                    <xdr:row>29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2" r:id="rId8" name="Button 18">
              <controlPr defaultSize="0" print="0" autoFill="0" autoPict="0" macro="[0]!controlok">
                <anchor moveWithCells="1" sizeWithCells="1">
                  <from>
                    <xdr:col>4</xdr:col>
                    <xdr:colOff>1409700</xdr:colOff>
                    <xdr:row>27</xdr:row>
                    <xdr:rowOff>85725</xdr:rowOff>
                  </from>
                  <to>
                    <xdr:col>5</xdr:col>
                    <xdr:colOff>1047750</xdr:colOff>
                    <xdr:row>29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3" r:id="rId9" name="Button 19">
              <controlPr locked="0" defaultSize="0" print="0" autoFill="0" autoPict="0" macro="[0]!controlattente">
                <anchor moveWithCells="1" sizeWithCells="1">
                  <from>
                    <xdr:col>1</xdr:col>
                    <xdr:colOff>1304925</xdr:colOff>
                    <xdr:row>29</xdr:row>
                    <xdr:rowOff>133350</xdr:rowOff>
                  </from>
                  <to>
                    <xdr:col>2</xdr:col>
                    <xdr:colOff>723900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8" r:id="rId10" name="Option Button 24">
              <controlPr defaultSize="0" autoFill="0" autoLine="0" autoPict="0" macro="[0]!CONTROLCHANGESELECT">
                <anchor moveWithCells="1">
                  <from>
                    <xdr:col>3</xdr:col>
                    <xdr:colOff>219075</xdr:colOff>
                    <xdr:row>30</xdr:row>
                    <xdr:rowOff>57150</xdr:rowOff>
                  </from>
                  <to>
                    <xdr:col>4</xdr:col>
                    <xdr:colOff>942975</xdr:colOff>
                    <xdr:row>31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0" r:id="rId11" name="Option Button 26">
              <controlPr locked="0" defaultSize="0" autoFill="0" autoLine="0" autoPict="0" macro="[0]!CONTROLCHANGESELECT">
                <anchor moveWithCells="1">
                  <from>
                    <xdr:col>3</xdr:col>
                    <xdr:colOff>219075</xdr:colOff>
                    <xdr:row>28</xdr:row>
                    <xdr:rowOff>104775</xdr:rowOff>
                  </from>
                  <to>
                    <xdr:col>4</xdr:col>
                    <xdr:colOff>1000125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1" r:id="rId12" name="Option Button 27">
              <controlPr locked="0" defaultSize="0" autoFill="0" autoLine="0" autoPict="0" macro="[0]!CONTROLCHANGESELECT">
                <anchor moveWithCells="1">
                  <from>
                    <xdr:col>3</xdr:col>
                    <xdr:colOff>219075</xdr:colOff>
                    <xdr:row>26</xdr:row>
                    <xdr:rowOff>142875</xdr:rowOff>
                  </from>
                  <to>
                    <xdr:col>4</xdr:col>
                    <xdr:colOff>1038225</xdr:colOff>
                    <xdr:row>28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2" r:id="rId13" name="Button 28">
              <controlPr locked="0" defaultSize="0" print="0" autoFill="0" autoPict="0" macro="[0]!controllgprec">
                <anchor moveWithCells="1" sizeWithCells="1">
                  <from>
                    <xdr:col>1</xdr:col>
                    <xdr:colOff>1304925</xdr:colOff>
                    <xdr:row>27</xdr:row>
                    <xdr:rowOff>47625</xdr:rowOff>
                  </from>
                  <to>
                    <xdr:col>2</xdr:col>
                    <xdr:colOff>723900</xdr:colOff>
                    <xdr:row>29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/>
  <dimension ref="A2:J45"/>
  <sheetViews>
    <sheetView showGridLines="0" workbookViewId="0">
      <selection activeCell="B12" sqref="B12:G12"/>
    </sheetView>
  </sheetViews>
  <sheetFormatPr baseColWidth="10" defaultColWidth="0" defaultRowHeight="11.25" x14ac:dyDescent="0.2"/>
  <cols>
    <col min="1" max="1" width="7.28515625" style="59" customWidth="1"/>
    <col min="2" max="2" width="14.42578125" style="59" customWidth="1"/>
    <col min="3" max="3" width="15.140625" style="59" customWidth="1"/>
    <col min="4" max="4" width="10.7109375" style="59" customWidth="1"/>
    <col min="5" max="5" width="7.42578125" style="59" customWidth="1"/>
    <col min="6" max="6" width="8" style="59" customWidth="1"/>
    <col min="7" max="7" width="9.42578125" style="59" customWidth="1"/>
    <col min="8" max="8" width="10.7109375" style="59" customWidth="1"/>
    <col min="9" max="16384" width="10.7109375" style="59" hidden="1"/>
  </cols>
  <sheetData>
    <row r="2" spans="2:7" ht="12.75" x14ac:dyDescent="0.2">
      <c r="E2" s="375" t="s">
        <v>3964</v>
      </c>
      <c r="F2" s="375"/>
      <c r="G2" s="375"/>
    </row>
    <row r="5" spans="2:7" ht="15" x14ac:dyDescent="0.2">
      <c r="E5" s="119" t="s">
        <v>795</v>
      </c>
      <c r="F5" s="122"/>
    </row>
    <row r="6" spans="2:7" ht="12.75" x14ac:dyDescent="0.2">
      <c r="B6" s="119"/>
      <c r="C6" s="119"/>
      <c r="D6" s="119"/>
      <c r="E6" s="119"/>
      <c r="F6" s="376" t="s">
        <v>667</v>
      </c>
      <c r="G6" s="376"/>
    </row>
    <row r="7" spans="2:7" ht="12.75" x14ac:dyDescent="0.2">
      <c r="B7" s="119"/>
      <c r="C7" s="119"/>
      <c r="D7" s="119"/>
      <c r="E7" s="119"/>
      <c r="F7" s="376" t="s">
        <v>1367</v>
      </c>
      <c r="G7" s="376"/>
    </row>
    <row r="8" spans="2:7" ht="12.75" x14ac:dyDescent="0.2">
      <c r="B8" s="119"/>
      <c r="C8" s="119"/>
      <c r="D8" s="119"/>
      <c r="E8" s="119" t="s">
        <v>796</v>
      </c>
      <c r="F8" s="119"/>
      <c r="G8" s="119"/>
    </row>
    <row r="9" spans="2:7" ht="12.75" x14ac:dyDescent="0.2">
      <c r="B9" s="119"/>
      <c r="C9" s="119"/>
      <c r="D9" s="119"/>
      <c r="E9" s="119"/>
      <c r="F9" s="376" t="s">
        <v>1843</v>
      </c>
      <c r="G9" s="376"/>
    </row>
    <row r="10" spans="2:7" ht="12.75" x14ac:dyDescent="0.2">
      <c r="B10" s="119"/>
      <c r="C10" s="119"/>
      <c r="D10" s="119"/>
      <c r="E10" s="119"/>
      <c r="F10" s="119"/>
      <c r="G10" s="119"/>
    </row>
    <row r="11" spans="2:7" ht="26.25" customHeight="1" x14ac:dyDescent="0.2">
      <c r="B11" s="119"/>
      <c r="C11" s="119"/>
      <c r="D11" s="119"/>
      <c r="E11" s="119"/>
      <c r="F11" s="119"/>
      <c r="G11" s="119"/>
    </row>
    <row r="12" spans="2:7" ht="58.5" customHeight="1" x14ac:dyDescent="0.2">
      <c r="B12" s="390" t="s">
        <v>1819</v>
      </c>
      <c r="C12" s="390"/>
      <c r="D12" s="390"/>
      <c r="E12" s="390"/>
      <c r="F12" s="390"/>
      <c r="G12" s="390"/>
    </row>
    <row r="13" spans="2:7" ht="27.75" customHeight="1" x14ac:dyDescent="0.2">
      <c r="B13" s="121"/>
      <c r="C13" s="121"/>
      <c r="D13" s="121"/>
      <c r="E13" s="121"/>
      <c r="F13" s="121"/>
      <c r="G13" s="121"/>
    </row>
    <row r="14" spans="2:7" ht="12.75" x14ac:dyDescent="0.2">
      <c r="B14" s="119" t="s">
        <v>793</v>
      </c>
      <c r="C14" s="119"/>
      <c r="D14" s="119"/>
      <c r="E14" s="119"/>
      <c r="F14" s="119"/>
      <c r="G14" s="119"/>
    </row>
    <row r="15" spans="2:7" ht="12.75" x14ac:dyDescent="0.2">
      <c r="B15" s="119"/>
      <c r="C15" s="119"/>
      <c r="D15" s="119"/>
      <c r="E15" s="119"/>
      <c r="F15" s="119"/>
      <c r="G15" s="119"/>
    </row>
    <row r="16" spans="2:7" ht="12.75" x14ac:dyDescent="0.2">
      <c r="B16" s="119"/>
      <c r="C16" s="119"/>
      <c r="D16" s="119"/>
      <c r="E16" s="119"/>
      <c r="F16" s="119"/>
      <c r="G16" s="119"/>
    </row>
    <row r="17" spans="1:8" ht="42" customHeight="1" x14ac:dyDescent="0.2">
      <c r="B17" s="391" t="s">
        <v>3936</v>
      </c>
      <c r="C17" s="391"/>
      <c r="D17" s="391"/>
      <c r="E17" s="391"/>
      <c r="F17" s="391"/>
      <c r="G17" s="391"/>
    </row>
    <row r="18" spans="1:8" ht="6" customHeight="1" x14ac:dyDescent="0.2">
      <c r="B18" s="118"/>
      <c r="C18" s="118"/>
      <c r="D18" s="118"/>
      <c r="E18" s="118"/>
      <c r="F18" s="118"/>
      <c r="G18" s="118"/>
    </row>
    <row r="19" spans="1:8" ht="38.25" customHeight="1" x14ac:dyDescent="0.2">
      <c r="B19" s="392" t="s">
        <v>3937</v>
      </c>
      <c r="C19" s="392"/>
      <c r="D19" s="392"/>
      <c r="E19" s="392"/>
      <c r="F19" s="392"/>
      <c r="G19" s="392"/>
    </row>
    <row r="20" spans="1:8" ht="12.75" x14ac:dyDescent="0.2">
      <c r="B20" s="118"/>
      <c r="C20" s="118"/>
      <c r="D20" s="118"/>
      <c r="E20" s="118"/>
      <c r="F20" s="118"/>
      <c r="G20" s="118"/>
    </row>
    <row r="21" spans="1:8" ht="12.75" x14ac:dyDescent="0.2">
      <c r="B21" s="386" t="s">
        <v>239</v>
      </c>
      <c r="C21" s="386"/>
      <c r="D21" s="386"/>
      <c r="E21" s="387"/>
      <c r="F21" s="387"/>
      <c r="G21" s="387"/>
      <c r="H21" s="125">
        <f>SUM(G25:G34)</f>
        <v>0</v>
      </c>
    </row>
    <row r="22" spans="1:8" ht="12.75" x14ac:dyDescent="0.2">
      <c r="B22" s="118"/>
      <c r="C22" s="118"/>
      <c r="D22" s="118"/>
      <c r="E22" s="118"/>
      <c r="F22" s="118"/>
      <c r="G22" s="118"/>
    </row>
    <row r="23" spans="1:8" s="119" customFormat="1" ht="12.75" x14ac:dyDescent="0.2">
      <c r="B23" s="300" t="s">
        <v>2127</v>
      </c>
      <c r="C23" s="300" t="s">
        <v>2129</v>
      </c>
      <c r="D23" s="356" t="s">
        <v>794</v>
      </c>
      <c r="E23" s="356"/>
      <c r="F23" s="389"/>
      <c r="G23" s="300" t="s">
        <v>2126</v>
      </c>
    </row>
    <row r="24" spans="1:8" ht="12.75" x14ac:dyDescent="0.2">
      <c r="A24" s="194"/>
      <c r="B24" s="118"/>
      <c r="C24" s="118"/>
      <c r="D24" s="356"/>
      <c r="E24" s="356"/>
      <c r="F24" s="357"/>
      <c r="G24" s="118"/>
    </row>
    <row r="25" spans="1:8" ht="12.75" x14ac:dyDescent="0.2">
      <c r="A25" s="193" t="s">
        <v>866</v>
      </c>
      <c r="B25" s="123" t="s">
        <v>866</v>
      </c>
      <c r="C25" s="300" t="s">
        <v>866</v>
      </c>
      <c r="D25" s="356" t="s">
        <v>866</v>
      </c>
      <c r="E25" s="356"/>
      <c r="F25" s="357"/>
      <c r="G25" s="124" t="s">
        <v>866</v>
      </c>
      <c r="H25" s="192"/>
    </row>
    <row r="26" spans="1:8" ht="12.75" customHeight="1" x14ac:dyDescent="0.2">
      <c r="A26" s="193" t="s">
        <v>866</v>
      </c>
      <c r="B26" s="123" t="s">
        <v>866</v>
      </c>
      <c r="C26" s="300" t="s">
        <v>866</v>
      </c>
      <c r="D26" s="356" t="s">
        <v>866</v>
      </c>
      <c r="E26" s="356"/>
      <c r="F26" s="357"/>
      <c r="G26" s="124" t="s">
        <v>866</v>
      </c>
      <c r="H26" s="192"/>
    </row>
    <row r="27" spans="1:8" ht="12.75" customHeight="1" x14ac:dyDescent="0.2">
      <c r="A27" s="193" t="s">
        <v>866</v>
      </c>
      <c r="B27" s="123" t="s">
        <v>866</v>
      </c>
      <c r="C27" s="300" t="s">
        <v>866</v>
      </c>
      <c r="D27" s="356" t="s">
        <v>866</v>
      </c>
      <c r="E27" s="356"/>
      <c r="F27" s="357"/>
      <c r="G27" s="124" t="s">
        <v>866</v>
      </c>
      <c r="H27" s="192"/>
    </row>
    <row r="28" spans="1:8" ht="12.75" x14ac:dyDescent="0.2">
      <c r="A28" s="193" t="s">
        <v>866</v>
      </c>
      <c r="B28" s="123" t="s">
        <v>866</v>
      </c>
      <c r="C28" s="300" t="s">
        <v>866</v>
      </c>
      <c r="D28" s="356" t="s">
        <v>866</v>
      </c>
      <c r="E28" s="356"/>
      <c r="F28" s="357"/>
      <c r="G28" s="124" t="s">
        <v>866</v>
      </c>
      <c r="H28" s="192"/>
    </row>
    <row r="29" spans="1:8" ht="12.75" x14ac:dyDescent="0.2">
      <c r="A29" s="193" t="s">
        <v>866</v>
      </c>
      <c r="B29" s="123" t="s">
        <v>866</v>
      </c>
      <c r="C29" s="300" t="s">
        <v>866</v>
      </c>
      <c r="D29" s="356" t="s">
        <v>866</v>
      </c>
      <c r="E29" s="356"/>
      <c r="F29" s="357"/>
      <c r="G29" s="124" t="s">
        <v>866</v>
      </c>
      <c r="H29" s="192"/>
    </row>
    <row r="30" spans="1:8" ht="12.75" x14ac:dyDescent="0.2">
      <c r="A30" s="193" t="s">
        <v>866</v>
      </c>
      <c r="B30" s="123" t="s">
        <v>866</v>
      </c>
      <c r="C30" s="300" t="s">
        <v>866</v>
      </c>
      <c r="D30" s="356" t="s">
        <v>866</v>
      </c>
      <c r="E30" s="356"/>
      <c r="F30" s="357"/>
      <c r="G30" s="124" t="s">
        <v>866</v>
      </c>
      <c r="H30" s="192"/>
    </row>
    <row r="31" spans="1:8" ht="12.75" x14ac:dyDescent="0.2">
      <c r="A31" s="193" t="s">
        <v>866</v>
      </c>
      <c r="B31" s="123" t="s">
        <v>866</v>
      </c>
      <c r="C31" s="300" t="s">
        <v>866</v>
      </c>
      <c r="D31" s="356" t="s">
        <v>866</v>
      </c>
      <c r="E31" s="356"/>
      <c r="F31" s="357"/>
      <c r="G31" s="124" t="s">
        <v>866</v>
      </c>
      <c r="H31" s="192"/>
    </row>
    <row r="32" spans="1:8" ht="12.75" x14ac:dyDescent="0.2">
      <c r="A32" s="193" t="s">
        <v>866</v>
      </c>
      <c r="B32" s="123" t="s">
        <v>866</v>
      </c>
      <c r="C32" s="300" t="s">
        <v>866</v>
      </c>
      <c r="D32" s="356" t="s">
        <v>866</v>
      </c>
      <c r="E32" s="356"/>
      <c r="F32" s="357"/>
      <c r="G32" s="124" t="s">
        <v>866</v>
      </c>
      <c r="H32" s="192"/>
    </row>
    <row r="33" spans="1:10" ht="12.75" x14ac:dyDescent="0.2">
      <c r="A33" s="193" t="s">
        <v>866</v>
      </c>
      <c r="B33" s="123" t="s">
        <v>866</v>
      </c>
      <c r="C33" s="300" t="s">
        <v>866</v>
      </c>
      <c r="D33" s="356" t="s">
        <v>866</v>
      </c>
      <c r="E33" s="356"/>
      <c r="F33" s="357"/>
      <c r="G33" s="124" t="s">
        <v>866</v>
      </c>
      <c r="H33" s="192"/>
    </row>
    <row r="34" spans="1:10" ht="12.75" x14ac:dyDescent="0.2">
      <c r="A34" s="193" t="s">
        <v>866</v>
      </c>
      <c r="B34" s="123" t="s">
        <v>866</v>
      </c>
      <c r="C34" s="300" t="s">
        <v>866</v>
      </c>
      <c r="D34" s="356" t="s">
        <v>866</v>
      </c>
      <c r="E34" s="356"/>
      <c r="F34" s="357"/>
      <c r="G34" s="124" t="s">
        <v>866</v>
      </c>
      <c r="H34" s="192"/>
    </row>
    <row r="35" spans="1:10" ht="12.75" x14ac:dyDescent="0.2">
      <c r="A35" s="193"/>
      <c r="F35" s="117"/>
      <c r="H35" s="192"/>
    </row>
    <row r="36" spans="1:10" ht="15" x14ac:dyDescent="0.2">
      <c r="D36" s="122"/>
      <c r="E36" s="388" t="s">
        <v>1099</v>
      </c>
      <c r="F36" s="306"/>
      <c r="G36" s="306"/>
      <c r="H36" s="306"/>
      <c r="I36" s="306"/>
      <c r="J36" s="306"/>
    </row>
    <row r="42" spans="1:10" ht="40.5" customHeight="1" x14ac:dyDescent="0.2">
      <c r="B42" s="359" t="s">
        <v>3935</v>
      </c>
      <c r="C42" s="360"/>
      <c r="D42" s="360"/>
      <c r="E42" s="360"/>
      <c r="F42" s="360"/>
      <c r="G42" s="360"/>
    </row>
    <row r="43" spans="1:10" s="119" customFormat="1" ht="26.25" customHeight="1" x14ac:dyDescent="0.2">
      <c r="B43" s="361" t="s">
        <v>809</v>
      </c>
      <c r="C43" s="361"/>
      <c r="D43" s="361"/>
      <c r="E43" s="361"/>
      <c r="F43" s="361"/>
      <c r="G43" s="361"/>
    </row>
    <row r="44" spans="1:10" x14ac:dyDescent="0.2">
      <c r="B44" s="358"/>
      <c r="C44" s="358"/>
      <c r="D44" s="358"/>
      <c r="E44" s="358"/>
      <c r="F44" s="358"/>
      <c r="G44" s="358"/>
    </row>
    <row r="45" spans="1:10" s="195" customFormat="1" ht="12.75" x14ac:dyDescent="0.2"/>
  </sheetData>
  <mergeCells count="24">
    <mergeCell ref="B44:G44"/>
    <mergeCell ref="D27:F27"/>
    <mergeCell ref="D28:F28"/>
    <mergeCell ref="D29:F29"/>
    <mergeCell ref="D30:F30"/>
    <mergeCell ref="D31:F31"/>
    <mergeCell ref="D32:F32"/>
    <mergeCell ref="D33:F33"/>
    <mergeCell ref="D34:F34"/>
    <mergeCell ref="E36:J36"/>
    <mergeCell ref="B42:G42"/>
    <mergeCell ref="B43:G43"/>
    <mergeCell ref="D26:F26"/>
    <mergeCell ref="E2:G2"/>
    <mergeCell ref="F6:G6"/>
    <mergeCell ref="F7:G7"/>
    <mergeCell ref="F9:G9"/>
    <mergeCell ref="B12:G12"/>
    <mergeCell ref="B17:G17"/>
    <mergeCell ref="B19:G19"/>
    <mergeCell ref="B21:G21"/>
    <mergeCell ref="D23:F23"/>
    <mergeCell ref="D24:F24"/>
    <mergeCell ref="D25:F25"/>
  </mergeCells>
  <pageMargins left="0.78740157499999996" right="0.78740157499999996" top="1.01" bottom="0.5" header="0.4921259845" footer="0.4921259845"/>
  <pageSetup paperSize="9" orientation="portrait" horizontalDpi="1200" verticalDpi="12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13</vt:i4>
      </vt:variant>
      <vt:variant>
        <vt:lpstr>Plages nommées</vt:lpstr>
      </vt:variant>
      <vt:variant>
        <vt:i4>8</vt:i4>
      </vt:variant>
    </vt:vector>
  </HeadingPairs>
  <TitlesOfParts>
    <vt:vector size="21" baseType="lpstr">
      <vt:lpstr>affichage</vt:lpstr>
      <vt:lpstr>section</vt:lpstr>
      <vt:lpstr>COTISATION</vt:lpstr>
      <vt:lpstr>rembt</vt:lpstr>
      <vt:lpstr>prlvt</vt:lpstr>
      <vt:lpstr>RIB</vt:lpstr>
      <vt:lpstr>virements</vt:lpstr>
      <vt:lpstr>resultat</vt:lpstr>
      <vt:lpstr>validation</vt:lpstr>
      <vt:lpstr>courrier</vt:lpstr>
      <vt:lpstr>suivi</vt:lpstr>
      <vt:lpstr>controle</vt:lpstr>
      <vt:lpstr>courrier prel</vt:lpstr>
      <vt:lpstr>COTISATION!Impression_des_titres</vt:lpstr>
      <vt:lpstr>virements!Impression_des_titres</vt:lpstr>
      <vt:lpstr>affichage!Zone_d_impression</vt:lpstr>
      <vt:lpstr>COTISATION!Zone_d_impression</vt:lpstr>
      <vt:lpstr>prlvt!Zone_d_impression</vt:lpstr>
      <vt:lpstr>rembt!Zone_d_impression</vt:lpstr>
      <vt:lpstr>validation!Zone_d_impression</vt:lpstr>
      <vt:lpstr>zone_de_tri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alain martin</dc:creator>
  <cp:lastModifiedBy>fichoux jean-luc</cp:lastModifiedBy>
  <cp:lastPrinted>2016-06-24T11:43:30Z</cp:lastPrinted>
  <dcterms:created xsi:type="dcterms:W3CDTF">1999-03-03T09:20:31Z</dcterms:created>
  <dcterms:modified xsi:type="dcterms:W3CDTF">2016-07-07T06:37:17Z</dcterms:modified>
</cp:coreProperties>
</file>